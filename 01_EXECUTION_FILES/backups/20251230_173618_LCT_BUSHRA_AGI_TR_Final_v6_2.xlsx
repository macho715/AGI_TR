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December_Tide_2025" sheetId="2" state="visible" r:id="rId2"/>
    <sheet xmlns:r="http://schemas.openxmlformats.org/officeDocument/2006/relationships" name="Hourly_FWD_AFT_Heights" sheetId="3" state="visible" r:id="rId3"/>
    <sheet xmlns:r="http://schemas.openxmlformats.org/officeDocument/2006/relationships" name="RORO_Stage_Scenarios" sheetId="4" state="visible" r:id="rId4"/>
    <sheet xmlns:r="http://schemas.openxmlformats.org/officeDocument/2006/relationships" name="RORO_Delta_Lever_Report" sheetId="5" state="visible" r:id="rId5"/>
    <sheet xmlns:r="http://schemas.openxmlformats.org/officeDocument/2006/relationships" name="RORO_Draft_Margin_Check" sheetId="6" state="visible" r:id="rId6"/>
    <sheet xmlns:r="http://schemas.openxmlformats.org/officeDocument/2006/relationships" name="RORO_Stability_Check" sheetId="7" state="visible" r:id="rId7"/>
    <sheet xmlns:r="http://schemas.openxmlformats.org/officeDocument/2006/relationships" name="Ballast_Scenario_Comparison" sheetId="8" state="visible" r:id="rId8"/>
    <sheet xmlns:r="http://schemas.openxmlformats.org/officeDocument/2006/relationships" name="RORO_ISCODE_Check" sheetId="9" state="visible" r:id="rId9"/>
    <sheet xmlns:r="http://schemas.openxmlformats.org/officeDocument/2006/relationships" name="MWS_Acceptance_Criteria" sheetId="10" state="visible" r:id="rId10"/>
    <sheet xmlns:r="http://schemas.openxmlformats.org/officeDocument/2006/relationships" name="RORO_Structural_Gate" sheetId="11" state="visible" r:id="rId11"/>
    <sheet xmlns:r="http://schemas.openxmlformats.org/officeDocument/2006/relationships" name="CSM_Trace" sheetId="12" state="visible" r:id="rId12"/>
    <sheet xmlns:r="http://schemas.openxmlformats.org/officeDocument/2006/relationships" name="MWS_Pack_Index" sheetId="13" state="visible" r:id="rId13"/>
    <sheet xmlns:r="http://schemas.openxmlformats.org/officeDocument/2006/relationships" name="Ballast_Tanks" sheetId="14" state="visible" r:id="rId14"/>
    <sheet xmlns:r="http://schemas.openxmlformats.org/officeDocument/2006/relationships" name="CONST_TANKS" sheetId="15" state="visible" r:id="rId15"/>
    <sheet xmlns:r="http://schemas.openxmlformats.org/officeDocument/2006/relationships" name="Hydro_Table" sheetId="16" state="visible" r:id="rId16"/>
    <sheet xmlns:r="http://schemas.openxmlformats.org/officeDocument/2006/relationships" name="Frame_to_x_Table" sheetId="17" state="visible" r:id="rId17"/>
    <sheet xmlns:r="http://schemas.openxmlformats.org/officeDocument/2006/relationships" name="OPERATION SUMMARY" sheetId="18" state="visible" r:id="rId18"/>
  </sheets>
  <definedNames>
    <definedName name="MTC">'RORO_Stage_Scenarios'!$B$9</definedName>
    <definedName name="LCF">'RORO_Stage_Scenarios'!$B$10</definedName>
    <definedName name="PumpRate">'RORO_Stage_Scenarios'!$B$13</definedName>
    <definedName name="X_Ballast">'RORO_Stage_Scenarios'!$B$14</definedName>
    <definedName name="TRIM5_CM">'RORO_Stage_Scenarios'!$E$23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bottom style="thin">
        <color rgb="00C0C0C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2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3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0" pivotButton="0" quotePrefix="0" xfId="0"/>
    <xf numFmtId="1" fontId="3" fillId="0" borderId="0" pivotButton="0" quotePrefix="0" xfId="0"/>
    <xf numFmtId="0" fontId="3" fillId="5" borderId="0" pivotButton="0" quotePrefix="0" xfId="0"/>
    <xf numFmtId="4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2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2" fontId="3" fillId="3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6" borderId="0" pivotButton="0" quotePrefix="0" xfId="0"/>
    <xf numFmtId="0" fontId="3" fillId="0" borderId="2" pivotButton="0" quotePrefix="0" xfId="0"/>
    <xf numFmtId="2" fontId="3" fillId="3" borderId="2" pivotButton="0" quotePrefix="0" xfId="0"/>
    <xf numFmtId="0" fontId="0" fillId="0" borderId="2" pivotButton="0" quotePrefix="0" xfId="0"/>
    <xf numFmtId="2" fontId="0" fillId="0" borderId="2" pivotButton="0" quotePrefix="0" xfId="0"/>
    <xf numFmtId="0" fontId="0" fillId="0" borderId="2" applyAlignment="1" pivotButton="0" quotePrefix="0" xfId="0">
      <alignment horizontal="left" vertical="center" wrapText="1"/>
    </xf>
    <xf numFmtId="0" fontId="0" fillId="3" borderId="2" pivotButton="0" quotePrefix="0" xfId="0"/>
    <xf numFmtId="2" fontId="0" fillId="3" borderId="2" pivotButton="0" quotePrefix="0" xfId="0"/>
    <xf numFmtId="0" fontId="0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System</author>
  </authors>
  <commentList>
    <comment ref="E41" authorId="0" shapeId="0">
      <text>
        <t>LBP (m) - Calc!$E$41</t>
      </text>
    </comment>
    <comment ref="E42" authorId="0" shapeId="0">
      <text>
        <t>LCF from mid (m) - Calc!$E$42</t>
      </text>
    </comment>
  </commentList>
</comments>
</file>

<file path=xl/tables/table1.xml><?xml version="1.0" encoding="utf-8"?>
<table xmlns="http://schemas.openxmlformats.org/spreadsheetml/2006/main" id="1" name="Stages" displayName="Stages" ref="A18:BR28" headerRowCount="1">
  <autoFilter ref="A18:BR28"/>
  <tableColumns count="70">
    <tableColumn id="1" name="Stage"/>
    <tableColumn id="2" name="W_stage_t"/>
    <tableColumn id="3" name="Fr_stage"/>
    <tableColumn id="4" name="x_stage_m"/>
    <tableColumn id="5" name="TM (t·m)"/>
    <tableColumn id="6" name="Trim_cm"/>
    <tableColumn id="7" name="FWD_precise_m"/>
    <tableColumn id="8" name="AFT_precise_m"/>
    <tableColumn id="9" name="ΔTM_cm_tm"/>
    <tableColumn id="10" name="Lever_arm_m"/>
    <tableColumn id="11" name="Ballast_t_calc"/>
    <tableColumn id="12" name="Ballast_time_h_calc"/>
    <tableColumn id="13" name="Ballast_t"/>
    <tableColumn id="14" name="Ballast_time_h"/>
    <tableColumn id="15" name="Trim_Check"/>
    <tableColumn id="16" name="Dfwd_m"/>
    <tableColumn id="17" name="Daft_m"/>
    <tableColumn id="18" name="Trim_target_stage_cm"/>
    <tableColumn id="19" name="FWD_DeckElev_CD_m"/>
    <tableColumn id="20" name="AFT_DeckElev_CD_m"/>
    <tableColumn id="21" name="GM(m)"/>
    <tableColumn id="22" name="Fwd Draft(m)"/>
    <tableColumn id="23" name="vs 2.70m"/>
    <tableColumn id="24" name="De-ballast Qty(t)"/>
    <tableColumn id="25" name="Timing"/>
    <tableColumn id="26" name="Phys_Freeboard_m"/>
    <tableColumn id="27" name="Clearance_Check"/>
    <tableColumn id="28" name="GM_calc"/>
    <tableColumn id="29" name="GM_Check"/>
    <tableColumn id="30" name="Disp_total_t"/>
    <tableColumn id="31" name="Vent_Time_h"/>
    <tableColumn id="32" name="Trim_gate_cm"/>
    <tableColumn id="33" name="Gate_Ballast_net_t"/>
    <tableColumn id="34" name="Dfwd_gate_m"/>
    <tableColumn id="35" name="Gate_iter_n"/>
    <tableColumn id="36" name="Gate_Flag"/>
    <tableColumn id="37" name="Share_Load_t"/>
    <tableColumn id="38" name="Share_Check"/>
    <tableColumn id="39" name="Hinge_Rx_t"/>
    <tableColumn id="40" name="Rx_Check"/>
    <tableColumn id="41" name="Deck_Press_t/m²"/>
    <tableColumn id="42" name="Press_Check"/>
    <tableColumn id="43" name="Load_Case_B_t"/>
    <tableColumn id="44" name="Heel_deg"/>
    <tableColumn id="45" name="GM_eff_m"/>
    <tableColumn id="46" name="Ballast_req_t"/>
    <tableColumn id="47" name="Ballast_gap_t"/>
    <tableColumn id="48" name="Time_Add_h"/>
    <tableColumn id="49" name="Ramp_Angle_deg"/>
    <tableColumn id="50" name="Ramp_Angle_Check"/>
    <tableColumn id="51" name="Pin_Stress_N/mm²"/>
    <tableColumn id="52" name="Von_Mises_Check"/>
    <tableColumn id="53" name="Required_WL_m"/>
    <tableColumn id="54" name="WL_OK"/>
    <tableColumn id="55" name="Draft_FWD_m_solver"/>
    <tableColumn id="56" name="Draft_AFT_m_solver"/>
    <tableColumn id="57" name="Draft_Source"/>
    <tableColumn id="58" name="Gate_AFT_MIN_2p70_PASS"/>
    <tableColumn id="59" name="AFT_Margin_2p70_m"/>
    <tableColumn id="60" name="Gate_B_Applies"/>
    <tableColumn id="61" name="Gate_FWD_MAX_2p70_critical_only"/>
    <tableColumn id="62" name="FWD_Margin_2p70_m"/>
    <tableColumn id="63" name="Gate_Freeboard_ND"/>
    <tableColumn id="64" name="Freeboard_Req_ND_m"/>
    <tableColumn id="65" name="Freeboard_ND_Margin_m"/>
    <tableColumn id="66" name="D_vessel_m"/>
    <tableColumn id="67" name="Draft_Max_raw_m"/>
    <tableColumn id="68" name="Draft_Max_solver_m"/>
    <tableColumn id="69" name="Draft_Clipped_raw"/>
    <tableColumn id="70" name="Draft_Clipped_sol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4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10" customWidth="1" min="4" max="4"/>
    <col width="12" customWidth="1" min="5" max="5"/>
    <col width="35" customWidth="1" min="6" max="6"/>
  </cols>
  <sheetData>
    <row r="2">
      <c r="B2" s="1" t="inlineStr">
        <is>
          <t>LCT BUSHRA — RORO Calculator &amp; Limits</t>
        </is>
      </c>
    </row>
    <row r="3">
      <c r="B3" s="2" t="inlineStr">
        <is>
          <t>SECTION</t>
        </is>
      </c>
      <c r="C3" s="2" t="inlineStr">
        <is>
          <t>PARAMETER</t>
        </is>
      </c>
      <c r="D3" s="2" t="inlineStr">
        <is>
          <t>UNIT</t>
        </is>
      </c>
      <c r="E3" s="2" t="inlineStr">
        <is>
          <t>VALUE</t>
        </is>
      </c>
      <c r="F3" s="2" t="inlineStr">
        <is>
          <t>NOTES</t>
        </is>
      </c>
    </row>
    <row r="5">
      <c r="B5" s="3" t="inlineStr">
        <is>
          <t>INPUT CONSTANTS</t>
        </is>
      </c>
      <c r="C5" s="3" t="inlineStr">
        <is>
          <t>L_ramp_m</t>
        </is>
      </c>
      <c r="D5" s="3" t="inlineStr">
        <is>
          <t>m</t>
        </is>
      </c>
      <c r="E5" s="4" t="n">
        <v>12</v>
      </c>
      <c r="F5" s="3" t="inlineStr">
        <is>
          <t>Linkspan length. Calc!D4</t>
        </is>
      </c>
    </row>
    <row r="6">
      <c r="C6" s="3" t="inlineStr">
        <is>
          <t>theta_max_deg</t>
        </is>
      </c>
      <c r="D6" s="3" t="inlineStr">
        <is>
          <t>deg</t>
        </is>
      </c>
      <c r="E6" s="4" t="n">
        <v>6</v>
      </c>
      <c r="F6" s="3" t="inlineStr">
        <is>
          <t>Max ramp angle. Calc!D5</t>
        </is>
      </c>
    </row>
    <row r="7">
      <c r="C7" s="3" t="inlineStr">
        <is>
          <t>KminusZ_m</t>
        </is>
      </c>
      <c r="D7" s="3" t="inlineStr">
        <is>
          <t>m</t>
        </is>
      </c>
      <c r="E7" s="4" t="n">
        <v>3</v>
      </c>
      <c r="F7" s="3" t="inlineStr">
        <is>
          <t>K - Z (UPDATE!). Calc!D6</t>
        </is>
      </c>
    </row>
    <row r="8">
      <c r="C8" s="3" t="inlineStr">
        <is>
          <t>D_vessel_m</t>
        </is>
      </c>
      <c r="D8" s="3" t="inlineStr">
        <is>
          <t>m</t>
        </is>
      </c>
      <c r="E8" s="4" t="n">
        <v>3.65</v>
      </c>
      <c r="F8" s="3" t="inlineStr">
        <is>
          <t>Molded depth. Calc!D7</t>
        </is>
      </c>
    </row>
    <row r="9"/>
    <row r="10">
      <c r="B10" s="3" t="inlineStr">
        <is>
          <t>LIMITS &amp; OPS</t>
        </is>
      </c>
      <c r="C10" s="3" t="inlineStr">
        <is>
          <t>min_fwd_draft_m</t>
        </is>
      </c>
      <c r="D10" s="3" t="inlineStr">
        <is>
          <t>m</t>
        </is>
      </c>
      <c r="E10" s="4" t="n">
        <v>1.5</v>
      </c>
      <c r="F10" s="3" t="inlineStr">
        <is>
          <t>Min draft. Calc!D9</t>
        </is>
      </c>
    </row>
    <row r="11">
      <c r="C11" s="3" t="inlineStr">
        <is>
          <t>max_fwd_draft_m</t>
        </is>
      </c>
      <c r="D11" s="3" t="inlineStr">
        <is>
          <t>m</t>
        </is>
      </c>
      <c r="E11" s="4" t="n">
        <v>3.5</v>
      </c>
      <c r="F11" s="3" t="inlineStr">
        <is>
          <t>Max draft. Calc!D10</t>
        </is>
      </c>
    </row>
    <row r="12">
      <c r="C12" s="3" t="inlineStr">
        <is>
          <t>pump_rate_tph</t>
        </is>
      </c>
      <c r="D12" s="3" t="inlineStr">
        <is>
          <t>t/h</t>
        </is>
      </c>
      <c r="E12" s="4" t="n">
        <v>10</v>
      </c>
      <c r="F12" s="3" t="inlineStr">
        <is>
          <t>Pump rate. Calc!D11</t>
        </is>
      </c>
    </row>
    <row r="13"/>
    <row r="14">
      <c r="B14" s="3" t="inlineStr">
        <is>
          <t>STABILITY</t>
        </is>
      </c>
      <c r="C14" s="3" t="inlineStr">
        <is>
          <t>MTC_t_m_per_cm</t>
        </is>
      </c>
      <c r="D14" s="3" t="inlineStr">
        <is>
          <t>t·m/cm</t>
        </is>
      </c>
      <c r="E14" s="4" t="n">
        <v>34</v>
      </c>
      <c r="F14" s="3" t="inlineStr">
        <is>
          <t>MTC. Calc!D13</t>
        </is>
      </c>
    </row>
    <row r="15">
      <c r="C15" s="3" t="inlineStr">
        <is>
          <t>LCF_m_from_midship</t>
        </is>
      </c>
      <c r="D15" s="3" t="inlineStr">
        <is>
          <t>m</t>
        </is>
      </c>
      <c r="E15" s="4" t="n">
        <v>0.76</v>
      </c>
      <c r="F15" s="3" t="inlineStr">
        <is>
          <t>LCF from Midship (Corrected). Calc!D14</t>
        </is>
      </c>
    </row>
    <row r="16">
      <c r="C16" s="3" t="inlineStr">
        <is>
          <t>TPC_t_per_cm</t>
        </is>
      </c>
      <c r="D16" s="3" t="inlineStr">
        <is>
          <t>t/cm</t>
        </is>
      </c>
      <c r="E16" s="4" t="n">
        <v>8</v>
      </c>
      <c r="F16" s="3" t="inlineStr">
        <is>
          <t>TPC. Calc!D15</t>
        </is>
      </c>
    </row>
    <row r="17">
      <c r="C17" s="3" t="inlineStr">
        <is>
          <t>Lpp_m</t>
        </is>
      </c>
      <c r="D17" s="3" t="inlineStr">
        <is>
          <t>m</t>
        </is>
      </c>
      <c r="E17" s="4" t="n">
        <v>60.302</v>
      </c>
      <c r="F17" s="3" t="inlineStr">
        <is>
          <t>Length between perpendiculars. Calc!D16</t>
        </is>
      </c>
    </row>
    <row r="18">
      <c r="B18" s="3" t="inlineStr">
        <is>
          <t>OPERATIONS</t>
        </is>
      </c>
      <c r="C18" s="3" t="inlineStr">
        <is>
          <t>max_fwd_draft_ops_m</t>
        </is>
      </c>
      <c r="D18" s="3" t="inlineStr">
        <is>
          <t>m</t>
        </is>
      </c>
      <c r="E18" s="4" t="n">
        <v>2.7</v>
      </c>
      <c r="F18" s="3" t="inlineStr">
        <is>
          <t>Max forward draft for operations. Calc!D9</t>
        </is>
      </c>
    </row>
    <row r="19">
      <c r="C19" s="3" t="inlineStr">
        <is>
          <t>ramp_door_offset_m</t>
        </is>
      </c>
      <c r="D19" s="3" t="inlineStr">
        <is>
          <t>m</t>
        </is>
      </c>
      <c r="E19" s="4" t="n">
        <v>0.15</v>
      </c>
      <c r="F19" s="3" t="inlineStr">
        <is>
          <t>Ramp door offset. Calc!D11</t>
        </is>
      </c>
    </row>
    <row r="20">
      <c r="C20" s="3" t="inlineStr">
        <is>
          <t>linkspan_freeboard_target_m</t>
        </is>
      </c>
      <c r="D20" s="3" t="inlineStr">
        <is>
          <t>m</t>
        </is>
      </c>
      <c r="E20" s="4" t="n">
        <v>0.28</v>
      </c>
      <c r="F20" s="3" t="inlineStr">
        <is>
          <t>Linkspan freeboard target. Calc!D12</t>
        </is>
      </c>
    </row>
    <row r="21">
      <c r="C21" s="3" t="inlineStr">
        <is>
          <t>gm_target_m</t>
        </is>
      </c>
      <c r="D21" s="3" t="inlineStr">
        <is>
          <t>m</t>
        </is>
      </c>
      <c r="E21" s="4" t="n">
        <v>1.5</v>
      </c>
      <c r="F21" s="3" t="inlineStr">
        <is>
          <t>GM target. Calc!D13</t>
        </is>
      </c>
    </row>
    <row r="22"/>
    <row r="23">
      <c r="B23" s="3" t="inlineStr">
        <is>
          <t>STRUCTURAL LIMITS</t>
        </is>
      </c>
      <c r="C23" s="3" t="inlineStr">
        <is>
          <t>limit_reaction_t</t>
        </is>
      </c>
      <c r="D23" s="3" t="inlineStr">
        <is>
          <t>t</t>
        </is>
      </c>
      <c r="E23" s="4" t="n">
        <v>201.6</v>
      </c>
      <c r="F23" s="3" t="inlineStr">
        <is>
          <t>Aries Ramp hinge limit 201.60 t (share ratio 0.545, 2025-11-18)</t>
        </is>
      </c>
    </row>
    <row r="24">
      <c r="C24" s="3" t="inlineStr">
        <is>
          <t>limit_share_load_t</t>
        </is>
      </c>
      <c r="D24" s="3" t="inlineStr">
        <is>
          <t>t</t>
        </is>
      </c>
      <c r="E24" s="4" t="n">
        <v>118.8</v>
      </c>
      <c r="F24" s="3" t="inlineStr">
        <is>
          <t>Max Share Load on LCT (Mammoet)</t>
        </is>
      </c>
    </row>
    <row r="25">
      <c r="C25" s="3" t="inlineStr">
        <is>
          <t>limit_deck_press_tpm2</t>
        </is>
      </c>
      <c r="D25" s="3" t="inlineStr">
        <is>
          <t>t/m²</t>
        </is>
      </c>
      <c r="E25" s="4" t="n">
        <v>10</v>
      </c>
      <c r="F25" s="3" t="inlineStr">
        <is>
          <t>Max Deck Pressure (Spec)</t>
        </is>
      </c>
    </row>
    <row r="26">
      <c r="C26" s="3" t="inlineStr">
        <is>
          <t>linkspan_area_m2</t>
        </is>
      </c>
      <c r="D26" s="3" t="inlineStr">
        <is>
          <t>m²</t>
        </is>
      </c>
      <c r="E26" s="4" t="n">
        <v>12</v>
      </c>
      <c r="F26" s="3" t="inlineStr">
        <is>
          <t>Linkspan 실제 접지 12.00 m² (Ramp 1 TR only 규정)</t>
        </is>
      </c>
    </row>
    <row r="27">
      <c r="B27" s="3" t="inlineStr">
        <is>
          <t>BALLAST FIX CHECK</t>
        </is>
      </c>
      <c r="C27" s="3" t="inlineStr">
        <is>
          <t>max_aft_ballast_cap_t</t>
        </is>
      </c>
      <c r="D27" s="3" t="inlineStr">
        <is>
          <t>t</t>
        </is>
      </c>
      <c r="E27" s="4" t="n">
        <v>28</v>
      </c>
      <c r="F27" s="3" t="inlineStr">
        <is>
          <t>Max AFT Ballast Capacity (FW2 P/S, Fr 0–6, ~28t)</t>
        </is>
      </c>
    </row>
    <row r="28">
      <c r="C28" s="3" t="inlineStr">
        <is>
          <t>max_fwd_ballast_cap_t</t>
        </is>
      </c>
      <c r="D28" s="3" t="inlineStr">
        <is>
          <t>t</t>
        </is>
      </c>
      <c r="E28" s="4" t="n">
        <v>321</v>
      </c>
      <c r="F28" s="3" t="inlineStr">
        <is>
          <t>Max Forward Ballast Capacity (FWB1/2, Fr 48–65, ~321t)</t>
        </is>
      </c>
    </row>
    <row r="29">
      <c r="C29" s="3" t="inlineStr">
        <is>
          <t>max_pump_time_h</t>
        </is>
      </c>
      <c r="D29" s="3" t="inlineStr">
        <is>
          <t>h</t>
        </is>
      </c>
      <c r="E29" s="4" t="n">
        <v>6</v>
      </c>
      <c r="F29" s="3" t="inlineStr">
        <is>
          <t>Max Allowed Pump Time for Fix</t>
        </is>
      </c>
    </row>
    <row r="30">
      <c r="B30" s="3" t="inlineStr">
        <is>
          <t>VENT &amp; PUMP</t>
        </is>
      </c>
      <c r="C30" s="3" t="inlineStr">
        <is>
          <t>vent_flow_coeff</t>
        </is>
      </c>
      <c r="D30" s="3" t="inlineStr">
        <is>
          <t>t/h per mm</t>
        </is>
      </c>
      <c r="E30" s="4" t="n">
        <v>0.86</v>
      </c>
      <c r="F30" s="3" t="inlineStr">
        <is>
          <t>실측 보정 0.86 (2025-11-18, MAPE 0.30%)</t>
        </is>
      </c>
    </row>
    <row r="31">
      <c r="C31" s="3" t="inlineStr">
        <is>
          <t>pump_rate_tph</t>
        </is>
      </c>
      <c r="D31" s="3" t="inlineStr">
        <is>
          <t>t/h</t>
        </is>
      </c>
      <c r="E31" s="4" t="n">
        <v>100</v>
      </c>
      <c r="F31" s="3" t="inlineStr">
        <is>
          <t>Hired pump rate</t>
        </is>
      </c>
    </row>
    <row r="32">
      <c r="C32" s="3" t="inlineStr">
        <is>
          <t>pump_rate_effective_tph</t>
        </is>
      </c>
      <c r="D32" s="3" t="inlineStr">
        <is>
          <t>t/h</t>
        </is>
      </c>
      <c r="E32" s="5">
        <f>MIN(E31, SUMPRODUCT((Ballast_Tanks!E$2:E$100="Y")*(Ballast_Tanks!F$2:F$100)*E30))</f>
        <v/>
      </c>
      <c r="F32" s="3" t="inlineStr">
        <is>
          <t>실효 펌프 속도 (vent bottleneck, 68.80 t/h)</t>
        </is>
      </c>
    </row>
    <row r="33">
      <c r="B33" s="3" t="inlineStr">
        <is>
          <t>RAMP GEOMETRY</t>
        </is>
      </c>
      <c r="C33" s="3" t="inlineStr">
        <is>
          <t>ramp_hinge_x_mid_m</t>
        </is>
      </c>
      <c r="D33" s="3" t="inlineStr">
        <is>
          <t>m</t>
        </is>
      </c>
      <c r="E33" s="4" t="n">
        <v>-30.151</v>
      </c>
      <c r="F33" s="3" t="inlineStr">
        <is>
          <t>LBP 60.302 m 기준</t>
        </is>
      </c>
    </row>
    <row r="34">
      <c r="C34" s="3" t="inlineStr">
        <is>
          <t>ramp_length_m</t>
        </is>
      </c>
      <c r="D34" s="3" t="inlineStr">
        <is>
          <t>m</t>
        </is>
      </c>
      <c r="E34" s="4" t="n">
        <v>8.300000000000001</v>
      </c>
      <c r="F34" s="3" t="inlineStr">
        <is>
          <t>TRE Cert 2020-08-04</t>
        </is>
      </c>
    </row>
    <row r="35">
      <c r="C35" s="3" t="inlineStr">
        <is>
          <t>linkspan_height_m</t>
        </is>
      </c>
      <c r="D35" s="3" t="inlineStr">
        <is>
          <t>m</t>
        </is>
      </c>
      <c r="E35" s="4" t="n">
        <v>2</v>
      </c>
    </row>
    <row r="36">
      <c r="C36" s="3" t="inlineStr">
        <is>
          <t>ramp_end_clearance_min_m</t>
        </is>
      </c>
      <c r="D36" s="3" t="inlineStr">
        <is>
          <t>m</t>
        </is>
      </c>
      <c r="E36" s="4" t="n">
        <v>0.4</v>
      </c>
    </row>
    <row r="37">
      <c r="B37" s="3" t="inlineStr">
        <is>
          <t>HINGE STRESS</t>
        </is>
      </c>
      <c r="C37" s="3" t="inlineStr">
        <is>
          <t>hinge_pin_area_m2</t>
        </is>
      </c>
      <c r="D37" s="3" t="inlineStr">
        <is>
          <t>m²</t>
        </is>
      </c>
      <c r="E37" s="4" t="n">
        <v>0.117</v>
      </c>
      <c r="F37" s="3" t="inlineStr">
        <is>
          <t>Doubler 390x300 mm (Aries)</t>
        </is>
      </c>
    </row>
    <row r="38">
      <c r="C38" s="3" t="inlineStr">
        <is>
          <t>hinge_limit_rx_t</t>
        </is>
      </c>
      <c r="D38" s="3" t="inlineStr">
        <is>
          <t>t</t>
        </is>
      </c>
      <c r="E38" s="4" t="n">
        <v>201.6</v>
      </c>
      <c r="F38" s="3" t="inlineStr">
        <is>
          <t>Max Hinge Reaction (duplicate of E23 for clarity)</t>
        </is>
      </c>
    </row>
    <row r="39"/>
    <row r="40">
      <c r="B40" s="3" t="inlineStr">
        <is>
          <t>PRECISION PARAMETERS</t>
        </is>
      </c>
    </row>
    <row r="41">
      <c r="C41" s="3" t="inlineStr">
        <is>
          <t>LBP_m</t>
        </is>
      </c>
      <c r="D41" s="3" t="inlineStr">
        <is>
          <t>m</t>
        </is>
      </c>
      <c r="E41" s="4" t="n">
        <v>60.302</v>
      </c>
      <c r="F41" s="3" t="inlineStr">
        <is>
          <t>Length Between Perpendiculars (for precise draft calculation)</t>
        </is>
      </c>
    </row>
    <row r="42">
      <c r="C42" s="3" t="inlineStr">
        <is>
          <t>LCF_from_mid_m</t>
        </is>
      </c>
      <c r="D42" s="3" t="inlineStr">
        <is>
          <t>m</t>
        </is>
      </c>
      <c r="E42" s="4" t="n">
        <v>0.76</v>
      </c>
      <c r="F42" s="3" t="inlineStr">
        <is>
          <t>LCF from midship (BUSHRA verified, for precise draft calculation)</t>
        </is>
      </c>
    </row>
    <row r="43">
      <c r="C43" s="3" t="inlineStr">
        <is>
          <t>dynamic_factor</t>
        </is>
      </c>
      <c r="D43" s="3" t="inlineStr">
        <is>
          <t>-</t>
        </is>
      </c>
      <c r="E43" s="4" t="n">
        <v>1.15</v>
      </c>
      <c r="F43" s="3" t="inlineStr">
        <is>
          <t>Dynamic load amplification factor (for Load Case B)</t>
        </is>
      </c>
    </row>
    <row r="44">
      <c r="C44" s="3" t="inlineStr">
        <is>
          <t>heel_y_offset_m</t>
        </is>
      </c>
      <c r="D44" s="3" t="inlineStr">
        <is>
          <t>m</t>
        </is>
      </c>
      <c r="E44" s="4" t="n">
        <v>1.5</v>
      </c>
      <c r="F44" s="3" t="inlineStr">
        <is>
          <t>Heel y-offset (for heel angle calculation)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datetime_gst</t>
        </is>
      </c>
      <c r="B1" s="2" t="inlineStr">
        <is>
          <t>tide_m               (Chart Datum)</t>
        </is>
      </c>
    </row>
    <row r="2">
      <c r="A2" s="3" t="n"/>
      <c r="B2" s="6" t="n"/>
    </row>
    <row r="3">
      <c r="A3" s="3" t="n"/>
      <c r="B3" s="6" t="n"/>
    </row>
    <row r="4">
      <c r="A4" s="3" t="n"/>
      <c r="B4" s="6" t="n"/>
    </row>
    <row r="5">
      <c r="A5" s="3" t="n"/>
      <c r="B5" s="6" t="n"/>
    </row>
    <row r="6">
      <c r="A6" s="3" t="n"/>
      <c r="B6" s="6" t="n"/>
    </row>
    <row r="7">
      <c r="A7" s="3" t="n"/>
      <c r="B7" s="6" t="n"/>
    </row>
    <row r="8">
      <c r="A8" s="3" t="n"/>
      <c r="B8" s="6" t="n"/>
    </row>
    <row r="9">
      <c r="A9" s="3" t="n"/>
      <c r="B9" s="6" t="n"/>
    </row>
    <row r="10">
      <c r="A10" s="3" t="n"/>
      <c r="B10" s="6" t="n"/>
    </row>
    <row r="11">
      <c r="A11" s="3" t="n"/>
      <c r="B11" s="6" t="n"/>
    </row>
    <row r="12">
      <c r="A12" s="3" t="n"/>
      <c r="B12" s="6" t="n"/>
    </row>
    <row r="13">
      <c r="A13" s="3" t="n"/>
      <c r="B13" s="6" t="n"/>
    </row>
    <row r="14">
      <c r="A14" s="3" t="n"/>
      <c r="B14" s="6" t="n"/>
    </row>
    <row r="15">
      <c r="A15" s="3" t="n"/>
      <c r="B15" s="6" t="n"/>
    </row>
    <row r="16">
      <c r="A16" s="3" t="n"/>
      <c r="B16" s="6" t="n"/>
    </row>
    <row r="17">
      <c r="A17" s="3" t="n"/>
      <c r="B17" s="6" t="n"/>
    </row>
    <row r="18">
      <c r="A18" s="3" t="n"/>
      <c r="B18" s="6" t="n"/>
    </row>
    <row r="19">
      <c r="A19" s="3" t="n"/>
      <c r="B19" s="6" t="n"/>
    </row>
    <row r="20">
      <c r="A20" s="3" t="n"/>
      <c r="B20" s="6" t="n"/>
    </row>
    <row r="21">
      <c r="A21" s="3" t="n"/>
      <c r="B21" s="6" t="n"/>
    </row>
    <row r="22">
      <c r="A22" s="3" t="n"/>
      <c r="B22" s="6" t="n"/>
    </row>
    <row r="23">
      <c r="A23" s="3" t="n"/>
      <c r="B23" s="6" t="n"/>
    </row>
    <row r="24">
      <c r="A24" s="3" t="n"/>
      <c r="B24" s="6" t="n"/>
    </row>
    <row r="25">
      <c r="A25" s="3" t="n"/>
      <c r="B25" s="6" t="n"/>
    </row>
    <row r="26">
      <c r="A26" s="3" t="n"/>
      <c r="B26" s="6" t="n"/>
    </row>
    <row r="27">
      <c r="A27" s="3" t="n"/>
      <c r="B27" s="6" t="n"/>
    </row>
    <row r="28">
      <c r="A28" s="3" t="n"/>
      <c r="B28" s="6" t="n"/>
    </row>
    <row r="29">
      <c r="A29" s="3" t="n"/>
      <c r="B29" s="6" t="n"/>
    </row>
    <row r="30">
      <c r="A30" s="3" t="n"/>
      <c r="B30" s="6" t="n"/>
    </row>
    <row r="31">
      <c r="A31" s="3" t="n"/>
      <c r="B31" s="6" t="n"/>
    </row>
    <row r="32">
      <c r="A32" s="3" t="n"/>
      <c r="B32" s="6" t="n"/>
    </row>
    <row r="33">
      <c r="A33" s="3" t="n"/>
      <c r="B33" s="6" t="n"/>
    </row>
    <row r="34">
      <c r="A34" s="3" t="n"/>
      <c r="B34" s="6" t="n"/>
    </row>
    <row r="35">
      <c r="A35" s="3" t="n"/>
      <c r="B35" s="6" t="n"/>
    </row>
    <row r="36">
      <c r="A36" s="3" t="n"/>
      <c r="B36" s="6" t="n"/>
    </row>
    <row r="37">
      <c r="A37" s="3" t="n"/>
      <c r="B37" s="6" t="n"/>
    </row>
    <row r="38">
      <c r="A38" s="3" t="n"/>
      <c r="B38" s="6" t="n"/>
    </row>
    <row r="39">
      <c r="A39" s="3" t="n"/>
      <c r="B39" s="6" t="n"/>
    </row>
    <row r="40">
      <c r="A40" s="3" t="n"/>
      <c r="B40" s="6" t="n"/>
    </row>
    <row r="41">
      <c r="A41" s="3" t="n"/>
      <c r="B41" s="6" t="n"/>
    </row>
    <row r="42">
      <c r="A42" s="3" t="n"/>
      <c r="B42" s="6" t="n"/>
    </row>
    <row r="43">
      <c r="A43" s="3" t="n"/>
      <c r="B43" s="6" t="n"/>
    </row>
    <row r="44">
      <c r="A44" s="3" t="n"/>
      <c r="B44" s="6" t="n"/>
    </row>
    <row r="45">
      <c r="A45" s="3" t="n"/>
      <c r="B45" s="6" t="n"/>
    </row>
    <row r="46">
      <c r="A46" s="3" t="n"/>
      <c r="B46" s="6" t="n"/>
    </row>
    <row r="47">
      <c r="A47" s="3" t="n"/>
      <c r="B47" s="6" t="n"/>
    </row>
    <row r="48">
      <c r="A48" s="3" t="n"/>
      <c r="B48" s="6" t="n"/>
    </row>
    <row r="49">
      <c r="A49" s="3" t="n"/>
      <c r="B49" s="6" t="n"/>
    </row>
    <row r="50">
      <c r="A50" s="3" t="n"/>
      <c r="B50" s="6" t="n"/>
    </row>
    <row r="51">
      <c r="A51" s="3" t="n"/>
      <c r="B51" s="6" t="n"/>
    </row>
    <row r="52">
      <c r="A52" s="3" t="n"/>
      <c r="B52" s="6" t="n"/>
    </row>
    <row r="53">
      <c r="A53" s="3" t="n"/>
      <c r="B53" s="6" t="n"/>
    </row>
    <row r="54">
      <c r="A54" s="3" t="n"/>
      <c r="B54" s="6" t="n"/>
    </row>
    <row r="55">
      <c r="A55" s="3" t="n"/>
      <c r="B55" s="6" t="n"/>
    </row>
    <row r="56">
      <c r="A56" s="3" t="n"/>
      <c r="B56" s="6" t="n"/>
    </row>
    <row r="57">
      <c r="A57" s="3" t="n"/>
      <c r="B57" s="6" t="n"/>
    </row>
    <row r="58">
      <c r="A58" s="3" t="n"/>
      <c r="B58" s="6" t="n"/>
    </row>
    <row r="59">
      <c r="A59" s="3" t="n"/>
      <c r="B59" s="6" t="n"/>
    </row>
    <row r="60">
      <c r="A60" s="3" t="n"/>
      <c r="B60" s="6" t="n"/>
    </row>
    <row r="61">
      <c r="A61" s="3" t="n"/>
      <c r="B61" s="6" t="n"/>
    </row>
    <row r="62">
      <c r="A62" s="3" t="n"/>
      <c r="B62" s="6" t="n"/>
    </row>
    <row r="63">
      <c r="A63" s="3" t="n"/>
      <c r="B63" s="6" t="n"/>
    </row>
    <row r="64">
      <c r="A64" s="3" t="n"/>
      <c r="B64" s="6" t="n"/>
    </row>
    <row r="65">
      <c r="A65" s="3" t="n"/>
      <c r="B65" s="6" t="n"/>
    </row>
    <row r="66">
      <c r="A66" s="3" t="n"/>
      <c r="B66" s="6" t="n"/>
    </row>
    <row r="67">
      <c r="A67" s="3" t="n"/>
      <c r="B67" s="6" t="n"/>
    </row>
    <row r="68">
      <c r="A68" s="3" t="n"/>
      <c r="B68" s="6" t="n"/>
    </row>
    <row r="69">
      <c r="A69" s="3" t="n"/>
      <c r="B69" s="6" t="n"/>
    </row>
    <row r="70">
      <c r="A70" s="3" t="n"/>
      <c r="B70" s="6" t="n"/>
    </row>
    <row r="71">
      <c r="A71" s="3" t="n"/>
      <c r="B71" s="6" t="n"/>
    </row>
    <row r="72">
      <c r="A72" s="3" t="n"/>
      <c r="B72" s="6" t="n"/>
    </row>
    <row r="73">
      <c r="A73" s="3" t="n"/>
      <c r="B73" s="6" t="n"/>
    </row>
    <row r="74">
      <c r="A74" s="3" t="n"/>
      <c r="B74" s="6" t="n"/>
    </row>
    <row r="75">
      <c r="A75" s="3" t="n"/>
      <c r="B75" s="6" t="n"/>
    </row>
    <row r="76">
      <c r="A76" s="3" t="n"/>
      <c r="B76" s="6" t="n"/>
    </row>
    <row r="77">
      <c r="A77" s="3" t="n"/>
      <c r="B77" s="6" t="n"/>
    </row>
    <row r="78">
      <c r="A78" s="3" t="n"/>
      <c r="B78" s="6" t="n"/>
    </row>
    <row r="79">
      <c r="A79" s="3" t="n"/>
      <c r="B79" s="6" t="n"/>
    </row>
    <row r="80">
      <c r="A80" s="3" t="n"/>
      <c r="B80" s="6" t="n"/>
    </row>
    <row r="81">
      <c r="A81" s="3" t="n"/>
      <c r="B81" s="6" t="n"/>
    </row>
    <row r="82">
      <c r="A82" s="3" t="n"/>
      <c r="B82" s="6" t="n"/>
    </row>
    <row r="83">
      <c r="A83" s="3" t="n"/>
      <c r="B83" s="6" t="n"/>
    </row>
    <row r="84">
      <c r="A84" s="3" t="n"/>
      <c r="B84" s="6" t="n"/>
    </row>
    <row r="85">
      <c r="A85" s="3" t="n"/>
      <c r="B85" s="6" t="n"/>
    </row>
    <row r="86">
      <c r="A86" s="3" t="n"/>
      <c r="B86" s="6" t="n"/>
    </row>
    <row r="87">
      <c r="A87" s="3" t="n"/>
      <c r="B87" s="6" t="n"/>
    </row>
    <row r="88">
      <c r="A88" s="3" t="n"/>
      <c r="B88" s="6" t="n"/>
    </row>
    <row r="89">
      <c r="A89" s="3" t="n"/>
      <c r="B89" s="6" t="n"/>
    </row>
    <row r="90">
      <c r="A90" s="3" t="n"/>
      <c r="B90" s="6" t="n"/>
    </row>
    <row r="91">
      <c r="A91" s="3" t="n"/>
      <c r="B91" s="6" t="n"/>
    </row>
    <row r="92">
      <c r="A92" s="3" t="n"/>
      <c r="B92" s="6" t="n"/>
    </row>
    <row r="93">
      <c r="A93" s="3" t="n"/>
      <c r="B93" s="6" t="n"/>
    </row>
    <row r="94">
      <c r="A94" s="3" t="n"/>
      <c r="B94" s="6" t="n"/>
    </row>
    <row r="95">
      <c r="A95" s="3" t="n"/>
      <c r="B95" s="6" t="n"/>
    </row>
    <row r="96">
      <c r="A96" s="3" t="n"/>
      <c r="B96" s="6" t="n"/>
    </row>
    <row r="97">
      <c r="A97" s="3" t="n"/>
      <c r="B97" s="6" t="n"/>
    </row>
    <row r="98">
      <c r="A98" s="3" t="n"/>
      <c r="B98" s="6" t="n"/>
    </row>
    <row r="99">
      <c r="A99" s="3" t="n"/>
      <c r="B99" s="6" t="n"/>
    </row>
    <row r="100">
      <c r="A100" s="3" t="n"/>
      <c r="B100" s="6" t="n"/>
    </row>
    <row r="101">
      <c r="A101" s="3" t="n"/>
      <c r="B101" s="6" t="n"/>
    </row>
    <row r="102">
      <c r="A102" s="3" t="n"/>
      <c r="B102" s="6" t="n"/>
    </row>
    <row r="103">
      <c r="A103" s="3" t="n"/>
      <c r="B103" s="6" t="n"/>
    </row>
    <row r="104">
      <c r="A104" s="3" t="n"/>
      <c r="B104" s="6" t="n"/>
    </row>
    <row r="105">
      <c r="A105" s="3" t="n"/>
      <c r="B105" s="6" t="n"/>
    </row>
    <row r="106">
      <c r="A106" s="3" t="n"/>
      <c r="B106" s="6" t="n"/>
    </row>
    <row r="107">
      <c r="A107" s="3" t="n"/>
      <c r="B107" s="6" t="n"/>
    </row>
    <row r="108">
      <c r="A108" s="3" t="n"/>
      <c r="B108" s="6" t="n"/>
    </row>
    <row r="109">
      <c r="A109" s="3" t="n"/>
      <c r="B109" s="6" t="n"/>
    </row>
    <row r="110">
      <c r="A110" s="3" t="n"/>
      <c r="B110" s="6" t="n"/>
    </row>
    <row r="111">
      <c r="A111" s="3" t="n"/>
      <c r="B111" s="6" t="n"/>
    </row>
    <row r="112">
      <c r="A112" s="3" t="n"/>
      <c r="B112" s="6" t="n"/>
    </row>
    <row r="113">
      <c r="A113" s="3" t="n"/>
      <c r="B113" s="6" t="n"/>
    </row>
    <row r="114">
      <c r="A114" s="3" t="n"/>
      <c r="B114" s="6" t="n"/>
    </row>
    <row r="115">
      <c r="A115" s="3" t="n"/>
      <c r="B115" s="6" t="n"/>
    </row>
    <row r="116">
      <c r="A116" s="3" t="n"/>
      <c r="B116" s="6" t="n"/>
    </row>
    <row r="117">
      <c r="A117" s="3" t="n"/>
      <c r="B117" s="6" t="n"/>
    </row>
    <row r="118">
      <c r="A118" s="3" t="n"/>
      <c r="B118" s="6" t="n"/>
    </row>
    <row r="119">
      <c r="A119" s="3" t="n"/>
      <c r="B119" s="6" t="n"/>
    </row>
    <row r="120">
      <c r="A120" s="3" t="n"/>
      <c r="B120" s="6" t="n"/>
    </row>
    <row r="121">
      <c r="A121" s="3" t="n"/>
      <c r="B121" s="6" t="n"/>
    </row>
    <row r="122">
      <c r="A122" s="3" t="n"/>
      <c r="B122" s="6" t="n"/>
    </row>
    <row r="123">
      <c r="A123" s="3" t="n"/>
      <c r="B123" s="6" t="n"/>
    </row>
    <row r="124">
      <c r="A124" s="3" t="n"/>
      <c r="B124" s="6" t="n"/>
    </row>
    <row r="125">
      <c r="A125" s="3" t="n"/>
      <c r="B125" s="6" t="n"/>
    </row>
    <row r="126">
      <c r="A126" s="3" t="n"/>
      <c r="B126" s="6" t="n"/>
    </row>
    <row r="127">
      <c r="A127" s="3" t="n"/>
      <c r="B127" s="6" t="n"/>
    </row>
    <row r="128">
      <c r="A128" s="3" t="n"/>
      <c r="B128" s="6" t="n"/>
    </row>
    <row r="129">
      <c r="A129" s="3" t="n"/>
      <c r="B129" s="6" t="n"/>
    </row>
    <row r="130">
      <c r="A130" s="3" t="n"/>
      <c r="B130" s="6" t="n"/>
    </row>
    <row r="131">
      <c r="A131" s="3" t="n"/>
      <c r="B131" s="6" t="n"/>
    </row>
    <row r="132">
      <c r="A132" s="3" t="n"/>
      <c r="B132" s="6" t="n"/>
    </row>
    <row r="133">
      <c r="A133" s="3" t="n"/>
      <c r="B133" s="6" t="n"/>
    </row>
    <row r="134">
      <c r="A134" s="3" t="n"/>
      <c r="B134" s="6" t="n"/>
    </row>
    <row r="135">
      <c r="A135" s="3" t="n"/>
      <c r="B135" s="6" t="n"/>
    </row>
    <row r="136">
      <c r="A136" s="3" t="n"/>
      <c r="B136" s="6" t="n"/>
    </row>
    <row r="137">
      <c r="A137" s="3" t="n"/>
      <c r="B137" s="6" t="n"/>
    </row>
    <row r="138">
      <c r="A138" s="3" t="n"/>
      <c r="B138" s="6" t="n"/>
    </row>
    <row r="139">
      <c r="A139" s="3" t="n"/>
      <c r="B139" s="6" t="n"/>
    </row>
    <row r="140">
      <c r="A140" s="3" t="n"/>
      <c r="B140" s="6" t="n"/>
    </row>
    <row r="141">
      <c r="A141" s="3" t="n"/>
      <c r="B141" s="6" t="n"/>
    </row>
    <row r="142">
      <c r="A142" s="3" t="n"/>
      <c r="B142" s="6" t="n"/>
    </row>
    <row r="143">
      <c r="A143" s="3" t="n"/>
      <c r="B143" s="6" t="n"/>
    </row>
    <row r="144">
      <c r="A144" s="3" t="n"/>
      <c r="B144" s="6" t="n"/>
    </row>
    <row r="145">
      <c r="A145" s="3" t="n"/>
      <c r="B145" s="6" t="n"/>
    </row>
    <row r="146">
      <c r="A146" s="3" t="n"/>
      <c r="B146" s="6" t="n"/>
    </row>
    <row r="147">
      <c r="A147" s="3" t="n"/>
      <c r="B147" s="6" t="n"/>
    </row>
    <row r="148">
      <c r="A148" s="3" t="n"/>
      <c r="B148" s="6" t="n"/>
    </row>
    <row r="149">
      <c r="A149" s="3" t="n"/>
      <c r="B149" s="6" t="n"/>
    </row>
    <row r="150">
      <c r="A150" s="3" t="n"/>
      <c r="B150" s="6" t="n"/>
    </row>
    <row r="151">
      <c r="A151" s="3" t="n"/>
      <c r="B151" s="6" t="n"/>
    </row>
    <row r="152">
      <c r="A152" s="3" t="n"/>
      <c r="B152" s="6" t="n"/>
    </row>
    <row r="153">
      <c r="A153" s="3" t="n"/>
      <c r="B153" s="6" t="n"/>
    </row>
    <row r="154">
      <c r="A154" s="3" t="n"/>
      <c r="B154" s="6" t="n"/>
    </row>
    <row r="155">
      <c r="A155" s="3" t="n"/>
      <c r="B155" s="6" t="n"/>
    </row>
    <row r="156">
      <c r="A156" s="3" t="n"/>
      <c r="B156" s="6" t="n"/>
    </row>
    <row r="157">
      <c r="A157" s="3" t="n"/>
      <c r="B157" s="6" t="n"/>
    </row>
    <row r="158">
      <c r="A158" s="3" t="n"/>
      <c r="B158" s="6" t="n"/>
    </row>
    <row r="159">
      <c r="A159" s="3" t="n"/>
      <c r="B159" s="6" t="n"/>
    </row>
    <row r="160">
      <c r="A160" s="3" t="n"/>
      <c r="B160" s="6" t="n"/>
    </row>
    <row r="161">
      <c r="A161" s="3" t="n"/>
      <c r="B161" s="6" t="n"/>
    </row>
    <row r="162">
      <c r="A162" s="3" t="n"/>
      <c r="B162" s="6" t="n"/>
    </row>
    <row r="163">
      <c r="A163" s="3" t="n"/>
      <c r="B163" s="6" t="n"/>
    </row>
    <row r="164">
      <c r="A164" s="3" t="n"/>
      <c r="B164" s="6" t="n"/>
    </row>
    <row r="165">
      <c r="A165" s="3" t="n"/>
      <c r="B165" s="6" t="n"/>
    </row>
    <row r="166">
      <c r="A166" s="3" t="n"/>
      <c r="B166" s="6" t="n"/>
    </row>
    <row r="167">
      <c r="A167" s="3" t="n"/>
      <c r="B167" s="6" t="n"/>
    </row>
    <row r="168">
      <c r="A168" s="3" t="n"/>
      <c r="B168" s="6" t="n"/>
    </row>
    <row r="169">
      <c r="A169" s="3" t="n"/>
      <c r="B169" s="6" t="n"/>
    </row>
    <row r="170">
      <c r="A170" s="3" t="n"/>
      <c r="B170" s="6" t="n"/>
    </row>
    <row r="171">
      <c r="A171" s="3" t="n"/>
      <c r="B171" s="6" t="n"/>
    </row>
    <row r="172">
      <c r="A172" s="3" t="n"/>
      <c r="B172" s="6" t="n"/>
    </row>
    <row r="173">
      <c r="A173" s="3" t="n"/>
      <c r="B173" s="6" t="n"/>
    </row>
    <row r="174">
      <c r="A174" s="3" t="n"/>
      <c r="B174" s="6" t="n"/>
    </row>
    <row r="175">
      <c r="A175" s="3" t="n"/>
      <c r="B175" s="6" t="n"/>
    </row>
    <row r="176">
      <c r="A176" s="3" t="n"/>
      <c r="B176" s="6" t="n"/>
    </row>
    <row r="177">
      <c r="A177" s="3" t="n"/>
      <c r="B177" s="6" t="n"/>
    </row>
    <row r="178">
      <c r="A178" s="3" t="n"/>
      <c r="B178" s="6" t="n"/>
    </row>
    <row r="179">
      <c r="A179" s="3" t="n"/>
      <c r="B179" s="6" t="n"/>
    </row>
    <row r="180">
      <c r="A180" s="3" t="n"/>
      <c r="B180" s="6" t="n"/>
    </row>
    <row r="181">
      <c r="A181" s="3" t="n"/>
      <c r="B181" s="6" t="n"/>
    </row>
    <row r="182">
      <c r="A182" s="3" t="n"/>
      <c r="B182" s="6" t="n"/>
    </row>
    <row r="183">
      <c r="A183" s="3" t="n"/>
      <c r="B183" s="6" t="n"/>
    </row>
    <row r="184">
      <c r="A184" s="3" t="n"/>
      <c r="B184" s="6" t="n"/>
    </row>
    <row r="185">
      <c r="A185" s="3" t="n"/>
      <c r="B185" s="6" t="n"/>
    </row>
    <row r="186">
      <c r="A186" s="3" t="n"/>
      <c r="B186" s="6" t="n"/>
    </row>
    <row r="187">
      <c r="A187" s="3" t="n"/>
      <c r="B187" s="6" t="n"/>
    </row>
    <row r="188">
      <c r="A188" s="3" t="n"/>
      <c r="B188" s="6" t="n"/>
    </row>
    <row r="189">
      <c r="A189" s="3" t="n"/>
      <c r="B189" s="6" t="n"/>
    </row>
    <row r="190">
      <c r="A190" s="3" t="n"/>
      <c r="B190" s="6" t="n"/>
    </row>
    <row r="191">
      <c r="A191" s="3" t="n"/>
      <c r="B191" s="6" t="n"/>
    </row>
    <row r="192">
      <c r="A192" s="3" t="n"/>
      <c r="B192" s="6" t="n"/>
    </row>
    <row r="193">
      <c r="A193" s="3" t="n"/>
      <c r="B193" s="6" t="n"/>
    </row>
    <row r="194">
      <c r="A194" s="3" t="n"/>
      <c r="B194" s="6" t="n"/>
    </row>
    <row r="195">
      <c r="A195" s="3" t="n"/>
      <c r="B195" s="6" t="n"/>
    </row>
    <row r="196">
      <c r="A196" s="3" t="n"/>
      <c r="B196" s="6" t="n"/>
    </row>
    <row r="197">
      <c r="A197" s="3" t="n"/>
      <c r="B197" s="6" t="n"/>
    </row>
    <row r="198">
      <c r="A198" s="3" t="n"/>
      <c r="B198" s="6" t="n"/>
    </row>
    <row r="199">
      <c r="A199" s="3" t="n"/>
      <c r="B199" s="6" t="n"/>
    </row>
    <row r="200">
      <c r="A200" s="3" t="n"/>
      <c r="B200" s="6" t="n"/>
    </row>
    <row r="201">
      <c r="A201" s="3" t="n"/>
      <c r="B201" s="6" t="n"/>
    </row>
    <row r="202">
      <c r="A202" s="3" t="n"/>
      <c r="B202" s="6" t="n"/>
    </row>
    <row r="203">
      <c r="A203" s="3" t="n"/>
      <c r="B203" s="6" t="n"/>
    </row>
    <row r="204">
      <c r="A204" s="3" t="n"/>
      <c r="B204" s="6" t="n"/>
    </row>
    <row r="205">
      <c r="A205" s="3" t="n"/>
      <c r="B205" s="6" t="n"/>
    </row>
    <row r="206">
      <c r="A206" s="3" t="n"/>
      <c r="B206" s="6" t="n"/>
    </row>
    <row r="207">
      <c r="A207" s="3" t="n"/>
      <c r="B207" s="6" t="n"/>
    </row>
    <row r="208">
      <c r="A208" s="3" t="n"/>
      <c r="B208" s="6" t="n"/>
    </row>
    <row r="209">
      <c r="A209" s="3" t="n"/>
      <c r="B209" s="6" t="n"/>
    </row>
    <row r="210">
      <c r="A210" s="3" t="n"/>
      <c r="B210" s="6" t="n"/>
    </row>
    <row r="211">
      <c r="A211" s="3" t="n"/>
      <c r="B211" s="6" t="n"/>
    </row>
    <row r="212">
      <c r="A212" s="3" t="n"/>
      <c r="B212" s="6" t="n"/>
    </row>
    <row r="213">
      <c r="A213" s="3" t="n"/>
      <c r="B213" s="6" t="n"/>
    </row>
    <row r="214">
      <c r="A214" s="3" t="n"/>
      <c r="B214" s="6" t="n"/>
    </row>
    <row r="215">
      <c r="A215" s="3" t="n"/>
      <c r="B215" s="6" t="n"/>
    </row>
    <row r="216">
      <c r="A216" s="3" t="n"/>
      <c r="B216" s="6" t="n"/>
    </row>
    <row r="217">
      <c r="A217" s="3" t="n"/>
      <c r="B217" s="6" t="n"/>
    </row>
    <row r="218">
      <c r="A218" s="3" t="n"/>
      <c r="B218" s="6" t="n"/>
    </row>
    <row r="219">
      <c r="A219" s="3" t="n"/>
      <c r="B219" s="6" t="n"/>
    </row>
    <row r="220">
      <c r="A220" s="3" t="n"/>
      <c r="B220" s="6" t="n"/>
    </row>
    <row r="221">
      <c r="A221" s="3" t="n"/>
      <c r="B221" s="6" t="n"/>
    </row>
    <row r="222">
      <c r="A222" s="3" t="n"/>
      <c r="B222" s="6" t="n"/>
    </row>
    <row r="223">
      <c r="A223" s="3" t="n"/>
      <c r="B223" s="6" t="n"/>
    </row>
    <row r="224">
      <c r="A224" s="3" t="n"/>
      <c r="B224" s="6" t="n"/>
    </row>
    <row r="225">
      <c r="A225" s="3" t="n"/>
      <c r="B225" s="6" t="n"/>
    </row>
    <row r="226">
      <c r="A226" s="3" t="n"/>
      <c r="B226" s="6" t="n"/>
    </row>
    <row r="227">
      <c r="A227" s="3" t="n"/>
      <c r="B227" s="6" t="n"/>
    </row>
    <row r="228">
      <c r="A228" s="3" t="n"/>
      <c r="B228" s="6" t="n"/>
    </row>
    <row r="229">
      <c r="A229" s="3" t="n"/>
      <c r="B229" s="6" t="n"/>
    </row>
    <row r="230">
      <c r="A230" s="3" t="n"/>
      <c r="B230" s="6" t="n"/>
    </row>
    <row r="231">
      <c r="A231" s="3" t="n"/>
      <c r="B231" s="6" t="n"/>
    </row>
    <row r="232">
      <c r="A232" s="3" t="n"/>
      <c r="B232" s="6" t="n"/>
    </row>
    <row r="233">
      <c r="A233" s="3" t="n"/>
      <c r="B233" s="6" t="n"/>
    </row>
    <row r="234">
      <c r="A234" s="3" t="n"/>
      <c r="B234" s="6" t="n"/>
    </row>
    <row r="235">
      <c r="A235" s="3" t="n"/>
      <c r="B235" s="6" t="n"/>
    </row>
    <row r="236">
      <c r="A236" s="3" t="n"/>
      <c r="B236" s="6" t="n"/>
    </row>
    <row r="237">
      <c r="A237" s="3" t="n"/>
      <c r="B237" s="6" t="n"/>
    </row>
    <row r="238">
      <c r="A238" s="3" t="n"/>
      <c r="B238" s="6" t="n"/>
    </row>
    <row r="239">
      <c r="A239" s="3" t="n"/>
      <c r="B239" s="6" t="n"/>
    </row>
    <row r="240">
      <c r="A240" s="3" t="n"/>
      <c r="B240" s="6" t="n"/>
    </row>
    <row r="241">
      <c r="A241" s="3" t="n"/>
      <c r="B241" s="6" t="n"/>
    </row>
    <row r="242">
      <c r="A242" s="3" t="n"/>
      <c r="B242" s="6" t="n"/>
    </row>
    <row r="243">
      <c r="A243" s="3" t="n"/>
      <c r="B243" s="6" t="n"/>
    </row>
    <row r="244">
      <c r="A244" s="3" t="n"/>
      <c r="B244" s="6" t="n"/>
    </row>
    <row r="245">
      <c r="A245" s="3" t="n"/>
      <c r="B245" s="6" t="n"/>
    </row>
    <row r="246">
      <c r="A246" s="3" t="n"/>
      <c r="B246" s="6" t="n"/>
    </row>
    <row r="247">
      <c r="A247" s="3" t="n"/>
      <c r="B247" s="6" t="n"/>
    </row>
    <row r="248">
      <c r="A248" s="3" t="n"/>
      <c r="B248" s="6" t="n"/>
    </row>
    <row r="249">
      <c r="A249" s="3" t="n"/>
      <c r="B249" s="6" t="n"/>
    </row>
    <row r="250">
      <c r="A250" s="3" t="n"/>
      <c r="B250" s="6" t="n"/>
    </row>
    <row r="251">
      <c r="A251" s="3" t="n"/>
      <c r="B251" s="6" t="n"/>
    </row>
    <row r="252">
      <c r="A252" s="3" t="n"/>
      <c r="B252" s="6" t="n"/>
    </row>
    <row r="253">
      <c r="A253" s="3" t="n"/>
      <c r="B253" s="6" t="n"/>
    </row>
    <row r="254">
      <c r="A254" s="3" t="n"/>
      <c r="B254" s="6" t="n"/>
    </row>
    <row r="255">
      <c r="A255" s="3" t="n"/>
      <c r="B255" s="6" t="n"/>
    </row>
    <row r="256">
      <c r="A256" s="3" t="n"/>
      <c r="B256" s="6" t="n"/>
    </row>
    <row r="257">
      <c r="A257" s="3" t="n"/>
      <c r="B257" s="6" t="n"/>
    </row>
    <row r="258">
      <c r="A258" s="3" t="n"/>
      <c r="B258" s="6" t="n"/>
    </row>
    <row r="259">
      <c r="A259" s="3" t="n"/>
      <c r="B259" s="6" t="n"/>
    </row>
    <row r="260">
      <c r="A260" s="3" t="n"/>
      <c r="B260" s="6" t="n"/>
    </row>
    <row r="261">
      <c r="A261" s="3" t="n"/>
      <c r="B261" s="6" t="n"/>
    </row>
    <row r="262">
      <c r="A262" s="3" t="n"/>
      <c r="B262" s="6" t="n"/>
    </row>
    <row r="263">
      <c r="A263" s="3" t="n"/>
      <c r="B263" s="6" t="n"/>
    </row>
    <row r="264">
      <c r="A264" s="3" t="n"/>
      <c r="B264" s="6" t="n"/>
    </row>
    <row r="265">
      <c r="A265" s="3" t="n"/>
      <c r="B265" s="6" t="n"/>
    </row>
    <row r="266">
      <c r="A266" s="3" t="n"/>
      <c r="B266" s="6" t="n"/>
    </row>
    <row r="267">
      <c r="A267" s="3" t="n"/>
      <c r="B267" s="6" t="n"/>
    </row>
    <row r="268">
      <c r="A268" s="3" t="n"/>
      <c r="B268" s="6" t="n"/>
    </row>
    <row r="269">
      <c r="A269" s="3" t="n"/>
      <c r="B269" s="6" t="n"/>
    </row>
    <row r="270">
      <c r="A270" s="3" t="n"/>
      <c r="B270" s="6" t="n"/>
    </row>
    <row r="271">
      <c r="A271" s="3" t="n"/>
      <c r="B271" s="6" t="n"/>
    </row>
    <row r="272">
      <c r="A272" s="3" t="n"/>
      <c r="B272" s="6" t="n"/>
    </row>
    <row r="273">
      <c r="A273" s="3" t="n"/>
      <c r="B273" s="6" t="n"/>
    </row>
    <row r="274">
      <c r="A274" s="3" t="n"/>
      <c r="B274" s="6" t="n"/>
    </row>
    <row r="275">
      <c r="A275" s="3" t="n"/>
      <c r="B275" s="6" t="n"/>
    </row>
    <row r="276">
      <c r="A276" s="3" t="n"/>
      <c r="B276" s="6" t="n"/>
    </row>
    <row r="277">
      <c r="A277" s="3" t="n"/>
      <c r="B277" s="6" t="n"/>
    </row>
    <row r="278">
      <c r="A278" s="3" t="n"/>
      <c r="B278" s="6" t="n"/>
    </row>
    <row r="279">
      <c r="A279" s="3" t="n"/>
      <c r="B279" s="6" t="n"/>
    </row>
    <row r="280">
      <c r="A280" s="3" t="n"/>
      <c r="B280" s="6" t="n"/>
    </row>
    <row r="281">
      <c r="A281" s="3" t="n"/>
      <c r="B281" s="6" t="n"/>
    </row>
    <row r="282">
      <c r="A282" s="3" t="n"/>
      <c r="B282" s="6" t="n"/>
    </row>
    <row r="283">
      <c r="A283" s="3" t="n"/>
      <c r="B283" s="6" t="n"/>
    </row>
    <row r="284">
      <c r="A284" s="3" t="n"/>
      <c r="B284" s="6" t="n"/>
    </row>
    <row r="285">
      <c r="A285" s="3" t="n"/>
      <c r="B285" s="6" t="n"/>
    </row>
    <row r="286">
      <c r="A286" s="3" t="n"/>
      <c r="B286" s="6" t="n"/>
    </row>
    <row r="287">
      <c r="A287" s="3" t="n"/>
      <c r="B287" s="6" t="n"/>
    </row>
    <row r="288">
      <c r="A288" s="3" t="n"/>
      <c r="B288" s="6" t="n"/>
    </row>
    <row r="289">
      <c r="A289" s="3" t="n"/>
      <c r="B289" s="6" t="n"/>
    </row>
    <row r="290">
      <c r="A290" s="3" t="n"/>
      <c r="B290" s="6" t="n"/>
    </row>
    <row r="291">
      <c r="A291" s="3" t="n"/>
      <c r="B291" s="6" t="n"/>
    </row>
    <row r="292">
      <c r="A292" s="3" t="n"/>
      <c r="B292" s="6" t="n"/>
    </row>
    <row r="293">
      <c r="A293" s="3" t="n"/>
      <c r="B293" s="6" t="n"/>
    </row>
    <row r="294">
      <c r="A294" s="3" t="n"/>
      <c r="B294" s="6" t="n"/>
    </row>
    <row r="295">
      <c r="A295" s="3" t="n"/>
      <c r="B295" s="6" t="n"/>
    </row>
    <row r="296">
      <c r="A296" s="3" t="n"/>
      <c r="B296" s="6" t="n"/>
    </row>
    <row r="297">
      <c r="A297" s="3" t="n"/>
      <c r="B297" s="6" t="n"/>
    </row>
    <row r="298">
      <c r="A298" s="3" t="n"/>
      <c r="B298" s="6" t="n"/>
    </row>
    <row r="299">
      <c r="A299" s="3" t="n"/>
      <c r="B299" s="6" t="n"/>
    </row>
    <row r="300">
      <c r="A300" s="3" t="n"/>
      <c r="B300" s="6" t="n"/>
    </row>
    <row r="301">
      <c r="A301" s="3" t="n"/>
      <c r="B301" s="6" t="n"/>
    </row>
    <row r="302">
      <c r="A302" s="3" t="n"/>
      <c r="B302" s="6" t="n"/>
    </row>
    <row r="303">
      <c r="A303" s="3" t="n"/>
      <c r="B303" s="6" t="n"/>
    </row>
    <row r="304">
      <c r="A304" s="3" t="n"/>
      <c r="B304" s="6" t="n"/>
    </row>
    <row r="305">
      <c r="A305" s="3" t="n"/>
      <c r="B305" s="6" t="n"/>
    </row>
    <row r="306">
      <c r="A306" s="3" t="n"/>
      <c r="B306" s="6" t="n"/>
    </row>
    <row r="307">
      <c r="A307" s="3" t="n"/>
      <c r="B307" s="6" t="n"/>
    </row>
    <row r="308">
      <c r="A308" s="3" t="n"/>
      <c r="B308" s="6" t="n"/>
    </row>
    <row r="309">
      <c r="A309" s="3" t="n"/>
      <c r="B309" s="6" t="n"/>
    </row>
    <row r="310">
      <c r="A310" s="3" t="n"/>
      <c r="B310" s="6" t="n"/>
    </row>
    <row r="311">
      <c r="A311" s="3" t="n"/>
      <c r="B311" s="6" t="n"/>
    </row>
    <row r="312">
      <c r="A312" s="3" t="n"/>
      <c r="B312" s="6" t="n"/>
    </row>
    <row r="313">
      <c r="A313" s="3" t="n"/>
      <c r="B313" s="6" t="n"/>
    </row>
    <row r="314">
      <c r="A314" s="3" t="n"/>
      <c r="B314" s="6" t="n"/>
    </row>
    <row r="315">
      <c r="A315" s="3" t="n"/>
      <c r="B315" s="6" t="n"/>
    </row>
    <row r="316">
      <c r="A316" s="3" t="n"/>
      <c r="B316" s="6" t="n"/>
    </row>
    <row r="317">
      <c r="A317" s="3" t="n"/>
      <c r="B317" s="6" t="n"/>
    </row>
    <row r="318">
      <c r="A318" s="3" t="n"/>
      <c r="B318" s="6" t="n"/>
    </row>
    <row r="319">
      <c r="A319" s="3" t="n"/>
      <c r="B319" s="6" t="n"/>
    </row>
    <row r="320">
      <c r="A320" s="3" t="n"/>
      <c r="B320" s="6" t="n"/>
    </row>
    <row r="321">
      <c r="A321" s="3" t="n"/>
      <c r="B321" s="6" t="n"/>
    </row>
    <row r="322">
      <c r="A322" s="3" t="n"/>
      <c r="B322" s="6" t="n"/>
    </row>
    <row r="323">
      <c r="A323" s="3" t="n"/>
      <c r="B323" s="6" t="n"/>
    </row>
    <row r="324">
      <c r="A324" s="3" t="n"/>
      <c r="B324" s="6" t="n"/>
    </row>
    <row r="325">
      <c r="A325" s="3" t="n"/>
      <c r="B325" s="6" t="n"/>
    </row>
    <row r="326">
      <c r="A326" s="3" t="n"/>
      <c r="B326" s="6" t="n"/>
    </row>
    <row r="327">
      <c r="A327" s="3" t="n"/>
      <c r="B327" s="6" t="n"/>
    </row>
    <row r="328">
      <c r="A328" s="3" t="n"/>
      <c r="B328" s="6" t="n"/>
    </row>
    <row r="329">
      <c r="A329" s="3" t="n"/>
      <c r="B329" s="6" t="n"/>
    </row>
    <row r="330">
      <c r="A330" s="3" t="n"/>
      <c r="B330" s="6" t="n"/>
    </row>
    <row r="331">
      <c r="A331" s="3" t="n"/>
      <c r="B331" s="6" t="n"/>
    </row>
    <row r="332">
      <c r="A332" s="3" t="n"/>
      <c r="B332" s="6" t="n"/>
    </row>
    <row r="333">
      <c r="A333" s="3" t="n"/>
      <c r="B333" s="6" t="n"/>
    </row>
    <row r="334">
      <c r="A334" s="3" t="n"/>
      <c r="B334" s="6" t="n"/>
    </row>
    <row r="335">
      <c r="A335" s="3" t="n"/>
      <c r="B335" s="6" t="n"/>
    </row>
    <row r="336">
      <c r="A336" s="3" t="n"/>
      <c r="B336" s="6" t="n"/>
    </row>
    <row r="337">
      <c r="A337" s="3" t="n"/>
      <c r="B337" s="6" t="n"/>
    </row>
    <row r="338">
      <c r="A338" s="3" t="n"/>
      <c r="B338" s="6" t="n"/>
    </row>
    <row r="339">
      <c r="A339" s="3" t="n"/>
      <c r="B339" s="6" t="n"/>
    </row>
    <row r="340">
      <c r="A340" s="3" t="n"/>
      <c r="B340" s="6" t="n"/>
    </row>
    <row r="341">
      <c r="A341" s="3" t="n"/>
      <c r="B341" s="6" t="n"/>
    </row>
    <row r="342">
      <c r="A342" s="3" t="n"/>
      <c r="B342" s="6" t="n"/>
    </row>
    <row r="343">
      <c r="A343" s="3" t="n"/>
      <c r="B343" s="6" t="n"/>
    </row>
    <row r="344">
      <c r="A344" s="3" t="n"/>
      <c r="B344" s="6" t="n"/>
    </row>
    <row r="345">
      <c r="A345" s="3" t="n"/>
      <c r="B345" s="6" t="n"/>
    </row>
    <row r="346">
      <c r="A346" s="3" t="n"/>
      <c r="B346" s="6" t="n"/>
    </row>
    <row r="347">
      <c r="A347" s="3" t="n"/>
      <c r="B347" s="6" t="n"/>
    </row>
    <row r="348">
      <c r="A348" s="3" t="n"/>
      <c r="B348" s="6" t="n"/>
    </row>
    <row r="349">
      <c r="A349" s="3" t="n"/>
      <c r="B349" s="6" t="n"/>
    </row>
    <row r="350">
      <c r="A350" s="3" t="n"/>
      <c r="B350" s="6" t="n"/>
    </row>
    <row r="351">
      <c r="A351" s="3" t="n"/>
      <c r="B351" s="6" t="n"/>
    </row>
    <row r="352">
      <c r="A352" s="3" t="n"/>
      <c r="B352" s="6" t="n"/>
    </row>
    <row r="353">
      <c r="A353" s="3" t="n"/>
      <c r="B353" s="6" t="n"/>
    </row>
    <row r="354">
      <c r="A354" s="3" t="n"/>
      <c r="B354" s="6" t="n"/>
    </row>
    <row r="355">
      <c r="A355" s="3" t="n"/>
      <c r="B355" s="6" t="n"/>
    </row>
    <row r="356">
      <c r="A356" s="3" t="n"/>
      <c r="B356" s="6" t="n"/>
    </row>
    <row r="357">
      <c r="A357" s="3" t="n"/>
      <c r="B357" s="6" t="n"/>
    </row>
    <row r="358">
      <c r="A358" s="3" t="n"/>
      <c r="B358" s="6" t="n"/>
    </row>
    <row r="359">
      <c r="A359" s="3" t="n"/>
      <c r="B359" s="6" t="n"/>
    </row>
    <row r="360">
      <c r="A360" s="3" t="n"/>
      <c r="B360" s="6" t="n"/>
    </row>
    <row r="361">
      <c r="A361" s="3" t="n"/>
      <c r="B361" s="6" t="n"/>
    </row>
    <row r="362">
      <c r="A362" s="3" t="n"/>
      <c r="B362" s="6" t="n"/>
    </row>
    <row r="363">
      <c r="A363" s="3" t="n"/>
      <c r="B363" s="6" t="n"/>
    </row>
    <row r="364">
      <c r="A364" s="3" t="n"/>
      <c r="B364" s="6" t="n"/>
    </row>
    <row r="365">
      <c r="A365" s="3" t="n"/>
      <c r="B365" s="6" t="n"/>
    </row>
    <row r="366">
      <c r="A366" s="3" t="n"/>
      <c r="B366" s="6" t="n"/>
    </row>
    <row r="367">
      <c r="A367" s="3" t="n"/>
      <c r="B367" s="6" t="n"/>
    </row>
    <row r="368">
      <c r="A368" s="3" t="n"/>
      <c r="B368" s="6" t="n"/>
    </row>
    <row r="369">
      <c r="A369" s="3" t="n"/>
      <c r="B369" s="6" t="n"/>
    </row>
    <row r="370">
      <c r="A370" s="3" t="n"/>
      <c r="B370" s="6" t="n"/>
    </row>
    <row r="371">
      <c r="A371" s="3" t="n"/>
      <c r="B371" s="6" t="n"/>
    </row>
    <row r="372">
      <c r="A372" s="3" t="n"/>
      <c r="B372" s="6" t="n"/>
    </row>
    <row r="373">
      <c r="A373" s="3" t="n"/>
      <c r="B373" s="6" t="n"/>
    </row>
    <row r="374">
      <c r="A374" s="3" t="n"/>
      <c r="B374" s="6" t="n"/>
    </row>
    <row r="375">
      <c r="A375" s="3" t="n"/>
      <c r="B375" s="6" t="n"/>
    </row>
    <row r="376">
      <c r="A376" s="3" t="n"/>
      <c r="B376" s="6" t="n"/>
    </row>
    <row r="377">
      <c r="A377" s="3" t="n"/>
      <c r="B377" s="6" t="n"/>
    </row>
    <row r="378">
      <c r="A378" s="3" t="n"/>
      <c r="B378" s="6" t="n"/>
    </row>
    <row r="379">
      <c r="A379" s="3" t="n"/>
      <c r="B379" s="6" t="n"/>
    </row>
    <row r="380">
      <c r="A380" s="3" t="n"/>
      <c r="B380" s="6" t="n"/>
    </row>
    <row r="381">
      <c r="A381" s="3" t="n"/>
      <c r="B381" s="6" t="n"/>
    </row>
    <row r="382">
      <c r="A382" s="3" t="n"/>
      <c r="B382" s="6" t="n"/>
    </row>
    <row r="383">
      <c r="A383" s="3" t="n"/>
      <c r="B383" s="6" t="n"/>
    </row>
    <row r="384">
      <c r="A384" s="3" t="n"/>
      <c r="B384" s="6" t="n"/>
    </row>
    <row r="385">
      <c r="A385" s="3" t="n"/>
      <c r="B385" s="6" t="n"/>
    </row>
    <row r="386">
      <c r="A386" s="3" t="n"/>
      <c r="B386" s="6" t="n"/>
    </row>
    <row r="387">
      <c r="A387" s="3" t="n"/>
      <c r="B387" s="6" t="n"/>
    </row>
    <row r="388">
      <c r="A388" s="3" t="n"/>
      <c r="B388" s="6" t="n"/>
    </row>
    <row r="389">
      <c r="A389" s="3" t="n"/>
      <c r="B389" s="6" t="n"/>
    </row>
    <row r="390">
      <c r="A390" s="3" t="n"/>
      <c r="B390" s="6" t="n"/>
    </row>
    <row r="391">
      <c r="A391" s="3" t="n"/>
      <c r="B391" s="6" t="n"/>
    </row>
    <row r="392">
      <c r="A392" s="3" t="n"/>
      <c r="B392" s="6" t="n"/>
    </row>
    <row r="393">
      <c r="A393" s="3" t="n"/>
      <c r="B393" s="6" t="n"/>
    </row>
    <row r="394">
      <c r="A394" s="3" t="n"/>
      <c r="B394" s="6" t="n"/>
    </row>
    <row r="395">
      <c r="A395" s="3" t="n"/>
      <c r="B395" s="6" t="n"/>
    </row>
    <row r="396">
      <c r="A396" s="3" t="n"/>
      <c r="B396" s="6" t="n"/>
    </row>
    <row r="397">
      <c r="A397" s="3" t="n"/>
      <c r="B397" s="6" t="n"/>
    </row>
    <row r="398">
      <c r="A398" s="3" t="n"/>
      <c r="B398" s="6" t="n"/>
    </row>
    <row r="399">
      <c r="A399" s="3" t="n"/>
      <c r="B399" s="6" t="n"/>
    </row>
    <row r="400">
      <c r="A400" s="3" t="n"/>
      <c r="B400" s="6" t="n"/>
    </row>
    <row r="401">
      <c r="A401" s="3" t="n"/>
      <c r="B401" s="6" t="n"/>
    </row>
    <row r="402">
      <c r="A402" s="3" t="n"/>
      <c r="B402" s="6" t="n"/>
    </row>
    <row r="403">
      <c r="A403" s="3" t="n"/>
      <c r="B403" s="6" t="n"/>
    </row>
    <row r="404">
      <c r="A404" s="3" t="n"/>
      <c r="B404" s="6" t="n"/>
    </row>
    <row r="405">
      <c r="A405" s="3" t="n"/>
      <c r="B405" s="6" t="n"/>
    </row>
    <row r="406">
      <c r="A406" s="3" t="n"/>
      <c r="B406" s="6" t="n"/>
    </row>
    <row r="407">
      <c r="A407" s="3" t="n"/>
      <c r="B407" s="6" t="n"/>
    </row>
    <row r="408">
      <c r="A408" s="3" t="n"/>
      <c r="B408" s="6" t="n"/>
    </row>
    <row r="409">
      <c r="A409" s="3" t="n"/>
      <c r="B409" s="6" t="n"/>
    </row>
    <row r="410">
      <c r="A410" s="3" t="n"/>
      <c r="B410" s="6" t="n"/>
    </row>
    <row r="411">
      <c r="A411" s="3" t="n"/>
      <c r="B411" s="6" t="n"/>
    </row>
    <row r="412">
      <c r="A412" s="3" t="n"/>
      <c r="B412" s="6" t="n"/>
    </row>
    <row r="413">
      <c r="A413" s="3" t="n"/>
      <c r="B413" s="6" t="n"/>
    </row>
    <row r="414">
      <c r="A414" s="3" t="n"/>
      <c r="B414" s="6" t="n"/>
    </row>
    <row r="415">
      <c r="A415" s="3" t="n"/>
      <c r="B415" s="6" t="n"/>
    </row>
    <row r="416">
      <c r="A416" s="3" t="n"/>
      <c r="B416" s="6" t="n"/>
    </row>
    <row r="417">
      <c r="A417" s="3" t="n"/>
      <c r="B417" s="6" t="n"/>
    </row>
    <row r="418">
      <c r="A418" s="3" t="n"/>
      <c r="B418" s="6" t="n"/>
    </row>
    <row r="419">
      <c r="A419" s="3" t="n"/>
      <c r="B419" s="6" t="n"/>
    </row>
    <row r="420">
      <c r="A420" s="3" t="n"/>
      <c r="B420" s="6" t="n"/>
    </row>
    <row r="421">
      <c r="A421" s="3" t="n"/>
      <c r="B421" s="6" t="n"/>
    </row>
    <row r="422">
      <c r="A422" s="3" t="n"/>
      <c r="B422" s="6" t="n"/>
    </row>
    <row r="423">
      <c r="A423" s="3" t="n"/>
      <c r="B423" s="6" t="n"/>
    </row>
    <row r="424">
      <c r="A424" s="3" t="n"/>
      <c r="B424" s="6" t="n"/>
    </row>
    <row r="425">
      <c r="A425" s="3" t="n"/>
      <c r="B425" s="6" t="n"/>
    </row>
    <row r="426">
      <c r="A426" s="3" t="n"/>
      <c r="B426" s="6" t="n"/>
    </row>
    <row r="427">
      <c r="A427" s="3" t="n"/>
      <c r="B427" s="6" t="n"/>
    </row>
    <row r="428">
      <c r="A428" s="3" t="n"/>
      <c r="B428" s="6" t="n"/>
    </row>
    <row r="429">
      <c r="A429" s="3" t="n"/>
      <c r="B429" s="6" t="n"/>
    </row>
    <row r="430">
      <c r="A430" s="3" t="n"/>
      <c r="B430" s="6" t="n"/>
    </row>
    <row r="431">
      <c r="A431" s="3" t="n"/>
      <c r="B431" s="6" t="n"/>
    </row>
    <row r="432">
      <c r="A432" s="3" t="n"/>
      <c r="B432" s="6" t="n"/>
    </row>
    <row r="433">
      <c r="A433" s="3" t="n"/>
      <c r="B433" s="6" t="n"/>
    </row>
    <row r="434">
      <c r="A434" s="3" t="n"/>
      <c r="B434" s="6" t="n"/>
    </row>
    <row r="435">
      <c r="A435" s="3" t="n"/>
      <c r="B435" s="6" t="n"/>
    </row>
    <row r="436">
      <c r="A436" s="3" t="n"/>
      <c r="B436" s="6" t="n"/>
    </row>
    <row r="437">
      <c r="A437" s="3" t="n"/>
      <c r="B437" s="6" t="n"/>
    </row>
    <row r="438">
      <c r="A438" s="3" t="n"/>
      <c r="B438" s="6" t="n"/>
    </row>
    <row r="439">
      <c r="A439" s="3" t="n"/>
      <c r="B439" s="6" t="n"/>
    </row>
    <row r="440">
      <c r="A440" s="3" t="n"/>
      <c r="B440" s="6" t="n"/>
    </row>
    <row r="441">
      <c r="A441" s="3" t="n"/>
      <c r="B441" s="6" t="n"/>
    </row>
    <row r="442">
      <c r="A442" s="3" t="n"/>
      <c r="B442" s="6" t="n"/>
    </row>
    <row r="443">
      <c r="A443" s="3" t="n"/>
      <c r="B443" s="6" t="n"/>
    </row>
    <row r="444">
      <c r="A444" s="3" t="n"/>
      <c r="B444" s="6" t="n"/>
    </row>
    <row r="445">
      <c r="A445" s="3" t="n"/>
      <c r="B445" s="6" t="n"/>
    </row>
    <row r="446">
      <c r="A446" s="3" t="n"/>
      <c r="B446" s="6" t="n"/>
    </row>
    <row r="447">
      <c r="A447" s="3" t="n"/>
      <c r="B447" s="6" t="n"/>
    </row>
    <row r="448">
      <c r="A448" s="3" t="n"/>
      <c r="B448" s="6" t="n"/>
    </row>
    <row r="449">
      <c r="A449" s="3" t="n"/>
      <c r="B449" s="6" t="n"/>
    </row>
    <row r="450">
      <c r="A450" s="3" t="n"/>
      <c r="B450" s="6" t="n"/>
    </row>
    <row r="451">
      <c r="A451" s="3" t="n"/>
      <c r="B451" s="6" t="n"/>
    </row>
    <row r="452">
      <c r="A452" s="3" t="n"/>
      <c r="B452" s="6" t="n"/>
    </row>
    <row r="453">
      <c r="A453" s="3" t="n"/>
      <c r="B453" s="6" t="n"/>
    </row>
    <row r="454">
      <c r="A454" s="3" t="n"/>
      <c r="B454" s="6" t="n"/>
    </row>
    <row r="455">
      <c r="A455" s="3" t="n"/>
      <c r="B455" s="6" t="n"/>
    </row>
    <row r="456">
      <c r="A456" s="3" t="n"/>
      <c r="B456" s="6" t="n"/>
    </row>
    <row r="457">
      <c r="A457" s="3" t="n"/>
      <c r="B457" s="6" t="n"/>
    </row>
    <row r="458">
      <c r="A458" s="3" t="n"/>
      <c r="B458" s="6" t="n"/>
    </row>
    <row r="459">
      <c r="A459" s="3" t="n"/>
      <c r="B459" s="6" t="n"/>
    </row>
    <row r="460">
      <c r="A460" s="3" t="n"/>
      <c r="B460" s="6" t="n"/>
    </row>
    <row r="461">
      <c r="A461" s="3" t="n"/>
      <c r="B461" s="6" t="n"/>
    </row>
    <row r="462">
      <c r="A462" s="3" t="n"/>
      <c r="B462" s="6" t="n"/>
    </row>
    <row r="463">
      <c r="A463" s="3" t="n"/>
      <c r="B463" s="6" t="n"/>
    </row>
    <row r="464">
      <c r="A464" s="3" t="n"/>
      <c r="B464" s="6" t="n"/>
    </row>
    <row r="465">
      <c r="A465" s="3" t="n"/>
      <c r="B465" s="6" t="n"/>
    </row>
    <row r="466">
      <c r="A466" s="3" t="n"/>
      <c r="B466" s="6" t="n"/>
    </row>
    <row r="467">
      <c r="A467" s="3" t="n"/>
      <c r="B467" s="6" t="n"/>
    </row>
    <row r="468">
      <c r="A468" s="3" t="n"/>
      <c r="B468" s="6" t="n"/>
    </row>
    <row r="469">
      <c r="A469" s="3" t="n"/>
      <c r="B469" s="6" t="n"/>
    </row>
    <row r="470">
      <c r="A470" s="3" t="n"/>
      <c r="B470" s="6" t="n"/>
    </row>
    <row r="471">
      <c r="A471" s="3" t="n"/>
      <c r="B471" s="6" t="n"/>
    </row>
    <row r="472">
      <c r="A472" s="3" t="n"/>
      <c r="B472" s="6" t="n"/>
    </row>
    <row r="473">
      <c r="A473" s="3" t="n"/>
      <c r="B473" s="6" t="n"/>
    </row>
    <row r="474">
      <c r="A474" s="3" t="n"/>
      <c r="B474" s="6" t="n"/>
    </row>
    <row r="475">
      <c r="A475" s="3" t="n"/>
      <c r="B475" s="6" t="n"/>
    </row>
    <row r="476">
      <c r="A476" s="3" t="n"/>
      <c r="B476" s="6" t="n"/>
    </row>
    <row r="477">
      <c r="A477" s="3" t="n"/>
      <c r="B477" s="6" t="n"/>
    </row>
    <row r="478">
      <c r="A478" s="3" t="n"/>
      <c r="B478" s="6" t="n"/>
    </row>
    <row r="479">
      <c r="A479" s="3" t="n"/>
      <c r="B479" s="6" t="n"/>
    </row>
    <row r="480">
      <c r="A480" s="3" t="n"/>
      <c r="B480" s="6" t="n"/>
    </row>
    <row r="481">
      <c r="A481" s="3" t="n"/>
      <c r="B481" s="6" t="n"/>
    </row>
    <row r="482">
      <c r="A482" s="3" t="n"/>
      <c r="B482" s="6" t="n"/>
    </row>
    <row r="483">
      <c r="A483" s="3" t="n"/>
      <c r="B483" s="6" t="n"/>
    </row>
    <row r="484">
      <c r="A484" s="3" t="n"/>
      <c r="B484" s="6" t="n"/>
    </row>
    <row r="485">
      <c r="A485" s="3" t="n"/>
      <c r="B485" s="6" t="n"/>
    </row>
    <row r="486">
      <c r="A486" s="3" t="n"/>
      <c r="B486" s="6" t="n"/>
    </row>
    <row r="487">
      <c r="A487" s="3" t="n"/>
      <c r="B487" s="6" t="n"/>
    </row>
    <row r="488">
      <c r="A488" s="3" t="n"/>
      <c r="B488" s="6" t="n"/>
    </row>
    <row r="489">
      <c r="A489" s="3" t="n"/>
      <c r="B489" s="6" t="n"/>
    </row>
    <row r="490">
      <c r="A490" s="3" t="n"/>
      <c r="B490" s="6" t="n"/>
    </row>
    <row r="491">
      <c r="A491" s="3" t="n"/>
      <c r="B491" s="6" t="n"/>
    </row>
    <row r="492">
      <c r="A492" s="3" t="n"/>
      <c r="B492" s="6" t="n"/>
    </row>
    <row r="493">
      <c r="A493" s="3" t="n"/>
      <c r="B493" s="6" t="n"/>
    </row>
    <row r="494">
      <c r="A494" s="3" t="n"/>
      <c r="B494" s="6" t="n"/>
    </row>
    <row r="495">
      <c r="A495" s="3" t="n"/>
      <c r="B495" s="6" t="n"/>
    </row>
    <row r="496">
      <c r="A496" s="3" t="n"/>
      <c r="B496" s="6" t="n"/>
    </row>
    <row r="497">
      <c r="A497" s="3" t="n"/>
      <c r="B497" s="6" t="n"/>
    </row>
    <row r="498">
      <c r="A498" s="3" t="n"/>
      <c r="B498" s="6" t="n"/>
    </row>
    <row r="499">
      <c r="A499" s="3" t="n"/>
      <c r="B499" s="6" t="n"/>
    </row>
    <row r="500">
      <c r="A500" s="3" t="n"/>
      <c r="B500" s="6" t="n"/>
    </row>
    <row r="501">
      <c r="A501" s="3" t="n"/>
      <c r="B501" s="6" t="n"/>
    </row>
    <row r="502">
      <c r="A502" s="3" t="n"/>
      <c r="B502" s="6" t="n"/>
    </row>
    <row r="503">
      <c r="A503" s="3" t="n"/>
      <c r="B503" s="6" t="n"/>
    </row>
    <row r="504">
      <c r="A504" s="3" t="n"/>
      <c r="B504" s="6" t="n"/>
    </row>
    <row r="505">
      <c r="A505" s="3" t="n"/>
      <c r="B505" s="6" t="n"/>
    </row>
    <row r="506">
      <c r="A506" s="3" t="n"/>
      <c r="B506" s="6" t="n"/>
    </row>
    <row r="507">
      <c r="A507" s="3" t="n"/>
      <c r="B507" s="6" t="n"/>
    </row>
    <row r="508">
      <c r="A508" s="3" t="n"/>
      <c r="B508" s="6" t="n"/>
    </row>
    <row r="509">
      <c r="A509" s="3" t="n"/>
      <c r="B509" s="6" t="n"/>
    </row>
    <row r="510">
      <c r="A510" s="3" t="n"/>
      <c r="B510" s="6" t="n"/>
    </row>
    <row r="511">
      <c r="A511" s="3" t="n"/>
      <c r="B511" s="6" t="n"/>
    </row>
    <row r="512">
      <c r="A512" s="3" t="n"/>
      <c r="B512" s="6" t="n"/>
    </row>
    <row r="513">
      <c r="A513" s="3" t="n"/>
      <c r="B513" s="6" t="n"/>
    </row>
    <row r="514">
      <c r="A514" s="3" t="n"/>
      <c r="B514" s="6" t="n"/>
    </row>
    <row r="515">
      <c r="A515" s="3" t="n"/>
      <c r="B515" s="6" t="n"/>
    </row>
    <row r="516">
      <c r="A516" s="3" t="n"/>
      <c r="B516" s="6" t="n"/>
    </row>
    <row r="517">
      <c r="A517" s="3" t="n"/>
      <c r="B517" s="6" t="n"/>
    </row>
    <row r="518">
      <c r="A518" s="3" t="n"/>
      <c r="B518" s="6" t="n"/>
    </row>
    <row r="519">
      <c r="A519" s="3" t="n"/>
      <c r="B519" s="6" t="n"/>
    </row>
    <row r="520">
      <c r="A520" s="3" t="n"/>
      <c r="B520" s="6" t="n"/>
    </row>
    <row r="521">
      <c r="A521" s="3" t="n"/>
      <c r="B521" s="6" t="n"/>
    </row>
    <row r="522">
      <c r="A522" s="3" t="n"/>
      <c r="B522" s="6" t="n"/>
    </row>
    <row r="523">
      <c r="A523" s="3" t="n"/>
      <c r="B523" s="6" t="n"/>
    </row>
    <row r="524">
      <c r="A524" s="3" t="n"/>
      <c r="B524" s="6" t="n"/>
    </row>
    <row r="525">
      <c r="A525" s="3" t="n"/>
      <c r="B525" s="6" t="n"/>
    </row>
    <row r="526">
      <c r="A526" s="3" t="n"/>
      <c r="B526" s="6" t="n"/>
    </row>
    <row r="527">
      <c r="A527" s="3" t="n"/>
      <c r="B527" s="6" t="n"/>
    </row>
    <row r="528">
      <c r="A528" s="3" t="n"/>
      <c r="B528" s="6" t="n"/>
    </row>
    <row r="529">
      <c r="A529" s="3" t="n"/>
      <c r="B529" s="6" t="n"/>
    </row>
    <row r="530">
      <c r="A530" s="3" t="n"/>
      <c r="B530" s="6" t="n"/>
    </row>
    <row r="531">
      <c r="A531" s="3" t="n"/>
      <c r="B531" s="6" t="n"/>
    </row>
    <row r="532">
      <c r="A532" s="3" t="n"/>
      <c r="B532" s="6" t="n"/>
    </row>
    <row r="533">
      <c r="A533" s="3" t="n"/>
      <c r="B533" s="6" t="n"/>
    </row>
    <row r="534">
      <c r="A534" s="3" t="n"/>
      <c r="B534" s="6" t="n"/>
    </row>
    <row r="535">
      <c r="A535" s="3" t="n"/>
      <c r="B535" s="6" t="n"/>
    </row>
    <row r="536">
      <c r="A536" s="3" t="n"/>
      <c r="B536" s="6" t="n"/>
    </row>
    <row r="537">
      <c r="A537" s="3" t="n"/>
      <c r="B537" s="6" t="n"/>
    </row>
    <row r="538">
      <c r="A538" s="3" t="n"/>
      <c r="B538" s="6" t="n"/>
    </row>
    <row r="539">
      <c r="A539" s="3" t="n"/>
      <c r="B539" s="6" t="n"/>
    </row>
    <row r="540">
      <c r="A540" s="3" t="n"/>
      <c r="B540" s="6" t="n"/>
    </row>
    <row r="541">
      <c r="A541" s="3" t="n"/>
      <c r="B541" s="6" t="n"/>
    </row>
    <row r="542">
      <c r="A542" s="3" t="n"/>
      <c r="B542" s="6" t="n"/>
    </row>
    <row r="543">
      <c r="A543" s="3" t="n"/>
      <c r="B543" s="6" t="n"/>
    </row>
    <row r="544">
      <c r="A544" s="3" t="n"/>
      <c r="B544" s="6" t="n"/>
    </row>
    <row r="545">
      <c r="A545" s="3" t="n"/>
      <c r="B545" s="6" t="n"/>
    </row>
    <row r="546">
      <c r="A546" s="3" t="n"/>
      <c r="B546" s="6" t="n"/>
    </row>
    <row r="547">
      <c r="A547" s="3" t="n"/>
      <c r="B547" s="6" t="n"/>
    </row>
    <row r="548">
      <c r="A548" s="3" t="n"/>
      <c r="B548" s="6" t="n"/>
    </row>
    <row r="549">
      <c r="A549" s="3" t="n"/>
      <c r="B549" s="6" t="n"/>
    </row>
    <row r="550">
      <c r="A550" s="3" t="n"/>
      <c r="B550" s="6" t="n"/>
    </row>
    <row r="551">
      <c r="A551" s="3" t="n"/>
      <c r="B551" s="6" t="n"/>
    </row>
    <row r="552">
      <c r="A552" s="3" t="n"/>
      <c r="B552" s="6" t="n"/>
    </row>
    <row r="553">
      <c r="A553" s="3" t="n"/>
      <c r="B553" s="6" t="n"/>
    </row>
    <row r="554">
      <c r="A554" s="3" t="n"/>
      <c r="B554" s="6" t="n"/>
    </row>
    <row r="555">
      <c r="A555" s="3" t="n"/>
      <c r="B555" s="6" t="n"/>
    </row>
    <row r="556">
      <c r="A556" s="3" t="n"/>
      <c r="B556" s="6" t="n"/>
    </row>
    <row r="557">
      <c r="A557" s="3" t="n"/>
      <c r="B557" s="6" t="n"/>
    </row>
    <row r="558">
      <c r="A558" s="3" t="n"/>
      <c r="B558" s="6" t="n"/>
    </row>
    <row r="559">
      <c r="A559" s="3" t="n"/>
      <c r="B559" s="6" t="n"/>
    </row>
    <row r="560">
      <c r="A560" s="3" t="n"/>
      <c r="B560" s="6" t="n"/>
    </row>
    <row r="561">
      <c r="A561" s="3" t="n"/>
      <c r="B561" s="6" t="n"/>
    </row>
    <row r="562">
      <c r="A562" s="3" t="n"/>
      <c r="B562" s="6" t="n"/>
    </row>
    <row r="563">
      <c r="A563" s="3" t="n"/>
      <c r="B563" s="6" t="n"/>
    </row>
    <row r="564">
      <c r="A564" s="3" t="n"/>
      <c r="B564" s="6" t="n"/>
    </row>
    <row r="565">
      <c r="A565" s="3" t="n"/>
      <c r="B565" s="6" t="n"/>
    </row>
    <row r="566">
      <c r="A566" s="3" t="n"/>
      <c r="B566" s="6" t="n"/>
    </row>
    <row r="567">
      <c r="A567" s="3" t="n"/>
      <c r="B567" s="6" t="n"/>
    </row>
    <row r="568">
      <c r="A568" s="3" t="n"/>
      <c r="B568" s="6" t="n"/>
    </row>
    <row r="569">
      <c r="A569" s="3" t="n"/>
      <c r="B569" s="6" t="n"/>
    </row>
    <row r="570">
      <c r="A570" s="3" t="n"/>
      <c r="B570" s="6" t="n"/>
    </row>
    <row r="571">
      <c r="A571" s="3" t="n"/>
      <c r="B571" s="6" t="n"/>
    </row>
    <row r="572">
      <c r="A572" s="3" t="n"/>
      <c r="B572" s="6" t="n"/>
    </row>
    <row r="573">
      <c r="A573" s="3" t="n"/>
      <c r="B573" s="6" t="n"/>
    </row>
    <row r="574">
      <c r="A574" s="3" t="n"/>
      <c r="B574" s="6" t="n"/>
    </row>
    <row r="575">
      <c r="A575" s="3" t="n"/>
      <c r="B575" s="6" t="n"/>
    </row>
    <row r="576">
      <c r="A576" s="3" t="n"/>
      <c r="B576" s="6" t="n"/>
    </row>
    <row r="577">
      <c r="A577" s="3" t="n"/>
      <c r="B577" s="6" t="n"/>
    </row>
    <row r="578">
      <c r="A578" s="3" t="n"/>
      <c r="B578" s="6" t="n"/>
    </row>
    <row r="579">
      <c r="A579" s="3" t="n"/>
      <c r="B579" s="6" t="n"/>
    </row>
    <row r="580">
      <c r="A580" s="3" t="n"/>
      <c r="B580" s="6" t="n"/>
    </row>
    <row r="581">
      <c r="A581" s="3" t="n"/>
      <c r="B581" s="6" t="n"/>
    </row>
    <row r="582">
      <c r="A582" s="3" t="n"/>
      <c r="B582" s="6" t="n"/>
    </row>
    <row r="583">
      <c r="A583" s="3" t="n"/>
      <c r="B583" s="6" t="n"/>
    </row>
    <row r="584">
      <c r="A584" s="3" t="n"/>
      <c r="B584" s="6" t="n"/>
    </row>
    <row r="585">
      <c r="A585" s="3" t="n"/>
      <c r="B585" s="6" t="n"/>
    </row>
    <row r="586">
      <c r="A586" s="3" t="n"/>
      <c r="B586" s="6" t="n"/>
    </row>
    <row r="587">
      <c r="A587" s="3" t="n"/>
      <c r="B587" s="6" t="n"/>
    </row>
    <row r="588">
      <c r="A588" s="3" t="n"/>
      <c r="B588" s="6" t="n"/>
    </row>
    <row r="589">
      <c r="A589" s="3" t="n"/>
      <c r="B589" s="6" t="n"/>
    </row>
    <row r="590">
      <c r="A590" s="3" t="n"/>
      <c r="B590" s="6" t="n"/>
    </row>
    <row r="591">
      <c r="A591" s="3" t="n"/>
      <c r="B591" s="6" t="n"/>
    </row>
    <row r="592">
      <c r="A592" s="3" t="n"/>
      <c r="B592" s="6" t="n"/>
    </row>
    <row r="593">
      <c r="A593" s="3" t="n"/>
      <c r="B593" s="6" t="n"/>
    </row>
    <row r="594">
      <c r="A594" s="3" t="n"/>
      <c r="B594" s="6" t="n"/>
    </row>
    <row r="595">
      <c r="A595" s="3" t="n"/>
      <c r="B595" s="6" t="n"/>
    </row>
    <row r="596">
      <c r="A596" s="3" t="n"/>
      <c r="B596" s="6" t="n"/>
    </row>
    <row r="597">
      <c r="A597" s="3" t="n"/>
      <c r="B597" s="6" t="n"/>
    </row>
    <row r="598">
      <c r="A598" s="3" t="n"/>
      <c r="B598" s="6" t="n"/>
    </row>
    <row r="599">
      <c r="A599" s="3" t="n"/>
      <c r="B599" s="6" t="n"/>
    </row>
    <row r="600">
      <c r="A600" s="3" t="n"/>
      <c r="B600" s="6" t="n"/>
    </row>
    <row r="601">
      <c r="A601" s="3" t="n"/>
      <c r="B601" s="6" t="n"/>
    </row>
    <row r="602">
      <c r="A602" s="3" t="n"/>
      <c r="B602" s="6" t="n"/>
    </row>
    <row r="603">
      <c r="A603" s="3" t="n"/>
      <c r="B603" s="6" t="n"/>
    </row>
    <row r="604">
      <c r="A604" s="3" t="n"/>
      <c r="B604" s="6" t="n"/>
    </row>
    <row r="605">
      <c r="A605" s="3" t="n"/>
      <c r="B605" s="6" t="n"/>
    </row>
    <row r="606">
      <c r="A606" s="3" t="n"/>
      <c r="B606" s="6" t="n"/>
    </row>
    <row r="607">
      <c r="A607" s="3" t="n"/>
      <c r="B607" s="6" t="n"/>
    </row>
    <row r="608">
      <c r="A608" s="3" t="n"/>
      <c r="B608" s="6" t="n"/>
    </row>
    <row r="609">
      <c r="A609" s="3" t="n"/>
      <c r="B609" s="6" t="n"/>
    </row>
    <row r="610">
      <c r="A610" s="3" t="n"/>
      <c r="B610" s="6" t="n"/>
    </row>
    <row r="611">
      <c r="A611" s="3" t="n"/>
      <c r="B611" s="6" t="n"/>
    </row>
    <row r="612">
      <c r="A612" s="3" t="n"/>
      <c r="B612" s="6" t="n"/>
    </row>
    <row r="613">
      <c r="A613" s="3" t="n"/>
      <c r="B613" s="6" t="n"/>
    </row>
    <row r="614">
      <c r="A614" s="3" t="n"/>
      <c r="B614" s="6" t="n"/>
    </row>
    <row r="615">
      <c r="A615" s="3" t="n"/>
      <c r="B615" s="6" t="n"/>
    </row>
    <row r="616">
      <c r="A616" s="3" t="n"/>
      <c r="B616" s="6" t="n"/>
    </row>
    <row r="617">
      <c r="A617" s="3" t="n"/>
      <c r="B617" s="6" t="n"/>
    </row>
    <row r="618">
      <c r="A618" s="3" t="n"/>
      <c r="B618" s="6" t="n"/>
    </row>
    <row r="619">
      <c r="A619" s="3" t="n"/>
      <c r="B619" s="6" t="n"/>
    </row>
    <row r="620">
      <c r="A620" s="3" t="n"/>
      <c r="B620" s="6" t="n"/>
    </row>
    <row r="621">
      <c r="A621" s="3" t="n"/>
      <c r="B621" s="6" t="n"/>
    </row>
    <row r="622">
      <c r="A622" s="3" t="n"/>
      <c r="B622" s="6" t="n"/>
    </row>
    <row r="623">
      <c r="A623" s="3" t="n"/>
      <c r="B623" s="6" t="n"/>
    </row>
    <row r="624">
      <c r="A624" s="3" t="n"/>
      <c r="B624" s="6" t="n"/>
    </row>
    <row r="625">
      <c r="A625" s="3" t="n"/>
      <c r="B625" s="6" t="n"/>
    </row>
    <row r="626">
      <c r="A626" s="3" t="n"/>
      <c r="B626" s="6" t="n"/>
    </row>
    <row r="627">
      <c r="A627" s="3" t="n"/>
      <c r="B627" s="6" t="n"/>
    </row>
    <row r="628">
      <c r="A628" s="3" t="n"/>
      <c r="B628" s="6" t="n"/>
    </row>
    <row r="629">
      <c r="A629" s="3" t="n"/>
      <c r="B629" s="6" t="n"/>
    </row>
    <row r="630">
      <c r="A630" s="3" t="n"/>
      <c r="B630" s="6" t="n"/>
    </row>
    <row r="631">
      <c r="A631" s="3" t="n"/>
      <c r="B631" s="6" t="n"/>
    </row>
    <row r="632">
      <c r="A632" s="3" t="n"/>
      <c r="B632" s="6" t="n"/>
    </row>
    <row r="633">
      <c r="A633" s="3" t="n"/>
      <c r="B633" s="6" t="n"/>
    </row>
    <row r="634">
      <c r="A634" s="3" t="n"/>
      <c r="B634" s="6" t="n"/>
    </row>
    <row r="635">
      <c r="A635" s="3" t="n"/>
      <c r="B635" s="6" t="n"/>
    </row>
    <row r="636">
      <c r="A636" s="3" t="n"/>
      <c r="B636" s="6" t="n"/>
    </row>
    <row r="637">
      <c r="A637" s="3" t="n"/>
      <c r="B637" s="6" t="n"/>
    </row>
    <row r="638">
      <c r="A638" s="3" t="n"/>
      <c r="B638" s="6" t="n"/>
    </row>
    <row r="639">
      <c r="A639" s="3" t="n"/>
      <c r="B639" s="6" t="n"/>
    </row>
    <row r="640">
      <c r="A640" s="3" t="n"/>
      <c r="B640" s="6" t="n"/>
    </row>
    <row r="641">
      <c r="A641" s="3" t="n"/>
      <c r="B641" s="6" t="n"/>
    </row>
    <row r="642">
      <c r="A642" s="3" t="n"/>
      <c r="B642" s="6" t="n"/>
    </row>
    <row r="643">
      <c r="A643" s="3" t="n"/>
      <c r="B643" s="6" t="n"/>
    </row>
    <row r="644">
      <c r="A644" s="3" t="n"/>
      <c r="B644" s="6" t="n"/>
    </row>
    <row r="645">
      <c r="A645" s="3" t="n"/>
      <c r="B645" s="6" t="n"/>
    </row>
    <row r="646">
      <c r="A646" s="3" t="n"/>
      <c r="B646" s="6" t="n"/>
    </row>
    <row r="647">
      <c r="A647" s="3" t="n"/>
      <c r="B647" s="6" t="n"/>
    </row>
    <row r="648">
      <c r="A648" s="3" t="n"/>
      <c r="B648" s="6" t="n"/>
    </row>
    <row r="649">
      <c r="A649" s="3" t="n"/>
      <c r="B649" s="6" t="n"/>
    </row>
    <row r="650">
      <c r="A650" s="3" t="n"/>
      <c r="B650" s="6" t="n"/>
    </row>
    <row r="651">
      <c r="A651" s="3" t="n"/>
      <c r="B651" s="6" t="n"/>
    </row>
    <row r="652">
      <c r="A652" s="3" t="n"/>
      <c r="B652" s="6" t="n"/>
    </row>
    <row r="653">
      <c r="A653" s="3" t="n"/>
      <c r="B653" s="6" t="n"/>
    </row>
    <row r="654">
      <c r="A654" s="3" t="n"/>
      <c r="B654" s="6" t="n"/>
    </row>
    <row r="655">
      <c r="A655" s="3" t="n"/>
      <c r="B655" s="6" t="n"/>
    </row>
    <row r="656">
      <c r="A656" s="3" t="n"/>
      <c r="B656" s="6" t="n"/>
    </row>
    <row r="657">
      <c r="A657" s="3" t="n"/>
      <c r="B657" s="6" t="n"/>
    </row>
    <row r="658">
      <c r="A658" s="3" t="n"/>
      <c r="B658" s="6" t="n"/>
    </row>
    <row r="659">
      <c r="A659" s="3" t="n"/>
      <c r="B659" s="6" t="n"/>
    </row>
    <row r="660">
      <c r="A660" s="3" t="n"/>
      <c r="B660" s="6" t="n"/>
    </row>
    <row r="661">
      <c r="A661" s="3" t="n"/>
      <c r="B661" s="6" t="n"/>
    </row>
    <row r="662">
      <c r="A662" s="3" t="n"/>
      <c r="B662" s="6" t="n"/>
    </row>
    <row r="663">
      <c r="A663" s="3" t="n"/>
      <c r="B663" s="6" t="n"/>
    </row>
    <row r="664">
      <c r="A664" s="3" t="n"/>
      <c r="B664" s="6" t="n"/>
    </row>
    <row r="665">
      <c r="A665" s="3" t="n"/>
      <c r="B665" s="6" t="n"/>
    </row>
    <row r="666">
      <c r="A666" s="3" t="n"/>
      <c r="B666" s="6" t="n"/>
    </row>
    <row r="667">
      <c r="A667" s="3" t="n"/>
      <c r="B667" s="6" t="n"/>
    </row>
    <row r="668">
      <c r="A668" s="3" t="n"/>
      <c r="B668" s="6" t="n"/>
    </row>
    <row r="669">
      <c r="A669" s="3" t="n"/>
      <c r="B669" s="6" t="n"/>
    </row>
    <row r="670">
      <c r="A670" s="3" t="n"/>
      <c r="B670" s="6" t="n"/>
    </row>
    <row r="671">
      <c r="A671" s="3" t="n"/>
      <c r="B671" s="6" t="n"/>
    </row>
    <row r="672">
      <c r="A672" s="3" t="n"/>
      <c r="B672" s="6" t="n"/>
    </row>
    <row r="673">
      <c r="A673" s="3" t="n"/>
      <c r="B673" s="6" t="n"/>
    </row>
    <row r="674">
      <c r="A674" s="3" t="n"/>
      <c r="B674" s="6" t="n"/>
    </row>
    <row r="675">
      <c r="A675" s="3" t="n"/>
      <c r="B675" s="6" t="n"/>
    </row>
    <row r="676">
      <c r="A676" s="3" t="n"/>
      <c r="B676" s="6" t="n"/>
    </row>
    <row r="677">
      <c r="A677" s="3" t="n"/>
      <c r="B677" s="6" t="n"/>
    </row>
    <row r="678">
      <c r="A678" s="3" t="n"/>
      <c r="B678" s="6" t="n"/>
    </row>
    <row r="679">
      <c r="A679" s="3" t="n"/>
      <c r="B679" s="6" t="n"/>
    </row>
    <row r="680">
      <c r="A680" s="3" t="n"/>
      <c r="B680" s="6" t="n"/>
    </row>
    <row r="681">
      <c r="A681" s="3" t="n"/>
      <c r="B681" s="6" t="n"/>
    </row>
    <row r="682">
      <c r="A682" s="3" t="n"/>
      <c r="B682" s="6" t="n"/>
    </row>
    <row r="683">
      <c r="A683" s="3" t="n"/>
      <c r="B683" s="6" t="n"/>
    </row>
    <row r="684">
      <c r="A684" s="3" t="n"/>
      <c r="B684" s="6" t="n"/>
    </row>
    <row r="685">
      <c r="A685" s="3" t="n"/>
      <c r="B685" s="6" t="n"/>
    </row>
    <row r="686">
      <c r="A686" s="3" t="n"/>
      <c r="B686" s="6" t="n"/>
    </row>
    <row r="687">
      <c r="A687" s="3" t="n"/>
      <c r="B687" s="6" t="n"/>
    </row>
    <row r="688">
      <c r="A688" s="3" t="n"/>
      <c r="B688" s="6" t="n"/>
    </row>
    <row r="689">
      <c r="A689" s="3" t="n"/>
      <c r="B689" s="6" t="n"/>
    </row>
    <row r="690">
      <c r="A690" s="3" t="n"/>
      <c r="B690" s="6" t="n"/>
    </row>
    <row r="691">
      <c r="A691" s="3" t="n"/>
      <c r="B691" s="6" t="n"/>
    </row>
    <row r="692">
      <c r="A692" s="3" t="n"/>
      <c r="B692" s="6" t="n"/>
    </row>
    <row r="693">
      <c r="A693" s="3" t="n"/>
      <c r="B693" s="6" t="n"/>
    </row>
    <row r="694">
      <c r="A694" s="3" t="n"/>
      <c r="B694" s="6" t="n"/>
    </row>
    <row r="695">
      <c r="A695" s="3" t="n"/>
      <c r="B695" s="6" t="n"/>
    </row>
    <row r="696">
      <c r="A696" s="3" t="n"/>
      <c r="B696" s="6" t="n"/>
    </row>
    <row r="697">
      <c r="A697" s="3" t="n"/>
      <c r="B697" s="6" t="n"/>
    </row>
    <row r="698">
      <c r="A698" s="3" t="n"/>
      <c r="B698" s="6" t="n"/>
    </row>
    <row r="699">
      <c r="A699" s="3" t="n"/>
      <c r="B699" s="6" t="n"/>
    </row>
    <row r="700">
      <c r="A700" s="3" t="n"/>
      <c r="B700" s="6" t="n"/>
    </row>
    <row r="701">
      <c r="A701" s="3" t="n"/>
      <c r="B701" s="6" t="n"/>
    </row>
    <row r="702">
      <c r="A702" s="3" t="n"/>
      <c r="B702" s="6" t="n"/>
    </row>
    <row r="703">
      <c r="A703" s="3" t="n"/>
      <c r="B703" s="6" t="n"/>
    </row>
    <row r="704">
      <c r="A704" s="3" t="n"/>
      <c r="B704" s="6" t="n"/>
    </row>
    <row r="705">
      <c r="A705" s="3" t="n"/>
      <c r="B705" s="6" t="n"/>
    </row>
    <row r="706">
      <c r="A706" s="3" t="n"/>
      <c r="B706" s="6" t="n"/>
    </row>
    <row r="707">
      <c r="A707" s="3" t="n"/>
      <c r="B707" s="6" t="n"/>
    </row>
    <row r="708">
      <c r="A708" s="3" t="n"/>
      <c r="B708" s="6" t="n"/>
    </row>
    <row r="709">
      <c r="A709" s="3" t="n"/>
      <c r="B709" s="6" t="n"/>
    </row>
    <row r="710">
      <c r="A710" s="3" t="n"/>
      <c r="B710" s="6" t="n"/>
    </row>
    <row r="711">
      <c r="A711" s="3" t="n"/>
      <c r="B711" s="6" t="n"/>
    </row>
    <row r="712">
      <c r="A712" s="3" t="n"/>
      <c r="B712" s="6" t="n"/>
    </row>
    <row r="713">
      <c r="A713" s="3" t="n"/>
      <c r="B713" s="6" t="n"/>
    </row>
    <row r="714">
      <c r="A714" s="3" t="n"/>
      <c r="B714" s="6" t="n"/>
    </row>
    <row r="715">
      <c r="A715" s="3" t="n"/>
      <c r="B715" s="6" t="n"/>
    </row>
    <row r="716">
      <c r="A716" s="3" t="n"/>
      <c r="B716" s="6" t="n"/>
    </row>
    <row r="717">
      <c r="A717" s="3" t="n"/>
      <c r="B717" s="6" t="n"/>
    </row>
    <row r="718">
      <c r="A718" s="3" t="n"/>
      <c r="B718" s="6" t="n"/>
    </row>
    <row r="719">
      <c r="A719" s="3" t="n"/>
      <c r="B719" s="6" t="n"/>
    </row>
    <row r="720">
      <c r="A720" s="3" t="n"/>
      <c r="B720" s="6" t="n"/>
    </row>
    <row r="721">
      <c r="A721" s="3" t="n"/>
      <c r="B721" s="6" t="n"/>
    </row>
    <row r="722">
      <c r="A722" s="3" t="n"/>
      <c r="B722" s="6" t="n"/>
    </row>
    <row r="723">
      <c r="A723" s="3" t="n"/>
      <c r="B723" s="6" t="n"/>
    </row>
    <row r="724">
      <c r="A724" s="3" t="n"/>
      <c r="B724" s="6" t="n"/>
    </row>
    <row r="725">
      <c r="A725" s="3" t="n"/>
      <c r="B725" s="6" t="n"/>
    </row>
    <row r="726">
      <c r="A726" s="3" t="n"/>
      <c r="B726" s="6" t="n"/>
    </row>
    <row r="727">
      <c r="A727" s="3" t="n"/>
      <c r="B727" s="6" t="n"/>
    </row>
    <row r="728">
      <c r="A728" s="3" t="n"/>
      <c r="B728" s="6" t="n"/>
    </row>
    <row r="729">
      <c r="A729" s="3" t="n"/>
      <c r="B729" s="6" t="n"/>
    </row>
    <row r="730">
      <c r="A730" s="3" t="n"/>
      <c r="B730" s="6" t="n"/>
    </row>
    <row r="731">
      <c r="A731" s="3" t="n"/>
      <c r="B731" s="6" t="n"/>
    </row>
    <row r="732">
      <c r="A732" s="3" t="n"/>
      <c r="B732" s="6" t="n"/>
    </row>
    <row r="733">
      <c r="A733" s="3" t="n"/>
      <c r="B733" s="6" t="n"/>
    </row>
    <row r="734">
      <c r="A734" s="3" t="n"/>
      <c r="B734" s="6" t="n"/>
    </row>
    <row r="735">
      <c r="A735" s="3" t="n"/>
      <c r="B735" s="6" t="n"/>
    </row>
    <row r="736">
      <c r="A736" s="3" t="n"/>
      <c r="B736" s="6" t="n"/>
    </row>
    <row r="737">
      <c r="A737" s="3" t="n"/>
      <c r="B737" s="6" t="n"/>
    </row>
    <row r="738">
      <c r="A738" s="3" t="n"/>
      <c r="B738" s="6" t="n"/>
    </row>
    <row r="739">
      <c r="A739" s="3" t="n"/>
      <c r="B739" s="6" t="n"/>
    </row>
    <row r="740">
      <c r="A740" s="3" t="n"/>
      <c r="B740" s="6" t="n"/>
    </row>
    <row r="741">
      <c r="A741" s="3" t="n"/>
      <c r="B741" s="6" t="n"/>
    </row>
    <row r="742">
      <c r="A742" s="3" t="n"/>
      <c r="B742" s="6" t="n"/>
    </row>
    <row r="743">
      <c r="A743" s="3" t="n"/>
      <c r="B743" s="6" t="n"/>
    </row>
    <row r="744">
      <c r="A744" s="3" t="n"/>
      <c r="B744" s="6" t="n"/>
    </row>
    <row r="745">
      <c r="A745" s="3" t="n"/>
      <c r="B74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80" customWidth="1" min="14" max="14"/>
  </cols>
  <sheetData>
    <row r="1">
      <c r="A1" s="2" t="inlineStr">
        <is>
          <t>DateTime (GST)</t>
        </is>
      </c>
      <c r="B1" s="2" t="inlineStr">
        <is>
          <t>Tide_m</t>
        </is>
      </c>
      <c r="C1" s="2" t="inlineStr">
        <is>
          <t>Dfwd_req_m (even)</t>
        </is>
      </c>
      <c r="D1" s="2" t="inlineStr">
        <is>
          <t>Trim_m (optional)</t>
        </is>
      </c>
      <c r="E1" s="2" t="inlineStr">
        <is>
          <t>Dfwd_adj_m</t>
        </is>
      </c>
      <c r="F1" s="2" t="inlineStr">
        <is>
          <t>Daft_adj_m</t>
        </is>
      </c>
      <c r="G1" s="2" t="inlineStr">
        <is>
          <t>Ramp_Angle_deg</t>
        </is>
      </c>
      <c r="H1" s="2" t="inlineStr">
        <is>
          <t>Status</t>
        </is>
      </c>
      <c r="I1" s="2" t="inlineStr">
        <is>
          <t>FWD_Height_m</t>
        </is>
      </c>
      <c r="J1" s="2" t="inlineStr">
        <is>
          <t>AFT_Height_m</t>
        </is>
      </c>
      <c r="K1" s="2" t="inlineStr">
        <is>
          <t>Notes</t>
        </is>
      </c>
      <c r="L1" t="inlineStr"/>
      <c r="M1" s="2" t="inlineStr">
        <is>
          <t>Trim_m (optional)</t>
        </is>
      </c>
      <c r="N1" t="inlineStr"/>
    </row>
    <row r="2">
      <c r="A2" s="3">
        <f>IF(December_Tide_2025!A2="","",December_Tide_2025!A2)</f>
        <v/>
      </c>
      <c r="B2" s="6">
        <f>IF(December_Tide_2025!B2="","",December_Tide_2025!B2)</f>
        <v/>
      </c>
      <c r="C2" s="6">
        <f>IF($A2="","", INDEX(Calc!$E:$E, MATCH("KminusZ_m", Calc!$C:$C, 0)) + $B2 - INDEX(Calc!$E:$E, MATCH("L_ramp_m", Calc!$C:$C, 0)) * TAN(RADIANS(INDEX(Calc!$E:$E, MATCH("theta_max_deg", Calc!$C:$C, 0)))))</f>
        <v/>
      </c>
      <c r="D2" s="6" t="n"/>
      <c r="E2" s="6">
        <f>IF($C2="","", IF($D2="", $C2, $C2 - $D2/2))</f>
        <v/>
      </c>
      <c r="F2" s="6">
        <f>IF($C2="","", IF($D2="", $C2, $C2 + $D2/2))</f>
        <v/>
      </c>
      <c r="G2" s="6">
        <f>IF($E2="","", DEGREES(ATAN((INDEX(Calc!$E:$E, MATCH("KminusZ_m", Calc!$C:$C, 0)) - $E2 + $B2) / INDEX(Calc!$E:$E, MATCH("L_ramp_m", Calc!$C:$C, 0)))))</f>
        <v/>
      </c>
      <c r="H2" s="3">
        <f>IF($E2="","", IF(AND($E2&gt;=INDEX(Calc!$E:$E, MATCH("min_fwd_draft_m", Calc!$C:$C, 0)), $E2&lt;=INDEX(Calc!$E:$E, MATCH("max_fwd_draft_m", Calc!$C:$C, 0)), $G2&lt;=INDEX(Calc!$E:$E, MATCH("theta_max_deg", Calc!$C:$C, 0))), "OK", "CHECK"))</f>
        <v/>
      </c>
      <c r="I2" s="6">
        <f>IF($E2="","", INDEX(Calc!$E:$E, MATCH("D_vessel_m", Calc!$C:$C, 0)) - $E2 + $B2)</f>
        <v/>
      </c>
      <c r="J2" s="6">
        <f>IF($F2="","", INDEX(Calc!$E:$E, MATCH("D_vessel_m", Calc!$C:$C, 0)) - $F2 + $B2)</f>
        <v/>
      </c>
      <c r="K2" s="3">
        <f>IF(D2=0, "Even Keel", "")</f>
        <v/>
      </c>
      <c r="N2" s="3" t="inlineStr">
        <is>
          <t>← Defaults to 0.00 (Even-Keel). To apply the actual trim, manually enter the value in this cell.</t>
        </is>
      </c>
    </row>
    <row r="3">
      <c r="A3" s="3">
        <f>IF(December_Tide_2025!A3="","",December_Tide_2025!A3)</f>
        <v/>
      </c>
      <c r="B3" s="6">
        <f>IF(December_Tide_2025!B3="","",December_Tide_2025!B3)</f>
        <v/>
      </c>
      <c r="C3" s="6">
        <f>IF($A3="","", INDEX(Calc!$E:$E, MATCH("KminusZ_m", Calc!$C:$C, 0)) + $B3 - INDEX(Calc!$E:$E, MATCH("L_ramp_m", Calc!$C:$C, 0)) * TAN(RADIANS(INDEX(Calc!$E:$E, MATCH("theta_max_deg", Calc!$C:$C, 0)))))</f>
        <v/>
      </c>
      <c r="D3" s="6" t="n"/>
      <c r="E3" s="6">
        <f>IF($C3="","", IF($D3="", $C3, $C3 - $D3/2))</f>
        <v/>
      </c>
      <c r="F3" s="6">
        <f>IF($C3="","", IF($D3="", $C3, $C3 + $D3/2))</f>
        <v/>
      </c>
      <c r="G3" s="6">
        <f>IF($E3="","", DEGREES(ATAN((INDEX(Calc!$E:$E, MATCH("KminusZ_m", Calc!$C:$C, 0)) - $E3 + $B3) / INDEX(Calc!$E:$E, MATCH("L_ramp_m", Calc!$C:$C, 0)))))</f>
        <v/>
      </c>
      <c r="H3" s="3">
        <f>IF($E3="","", IF(AND($E3&gt;=INDEX(Calc!$E:$E, MATCH("min_fwd_draft_m", Calc!$C:$C, 0)), $E3&lt;=INDEX(Calc!$E:$E, MATCH("max_fwd_draft_m", Calc!$C:$C, 0)), $G3&lt;=INDEX(Calc!$E:$E, MATCH("theta_max_deg", Calc!$C:$C, 0))), "OK", "CHECK"))</f>
        <v/>
      </c>
      <c r="I3" s="6">
        <f>IF($E3="","", INDEX(Calc!$E:$E, MATCH("D_vessel_m", Calc!$C:$C, 0)) - $E3 + $B3)</f>
        <v/>
      </c>
      <c r="J3" s="6">
        <f>IF($F3="","", INDEX(Calc!$E:$E, MATCH("D_vessel_m", Calc!$C:$C, 0)) - $F3 + $B3)</f>
        <v/>
      </c>
      <c r="K3" s="3">
        <f>IF(D3=0, "Even Keel", "")</f>
        <v/>
      </c>
    </row>
    <row r="4">
      <c r="A4" s="3">
        <f>IF(December_Tide_2025!A4="","",December_Tide_2025!A4)</f>
        <v/>
      </c>
      <c r="B4" s="6">
        <f>IF(December_Tide_2025!B4="","",December_Tide_2025!B4)</f>
        <v/>
      </c>
      <c r="C4" s="6">
        <f>IF($A4="","", INDEX(Calc!$E:$E, MATCH("KminusZ_m", Calc!$C:$C, 0)) + $B4 - INDEX(Calc!$E:$E, MATCH("L_ramp_m", Calc!$C:$C, 0)) * TAN(RADIANS(INDEX(Calc!$E:$E, MATCH("theta_max_deg", Calc!$C:$C, 0)))))</f>
        <v/>
      </c>
      <c r="D4" s="6" t="n"/>
      <c r="E4" s="6">
        <f>IF($C4="","", IF($D4="", $C4, $C4 - $D4/2))</f>
        <v/>
      </c>
      <c r="F4" s="6">
        <f>IF($C4="","", IF($D4="", $C4, $C4 + $D4/2))</f>
        <v/>
      </c>
      <c r="G4" s="6">
        <f>IF($E4="","", DEGREES(ATAN((INDEX(Calc!$E:$E, MATCH("KminusZ_m", Calc!$C:$C, 0)) - $E4 + $B4) / INDEX(Calc!$E:$E, MATCH("L_ramp_m", Calc!$C:$C, 0)))))</f>
        <v/>
      </c>
      <c r="H4" s="3">
        <f>IF($E4="","", IF(AND($E4&gt;=INDEX(Calc!$E:$E, MATCH("min_fwd_draft_m", Calc!$C:$C, 0)), $E4&lt;=INDEX(Calc!$E:$E, MATCH("max_fwd_draft_m", Calc!$C:$C, 0)), $G4&lt;=INDEX(Calc!$E:$E, MATCH("theta_max_deg", Calc!$C:$C, 0))), "OK", "CHECK"))</f>
        <v/>
      </c>
      <c r="I4" s="6">
        <f>IF($E4="","", INDEX(Calc!$E:$E, MATCH("D_vessel_m", Calc!$C:$C, 0)) - $E4 + $B4)</f>
        <v/>
      </c>
      <c r="J4" s="6">
        <f>IF($F4="","", INDEX(Calc!$E:$E, MATCH("D_vessel_m", Calc!$C:$C, 0)) - $F4 + $B4)</f>
        <v/>
      </c>
      <c r="K4" s="3">
        <f>IF(D4=0, "Even Keel", "")</f>
        <v/>
      </c>
    </row>
    <row r="5">
      <c r="A5" s="3">
        <f>IF(December_Tide_2025!A5="","",December_Tide_2025!A5)</f>
        <v/>
      </c>
      <c r="B5" s="6">
        <f>IF(December_Tide_2025!B5="","",December_Tide_2025!B5)</f>
        <v/>
      </c>
      <c r="C5" s="6">
        <f>IF($A5="","", INDEX(Calc!$E:$E, MATCH("KminusZ_m", Calc!$C:$C, 0)) + $B5 - INDEX(Calc!$E:$E, MATCH("L_ramp_m", Calc!$C:$C, 0)) * TAN(RADIANS(INDEX(Calc!$E:$E, MATCH("theta_max_deg", Calc!$C:$C, 0)))))</f>
        <v/>
      </c>
      <c r="D5" s="6" t="n"/>
      <c r="E5" s="6">
        <f>IF($C5="","", IF($D5="", $C5, $C5 - $D5/2))</f>
        <v/>
      </c>
      <c r="F5" s="6">
        <f>IF($C5="","", IF($D5="", $C5, $C5 + $D5/2))</f>
        <v/>
      </c>
      <c r="G5" s="6">
        <f>IF($E5="","", DEGREES(ATAN((INDEX(Calc!$E:$E, MATCH("KminusZ_m", Calc!$C:$C, 0)) - $E5 + $B5) / INDEX(Calc!$E:$E, MATCH("L_ramp_m", Calc!$C:$C, 0)))))</f>
        <v/>
      </c>
      <c r="H5" s="3">
        <f>IF($E5="","", IF(AND($E5&gt;=INDEX(Calc!$E:$E, MATCH("min_fwd_draft_m", Calc!$C:$C, 0)), $E5&lt;=INDEX(Calc!$E:$E, MATCH("max_fwd_draft_m", Calc!$C:$C, 0)), $G5&lt;=INDEX(Calc!$E:$E, MATCH("theta_max_deg", Calc!$C:$C, 0))), "OK", "CHECK"))</f>
        <v/>
      </c>
      <c r="I5" s="6">
        <f>IF($E5="","", INDEX(Calc!$E:$E, MATCH("D_vessel_m", Calc!$C:$C, 0)) - $E5 + $B5)</f>
        <v/>
      </c>
      <c r="J5" s="6">
        <f>IF($F5="","", INDEX(Calc!$E:$E, MATCH("D_vessel_m", Calc!$C:$C, 0)) - $F5 + $B5)</f>
        <v/>
      </c>
      <c r="K5" s="3">
        <f>IF(D5=0, "Even Keel", "")</f>
        <v/>
      </c>
    </row>
    <row r="6">
      <c r="A6" s="3">
        <f>IF(December_Tide_2025!A6="","",December_Tide_2025!A6)</f>
        <v/>
      </c>
      <c r="B6" s="6">
        <f>IF(December_Tide_2025!B6="","",December_Tide_2025!B6)</f>
        <v/>
      </c>
      <c r="C6" s="6">
        <f>IF($A6="","", INDEX(Calc!$E:$E, MATCH("KminusZ_m", Calc!$C:$C, 0)) + $B6 - INDEX(Calc!$E:$E, MATCH("L_ramp_m", Calc!$C:$C, 0)) * TAN(RADIANS(INDEX(Calc!$E:$E, MATCH("theta_max_deg", Calc!$C:$C, 0)))))</f>
        <v/>
      </c>
      <c r="D6" s="6" t="n"/>
      <c r="E6" s="6">
        <f>IF($C6="","", IF($D6="", $C6, $C6 - $D6/2))</f>
        <v/>
      </c>
      <c r="F6" s="6">
        <f>IF($C6="","", IF($D6="", $C6, $C6 + $D6/2))</f>
        <v/>
      </c>
      <c r="G6" s="6">
        <f>IF($E6="","", DEGREES(ATAN((INDEX(Calc!$E:$E, MATCH("KminusZ_m", Calc!$C:$C, 0)) - $E6 + $B6) / INDEX(Calc!$E:$E, MATCH("L_ramp_m", Calc!$C:$C, 0)))))</f>
        <v/>
      </c>
      <c r="H6" s="3">
        <f>IF($E6="","", IF(AND($E6&gt;=INDEX(Calc!$E:$E, MATCH("min_fwd_draft_m", Calc!$C:$C, 0)), $E6&lt;=INDEX(Calc!$E:$E, MATCH("max_fwd_draft_m", Calc!$C:$C, 0)), $G6&lt;=INDEX(Calc!$E:$E, MATCH("theta_max_deg", Calc!$C:$C, 0))), "OK", "CHECK"))</f>
        <v/>
      </c>
      <c r="I6" s="6">
        <f>IF($E6="","", INDEX(Calc!$E:$E, MATCH("D_vessel_m", Calc!$C:$C, 0)) - $E6 + $B6)</f>
        <v/>
      </c>
      <c r="J6" s="6">
        <f>IF($F6="","", INDEX(Calc!$E:$E, MATCH("D_vessel_m", Calc!$C:$C, 0)) - $F6 + $B6)</f>
        <v/>
      </c>
      <c r="K6" s="3">
        <f>IF(D6=0, "Even Keel", "")</f>
        <v/>
      </c>
    </row>
    <row r="7">
      <c r="A7" s="3">
        <f>IF(December_Tide_2025!A7="","",December_Tide_2025!A7)</f>
        <v/>
      </c>
      <c r="B7" s="6">
        <f>IF(December_Tide_2025!B7="","",December_Tide_2025!B7)</f>
        <v/>
      </c>
      <c r="C7" s="6">
        <f>IF($A7="","", INDEX(Calc!$E:$E, MATCH("KminusZ_m", Calc!$C:$C, 0)) + $B7 - INDEX(Calc!$E:$E, MATCH("L_ramp_m", Calc!$C:$C, 0)) * TAN(RADIANS(INDEX(Calc!$E:$E, MATCH("theta_max_deg", Calc!$C:$C, 0)))))</f>
        <v/>
      </c>
      <c r="D7" s="6" t="n"/>
      <c r="E7" s="6">
        <f>IF($C7="","", IF($D7="", $C7, $C7 - $D7/2))</f>
        <v/>
      </c>
      <c r="F7" s="6">
        <f>IF($C7="","", IF($D7="", $C7, $C7 + $D7/2))</f>
        <v/>
      </c>
      <c r="G7" s="6">
        <f>IF($E7="","", DEGREES(ATAN((INDEX(Calc!$E:$E, MATCH("KminusZ_m", Calc!$C:$C, 0)) - $E7 + $B7) / INDEX(Calc!$E:$E, MATCH("L_ramp_m", Calc!$C:$C, 0)))))</f>
        <v/>
      </c>
      <c r="H7" s="3">
        <f>IF($E7="","", IF(AND($E7&gt;=INDEX(Calc!$E:$E, MATCH("min_fwd_draft_m", Calc!$C:$C, 0)), $E7&lt;=INDEX(Calc!$E:$E, MATCH("max_fwd_draft_m", Calc!$C:$C, 0)), $G7&lt;=INDEX(Calc!$E:$E, MATCH("theta_max_deg", Calc!$C:$C, 0))), "OK", "CHECK"))</f>
        <v/>
      </c>
      <c r="I7" s="6">
        <f>IF($E7="","", INDEX(Calc!$E:$E, MATCH("D_vessel_m", Calc!$C:$C, 0)) - $E7 + $B7)</f>
        <v/>
      </c>
      <c r="J7" s="6">
        <f>IF($F7="","", INDEX(Calc!$E:$E, MATCH("D_vessel_m", Calc!$C:$C, 0)) - $F7 + $B7)</f>
        <v/>
      </c>
      <c r="K7" s="3">
        <f>IF(D7=0, "Even Keel", "")</f>
        <v/>
      </c>
    </row>
    <row r="8">
      <c r="A8" s="3">
        <f>IF(December_Tide_2025!A8="","",December_Tide_2025!A8)</f>
        <v/>
      </c>
      <c r="B8" s="6">
        <f>IF(December_Tide_2025!B8="","",December_Tide_2025!B8)</f>
        <v/>
      </c>
      <c r="C8" s="6">
        <f>IF($A8="","", INDEX(Calc!$E:$E, MATCH("KminusZ_m", Calc!$C:$C, 0)) + $B8 - INDEX(Calc!$E:$E, MATCH("L_ramp_m", Calc!$C:$C, 0)) * TAN(RADIANS(INDEX(Calc!$E:$E, MATCH("theta_max_deg", Calc!$C:$C, 0)))))</f>
        <v/>
      </c>
      <c r="D8" s="6" t="n"/>
      <c r="E8" s="6">
        <f>IF($C8="","", IF($D8="", $C8, $C8 - $D8/2))</f>
        <v/>
      </c>
      <c r="F8" s="6">
        <f>IF($C8="","", IF($D8="", $C8, $C8 + $D8/2))</f>
        <v/>
      </c>
      <c r="G8" s="6">
        <f>IF($E8="","", DEGREES(ATAN((INDEX(Calc!$E:$E, MATCH("KminusZ_m", Calc!$C:$C, 0)) - $E8 + $B8) / INDEX(Calc!$E:$E, MATCH("L_ramp_m", Calc!$C:$C, 0)))))</f>
        <v/>
      </c>
      <c r="H8" s="3">
        <f>IF($E8="","", IF(AND($E8&gt;=INDEX(Calc!$E:$E, MATCH("min_fwd_draft_m", Calc!$C:$C, 0)), $E8&lt;=INDEX(Calc!$E:$E, MATCH("max_fwd_draft_m", Calc!$C:$C, 0)), $G8&lt;=INDEX(Calc!$E:$E, MATCH("theta_max_deg", Calc!$C:$C, 0))), "OK", "CHECK"))</f>
        <v/>
      </c>
      <c r="I8" s="6">
        <f>IF($E8="","", INDEX(Calc!$E:$E, MATCH("D_vessel_m", Calc!$C:$C, 0)) - $E8 + $B8)</f>
        <v/>
      </c>
      <c r="J8" s="6">
        <f>IF($F8="","", INDEX(Calc!$E:$E, MATCH("D_vessel_m", Calc!$C:$C, 0)) - $F8 + $B8)</f>
        <v/>
      </c>
      <c r="K8" s="3">
        <f>IF(D8=0, "Even Keel", "")</f>
        <v/>
      </c>
    </row>
    <row r="9">
      <c r="A9" s="3">
        <f>IF(December_Tide_2025!A9="","",December_Tide_2025!A9)</f>
        <v/>
      </c>
      <c r="B9" s="6">
        <f>IF(December_Tide_2025!B9="","",December_Tide_2025!B9)</f>
        <v/>
      </c>
      <c r="C9" s="6">
        <f>IF($A9="","", INDEX(Calc!$E:$E, MATCH("KminusZ_m", Calc!$C:$C, 0)) + $B9 - INDEX(Calc!$E:$E, MATCH("L_ramp_m", Calc!$C:$C, 0)) * TAN(RADIANS(INDEX(Calc!$E:$E, MATCH("theta_max_deg", Calc!$C:$C, 0)))))</f>
        <v/>
      </c>
      <c r="D9" s="6" t="n"/>
      <c r="E9" s="6">
        <f>IF($C9="","", IF($D9="", $C9, $C9 - $D9/2))</f>
        <v/>
      </c>
      <c r="F9" s="6">
        <f>IF($C9="","", IF($D9="", $C9, $C9 + $D9/2))</f>
        <v/>
      </c>
      <c r="G9" s="6">
        <f>IF($E9="","", DEGREES(ATAN((INDEX(Calc!$E:$E, MATCH("KminusZ_m", Calc!$C:$C, 0)) - $E9 + $B9) / INDEX(Calc!$E:$E, MATCH("L_ramp_m", Calc!$C:$C, 0)))))</f>
        <v/>
      </c>
      <c r="H9" s="3">
        <f>IF($E9="","", IF(AND($E9&gt;=INDEX(Calc!$E:$E, MATCH("min_fwd_draft_m", Calc!$C:$C, 0)), $E9&lt;=INDEX(Calc!$E:$E, MATCH("max_fwd_draft_m", Calc!$C:$C, 0)), $G9&lt;=INDEX(Calc!$E:$E, MATCH("theta_max_deg", Calc!$C:$C, 0))), "OK", "CHECK"))</f>
        <v/>
      </c>
      <c r="I9" s="6">
        <f>IF($E9="","", INDEX(Calc!$E:$E, MATCH("D_vessel_m", Calc!$C:$C, 0)) - $E9 + $B9)</f>
        <v/>
      </c>
      <c r="J9" s="6">
        <f>IF($F9="","", INDEX(Calc!$E:$E, MATCH("D_vessel_m", Calc!$C:$C, 0)) - $F9 + $B9)</f>
        <v/>
      </c>
      <c r="K9" s="3">
        <f>IF(D9=0, "Even Keel", "")</f>
        <v/>
      </c>
    </row>
    <row r="10">
      <c r="A10" s="3">
        <f>IF(December_Tide_2025!A10="","",December_Tide_2025!A10)</f>
        <v/>
      </c>
      <c r="B10" s="6">
        <f>IF(December_Tide_2025!B10="","",December_Tide_2025!B10)</f>
        <v/>
      </c>
      <c r="C10" s="6">
        <f>IF($A10="","", INDEX(Calc!$E:$E, MATCH("KminusZ_m", Calc!$C:$C, 0)) + $B10 - INDEX(Calc!$E:$E, MATCH("L_ramp_m", Calc!$C:$C, 0)) * TAN(RADIANS(INDEX(Calc!$E:$E, MATCH("theta_max_deg", Calc!$C:$C, 0)))))</f>
        <v/>
      </c>
      <c r="D10" s="6" t="n"/>
      <c r="E10" s="6">
        <f>IF($C10="","", IF($D10="", $C10, $C10 - $D10/2))</f>
        <v/>
      </c>
      <c r="F10" s="6">
        <f>IF($C10="","", IF($D10="", $C10, $C10 + $D10/2))</f>
        <v/>
      </c>
      <c r="G10" s="6">
        <f>IF($E10="","", DEGREES(ATAN((INDEX(Calc!$E:$E, MATCH("KminusZ_m", Calc!$C:$C, 0)) - $E10 + $B10) / INDEX(Calc!$E:$E, MATCH("L_ramp_m", Calc!$C:$C, 0)))))</f>
        <v/>
      </c>
      <c r="H10" s="3">
        <f>IF($E10="","", IF(AND($E10&gt;=INDEX(Calc!$E:$E, MATCH("min_fwd_draft_m", Calc!$C:$C, 0)), $E10&lt;=INDEX(Calc!$E:$E, MATCH("max_fwd_draft_m", Calc!$C:$C, 0)), $G10&lt;=INDEX(Calc!$E:$E, MATCH("theta_max_deg", Calc!$C:$C, 0))), "OK", "CHECK"))</f>
        <v/>
      </c>
      <c r="I10" s="6">
        <f>IF($E10="","", INDEX(Calc!$E:$E, MATCH("D_vessel_m", Calc!$C:$C, 0)) - $E10 + $B10)</f>
        <v/>
      </c>
      <c r="J10" s="6">
        <f>IF($F10="","", INDEX(Calc!$E:$E, MATCH("D_vessel_m", Calc!$C:$C, 0)) - $F10 + $B10)</f>
        <v/>
      </c>
      <c r="K10" s="3">
        <f>IF(D10=0, "Even Keel", "")</f>
        <v/>
      </c>
    </row>
    <row r="11">
      <c r="A11" s="3">
        <f>IF(December_Tide_2025!A11="","",December_Tide_2025!A11)</f>
        <v/>
      </c>
      <c r="B11" s="6">
        <f>IF(December_Tide_2025!B11="","",December_Tide_2025!B11)</f>
        <v/>
      </c>
      <c r="C11" s="6">
        <f>IF($A11="","", INDEX(Calc!$E:$E, MATCH("KminusZ_m", Calc!$C:$C, 0)) + $B11 - INDEX(Calc!$E:$E, MATCH("L_ramp_m", Calc!$C:$C, 0)) * TAN(RADIANS(INDEX(Calc!$E:$E, MATCH("theta_max_deg", Calc!$C:$C, 0)))))</f>
        <v/>
      </c>
      <c r="D11" s="6" t="n"/>
      <c r="E11" s="6">
        <f>IF($C11="","", IF($D11="", $C11, $C11 - $D11/2))</f>
        <v/>
      </c>
      <c r="F11" s="6">
        <f>IF($C11="","", IF($D11="", $C11, $C11 + $D11/2))</f>
        <v/>
      </c>
      <c r="G11" s="6">
        <f>IF($E11="","", DEGREES(ATAN((INDEX(Calc!$E:$E, MATCH("KminusZ_m", Calc!$C:$C, 0)) - $E11 + $B11) / INDEX(Calc!$E:$E, MATCH("L_ramp_m", Calc!$C:$C, 0)))))</f>
        <v/>
      </c>
      <c r="H11" s="3">
        <f>IF($E11="","", IF(AND($E11&gt;=INDEX(Calc!$E:$E, MATCH("min_fwd_draft_m", Calc!$C:$C, 0)), $E11&lt;=INDEX(Calc!$E:$E, MATCH("max_fwd_draft_m", Calc!$C:$C, 0)), $G11&lt;=INDEX(Calc!$E:$E, MATCH("theta_max_deg", Calc!$C:$C, 0))), "OK", "CHECK"))</f>
        <v/>
      </c>
      <c r="I11" s="6">
        <f>IF($E11="","", INDEX(Calc!$E:$E, MATCH("D_vessel_m", Calc!$C:$C, 0)) - $E11 + $B11)</f>
        <v/>
      </c>
      <c r="J11" s="6">
        <f>IF($F11="","", INDEX(Calc!$E:$E, MATCH("D_vessel_m", Calc!$C:$C, 0)) - $F11 + $B11)</f>
        <v/>
      </c>
      <c r="K11" s="3">
        <f>IF(D11=0, "Even Keel", "")</f>
        <v/>
      </c>
    </row>
    <row r="12">
      <c r="A12" s="3">
        <f>IF(December_Tide_2025!A12="","",December_Tide_2025!A12)</f>
        <v/>
      </c>
      <c r="B12" s="6">
        <f>IF(December_Tide_2025!B12="","",December_Tide_2025!B12)</f>
        <v/>
      </c>
      <c r="C12" s="6">
        <f>IF($A12="","", INDEX(Calc!$E:$E, MATCH("KminusZ_m", Calc!$C:$C, 0)) + $B12 - INDEX(Calc!$E:$E, MATCH("L_ramp_m", Calc!$C:$C, 0)) * TAN(RADIANS(INDEX(Calc!$E:$E, MATCH("theta_max_deg", Calc!$C:$C, 0)))))</f>
        <v/>
      </c>
      <c r="D12" s="6" t="n"/>
      <c r="E12" s="6">
        <f>IF($C12="","", IF($D12="", $C12, $C12 - $D12/2))</f>
        <v/>
      </c>
      <c r="F12" s="6">
        <f>IF($C12="","", IF($D12="", $C12, $C12 + $D12/2))</f>
        <v/>
      </c>
      <c r="G12" s="6">
        <f>IF($E12="","", DEGREES(ATAN((INDEX(Calc!$E:$E, MATCH("KminusZ_m", Calc!$C:$C, 0)) - $E12 + $B12) / INDEX(Calc!$E:$E, MATCH("L_ramp_m", Calc!$C:$C, 0)))))</f>
        <v/>
      </c>
      <c r="H12" s="3">
        <f>IF($E12="","", IF(AND($E12&gt;=INDEX(Calc!$E:$E, MATCH("min_fwd_draft_m", Calc!$C:$C, 0)), $E12&lt;=INDEX(Calc!$E:$E, MATCH("max_fwd_draft_m", Calc!$C:$C, 0)), $G12&lt;=INDEX(Calc!$E:$E, MATCH("theta_max_deg", Calc!$C:$C, 0))), "OK", "CHECK"))</f>
        <v/>
      </c>
      <c r="I12" s="6">
        <f>IF($E12="","", INDEX(Calc!$E:$E, MATCH("D_vessel_m", Calc!$C:$C, 0)) - $E12 + $B12)</f>
        <v/>
      </c>
      <c r="J12" s="6">
        <f>IF($F12="","", INDEX(Calc!$E:$E, MATCH("D_vessel_m", Calc!$C:$C, 0)) - $F12 + $B12)</f>
        <v/>
      </c>
      <c r="K12" s="3">
        <f>IF(D12=0, "Even Keel", "")</f>
        <v/>
      </c>
    </row>
    <row r="13">
      <c r="A13" s="3">
        <f>IF(December_Tide_2025!A13="","",December_Tide_2025!A13)</f>
        <v/>
      </c>
      <c r="B13" s="6">
        <f>IF(December_Tide_2025!B13="","",December_Tide_2025!B13)</f>
        <v/>
      </c>
      <c r="C13" s="6">
        <f>IF($A13="","", INDEX(Calc!$E:$E, MATCH("KminusZ_m", Calc!$C:$C, 0)) + $B13 - INDEX(Calc!$E:$E, MATCH("L_ramp_m", Calc!$C:$C, 0)) * TAN(RADIANS(INDEX(Calc!$E:$E, MATCH("theta_max_deg", Calc!$C:$C, 0)))))</f>
        <v/>
      </c>
      <c r="D13" s="6" t="n"/>
      <c r="E13" s="6">
        <f>IF($C13="","", IF($D13="", $C13, $C13 - $D13/2))</f>
        <v/>
      </c>
      <c r="F13" s="6">
        <f>IF($C13="","", IF($D13="", $C13, $C13 + $D13/2))</f>
        <v/>
      </c>
      <c r="G13" s="6">
        <f>IF($E13="","", DEGREES(ATAN((INDEX(Calc!$E:$E, MATCH("KminusZ_m", Calc!$C:$C, 0)) - $E13 + $B13) / INDEX(Calc!$E:$E, MATCH("L_ramp_m", Calc!$C:$C, 0)))))</f>
        <v/>
      </c>
      <c r="H13" s="3">
        <f>IF($E13="","", IF(AND($E13&gt;=INDEX(Calc!$E:$E, MATCH("min_fwd_draft_m", Calc!$C:$C, 0)), $E13&lt;=INDEX(Calc!$E:$E, MATCH("max_fwd_draft_m", Calc!$C:$C, 0)), $G13&lt;=INDEX(Calc!$E:$E, MATCH("theta_max_deg", Calc!$C:$C, 0))), "OK", "CHECK"))</f>
        <v/>
      </c>
      <c r="I13" s="6">
        <f>IF($E13="","", INDEX(Calc!$E:$E, MATCH("D_vessel_m", Calc!$C:$C, 0)) - $E13 + $B13)</f>
        <v/>
      </c>
      <c r="J13" s="6">
        <f>IF($F13="","", INDEX(Calc!$E:$E, MATCH("D_vessel_m", Calc!$C:$C, 0)) - $F13 + $B13)</f>
        <v/>
      </c>
      <c r="K13" s="3">
        <f>IF(D13=0, "Even Keel", "")</f>
        <v/>
      </c>
    </row>
    <row r="14">
      <c r="A14" s="3">
        <f>IF(December_Tide_2025!A14="","",December_Tide_2025!A14)</f>
        <v/>
      </c>
      <c r="B14" s="6">
        <f>IF(December_Tide_2025!B14="","",December_Tide_2025!B14)</f>
        <v/>
      </c>
      <c r="C14" s="6">
        <f>IF($A14="","", INDEX(Calc!$E:$E, MATCH("KminusZ_m", Calc!$C:$C, 0)) + $B14 - INDEX(Calc!$E:$E, MATCH("L_ramp_m", Calc!$C:$C, 0)) * TAN(RADIANS(INDEX(Calc!$E:$E, MATCH("theta_max_deg", Calc!$C:$C, 0)))))</f>
        <v/>
      </c>
      <c r="D14" s="6" t="n"/>
      <c r="E14" s="6">
        <f>IF($C14="","", IF($D14="", $C14, $C14 - $D14/2))</f>
        <v/>
      </c>
      <c r="F14" s="6">
        <f>IF($C14="","", IF($D14="", $C14, $C14 + $D14/2))</f>
        <v/>
      </c>
      <c r="G14" s="6">
        <f>IF($E14="","", DEGREES(ATAN((INDEX(Calc!$E:$E, MATCH("KminusZ_m", Calc!$C:$C, 0)) - $E14 + $B14) / INDEX(Calc!$E:$E, MATCH("L_ramp_m", Calc!$C:$C, 0)))))</f>
        <v/>
      </c>
      <c r="H14" s="3">
        <f>IF($E14="","", IF(AND($E14&gt;=INDEX(Calc!$E:$E, MATCH("min_fwd_draft_m", Calc!$C:$C, 0)), $E14&lt;=INDEX(Calc!$E:$E, MATCH("max_fwd_draft_m", Calc!$C:$C, 0)), $G14&lt;=INDEX(Calc!$E:$E, MATCH("theta_max_deg", Calc!$C:$C, 0))), "OK", "CHECK"))</f>
        <v/>
      </c>
      <c r="I14" s="6">
        <f>IF($E14="","", INDEX(Calc!$E:$E, MATCH("D_vessel_m", Calc!$C:$C, 0)) - $E14 + $B14)</f>
        <v/>
      </c>
      <c r="J14" s="6">
        <f>IF($F14="","", INDEX(Calc!$E:$E, MATCH("D_vessel_m", Calc!$C:$C, 0)) - $F14 + $B14)</f>
        <v/>
      </c>
      <c r="K14" s="3">
        <f>IF(D14=0, "Even Keel", "")</f>
        <v/>
      </c>
    </row>
    <row r="15">
      <c r="A15" s="3">
        <f>IF(December_Tide_2025!A15="","",December_Tide_2025!A15)</f>
        <v/>
      </c>
      <c r="B15" s="6">
        <f>IF(December_Tide_2025!B15="","",December_Tide_2025!B15)</f>
        <v/>
      </c>
      <c r="C15" s="6">
        <f>IF($A15="","", INDEX(Calc!$E:$E, MATCH("KminusZ_m", Calc!$C:$C, 0)) + $B15 - INDEX(Calc!$E:$E, MATCH("L_ramp_m", Calc!$C:$C, 0)) * TAN(RADIANS(INDEX(Calc!$E:$E, MATCH("theta_max_deg", Calc!$C:$C, 0)))))</f>
        <v/>
      </c>
      <c r="D15" s="6" t="n"/>
      <c r="E15" s="6">
        <f>IF($C15="","", IF($D15="", $C15, $C15 - $D15/2))</f>
        <v/>
      </c>
      <c r="F15" s="6">
        <f>IF($C15="","", IF($D15="", $C15, $C15 + $D15/2))</f>
        <v/>
      </c>
      <c r="G15" s="6">
        <f>IF($E15="","", DEGREES(ATAN((INDEX(Calc!$E:$E, MATCH("KminusZ_m", Calc!$C:$C, 0)) - $E15 + $B15) / INDEX(Calc!$E:$E, MATCH("L_ramp_m", Calc!$C:$C, 0)))))</f>
        <v/>
      </c>
      <c r="H15" s="3">
        <f>IF($E15="","", IF(AND($E15&gt;=INDEX(Calc!$E:$E, MATCH("min_fwd_draft_m", Calc!$C:$C, 0)), $E15&lt;=INDEX(Calc!$E:$E, MATCH("max_fwd_draft_m", Calc!$C:$C, 0)), $G15&lt;=INDEX(Calc!$E:$E, MATCH("theta_max_deg", Calc!$C:$C, 0))), "OK", "CHECK"))</f>
        <v/>
      </c>
      <c r="I15" s="6">
        <f>IF($E15="","", INDEX(Calc!$E:$E, MATCH("D_vessel_m", Calc!$C:$C, 0)) - $E15 + $B15)</f>
        <v/>
      </c>
      <c r="J15" s="6">
        <f>IF($F15="","", INDEX(Calc!$E:$E, MATCH("D_vessel_m", Calc!$C:$C, 0)) - $F15 + $B15)</f>
        <v/>
      </c>
      <c r="K15" s="3">
        <f>IF(D15=0, "Even Keel", "")</f>
        <v/>
      </c>
    </row>
    <row r="16">
      <c r="A16" s="3">
        <f>IF(December_Tide_2025!A16="","",December_Tide_2025!A16)</f>
        <v/>
      </c>
      <c r="B16" s="6">
        <f>IF(December_Tide_2025!B16="","",December_Tide_2025!B16)</f>
        <v/>
      </c>
      <c r="C16" s="6">
        <f>IF($A16="","", INDEX(Calc!$E:$E, MATCH("KminusZ_m", Calc!$C:$C, 0)) + $B16 - INDEX(Calc!$E:$E, MATCH("L_ramp_m", Calc!$C:$C, 0)) * TAN(RADIANS(INDEX(Calc!$E:$E, MATCH("theta_max_deg", Calc!$C:$C, 0)))))</f>
        <v/>
      </c>
      <c r="D16" s="6" t="n"/>
      <c r="E16" s="6">
        <f>IF($C16="","", IF($D16="", $C16, $C16 - $D16/2))</f>
        <v/>
      </c>
      <c r="F16" s="6">
        <f>IF($C16="","", IF($D16="", $C16, $C16 + $D16/2))</f>
        <v/>
      </c>
      <c r="G16" s="6">
        <f>IF($E16="","", DEGREES(ATAN((INDEX(Calc!$E:$E, MATCH("KminusZ_m", Calc!$C:$C, 0)) - $E16 + $B16) / INDEX(Calc!$E:$E, MATCH("L_ramp_m", Calc!$C:$C, 0)))))</f>
        <v/>
      </c>
      <c r="H16" s="3">
        <f>IF($E16="","", IF(AND($E16&gt;=INDEX(Calc!$E:$E, MATCH("min_fwd_draft_m", Calc!$C:$C, 0)), $E16&lt;=INDEX(Calc!$E:$E, MATCH("max_fwd_draft_m", Calc!$C:$C, 0)), $G16&lt;=INDEX(Calc!$E:$E, MATCH("theta_max_deg", Calc!$C:$C, 0))), "OK", "CHECK"))</f>
        <v/>
      </c>
      <c r="I16" s="6">
        <f>IF($E16="","", INDEX(Calc!$E:$E, MATCH("D_vessel_m", Calc!$C:$C, 0)) - $E16 + $B16)</f>
        <v/>
      </c>
      <c r="J16" s="6">
        <f>IF($F16="","", INDEX(Calc!$E:$E, MATCH("D_vessel_m", Calc!$C:$C, 0)) - $F16 + $B16)</f>
        <v/>
      </c>
      <c r="K16" s="3">
        <f>IF(D16=0, "Even Keel", "")</f>
        <v/>
      </c>
    </row>
    <row r="17">
      <c r="A17" s="3">
        <f>IF(December_Tide_2025!A17="","",December_Tide_2025!A17)</f>
        <v/>
      </c>
      <c r="B17" s="6">
        <f>IF(December_Tide_2025!B17="","",December_Tide_2025!B17)</f>
        <v/>
      </c>
      <c r="C17" s="6">
        <f>IF($A17="","", INDEX(Calc!$E:$E, MATCH("KminusZ_m", Calc!$C:$C, 0)) + $B17 - INDEX(Calc!$E:$E, MATCH("L_ramp_m", Calc!$C:$C, 0)) * TAN(RADIANS(INDEX(Calc!$E:$E, MATCH("theta_max_deg", Calc!$C:$C, 0)))))</f>
        <v/>
      </c>
      <c r="D17" s="6" t="n"/>
      <c r="E17" s="6">
        <f>IF($C17="","", IF($D17="", $C17, $C17 - $D17/2))</f>
        <v/>
      </c>
      <c r="F17" s="6">
        <f>IF($C17="","", IF($D17="", $C17, $C17 + $D17/2))</f>
        <v/>
      </c>
      <c r="G17" s="6">
        <f>IF($E17="","", DEGREES(ATAN((INDEX(Calc!$E:$E, MATCH("KminusZ_m", Calc!$C:$C, 0)) - $E17 + $B17) / INDEX(Calc!$E:$E, MATCH("L_ramp_m", Calc!$C:$C, 0)))))</f>
        <v/>
      </c>
      <c r="H17" s="3">
        <f>IF($E17="","", IF(AND($E17&gt;=INDEX(Calc!$E:$E, MATCH("min_fwd_draft_m", Calc!$C:$C, 0)), $E17&lt;=INDEX(Calc!$E:$E, MATCH("max_fwd_draft_m", Calc!$C:$C, 0)), $G17&lt;=INDEX(Calc!$E:$E, MATCH("theta_max_deg", Calc!$C:$C, 0))), "OK", "CHECK"))</f>
        <v/>
      </c>
      <c r="I17" s="6">
        <f>IF($E17="","", INDEX(Calc!$E:$E, MATCH("D_vessel_m", Calc!$C:$C, 0)) - $E17 + $B17)</f>
        <v/>
      </c>
      <c r="J17" s="6">
        <f>IF($F17="","", INDEX(Calc!$E:$E, MATCH("D_vessel_m", Calc!$C:$C, 0)) - $F17 + $B17)</f>
        <v/>
      </c>
      <c r="K17" s="3">
        <f>IF(D17=0, "Even Keel", "")</f>
        <v/>
      </c>
    </row>
    <row r="18">
      <c r="A18" s="3">
        <f>IF(December_Tide_2025!A18="","",December_Tide_2025!A18)</f>
        <v/>
      </c>
      <c r="B18" s="6">
        <f>IF(December_Tide_2025!B18="","",December_Tide_2025!B18)</f>
        <v/>
      </c>
      <c r="C18" s="6">
        <f>IF($A18="","", INDEX(Calc!$E:$E, MATCH("KminusZ_m", Calc!$C:$C, 0)) + $B18 - INDEX(Calc!$E:$E, MATCH("L_ramp_m", Calc!$C:$C, 0)) * TAN(RADIANS(INDEX(Calc!$E:$E, MATCH("theta_max_deg", Calc!$C:$C, 0)))))</f>
        <v/>
      </c>
      <c r="D18" s="6" t="n"/>
      <c r="E18" s="6">
        <f>IF($C18="","", IF($D18="", $C18, $C18 - $D18/2))</f>
        <v/>
      </c>
      <c r="F18" s="6">
        <f>IF($C18="","", IF($D18="", $C18, $C18 + $D18/2))</f>
        <v/>
      </c>
      <c r="G18" s="6">
        <f>IF($E18="","", DEGREES(ATAN((INDEX(Calc!$E:$E, MATCH("KminusZ_m", Calc!$C:$C, 0)) - $E18 + $B18) / INDEX(Calc!$E:$E, MATCH("L_ramp_m", Calc!$C:$C, 0)))))</f>
        <v/>
      </c>
      <c r="H18" s="3">
        <f>IF($E18="","", IF(AND($E18&gt;=INDEX(Calc!$E:$E, MATCH("min_fwd_draft_m", Calc!$C:$C, 0)), $E18&lt;=INDEX(Calc!$E:$E, MATCH("max_fwd_draft_m", Calc!$C:$C, 0)), $G18&lt;=INDEX(Calc!$E:$E, MATCH("theta_max_deg", Calc!$C:$C, 0))), "OK", "CHECK"))</f>
        <v/>
      </c>
      <c r="I18" s="6">
        <f>IF($E18="","", INDEX(Calc!$E:$E, MATCH("D_vessel_m", Calc!$C:$C, 0)) - $E18 + $B18)</f>
        <v/>
      </c>
      <c r="J18" s="6">
        <f>IF($F18="","", INDEX(Calc!$E:$E, MATCH("D_vessel_m", Calc!$C:$C, 0)) - $F18 + $B18)</f>
        <v/>
      </c>
      <c r="K18" s="3">
        <f>IF(D18=0, "Even Keel", "")</f>
        <v/>
      </c>
    </row>
    <row r="19">
      <c r="A19" s="3">
        <f>IF(December_Tide_2025!A19="","",December_Tide_2025!A19)</f>
        <v/>
      </c>
      <c r="B19" s="6">
        <f>IF(December_Tide_2025!B19="","",December_Tide_2025!B19)</f>
        <v/>
      </c>
      <c r="C19" s="6">
        <f>IF($A19="","", INDEX(Calc!$E:$E, MATCH("KminusZ_m", Calc!$C:$C, 0)) + $B19 - INDEX(Calc!$E:$E, MATCH("L_ramp_m", Calc!$C:$C, 0)) * TAN(RADIANS(INDEX(Calc!$E:$E, MATCH("theta_max_deg", Calc!$C:$C, 0)))))</f>
        <v/>
      </c>
      <c r="D19" s="6" t="n"/>
      <c r="E19" s="6">
        <f>IF($C19="","", IF($D19="", $C19, $C19 - $D19/2))</f>
        <v/>
      </c>
      <c r="F19" s="6">
        <f>IF($C19="","", IF($D19="", $C19, $C19 + $D19/2))</f>
        <v/>
      </c>
      <c r="G19" s="6">
        <f>IF($E19="","", DEGREES(ATAN((INDEX(Calc!$E:$E, MATCH("KminusZ_m", Calc!$C:$C, 0)) - $E19 + $B19) / INDEX(Calc!$E:$E, MATCH("L_ramp_m", Calc!$C:$C, 0)))))</f>
        <v/>
      </c>
      <c r="H19" s="3">
        <f>IF($E19="","", IF(AND($E19&gt;=INDEX(Calc!$E:$E, MATCH("min_fwd_draft_m", Calc!$C:$C, 0)), $E19&lt;=INDEX(Calc!$E:$E, MATCH("max_fwd_draft_m", Calc!$C:$C, 0)), $G19&lt;=INDEX(Calc!$E:$E, MATCH("theta_max_deg", Calc!$C:$C, 0))), "OK", "CHECK"))</f>
        <v/>
      </c>
      <c r="I19" s="6">
        <f>IF($E19="","", INDEX(Calc!$E:$E, MATCH("D_vessel_m", Calc!$C:$C, 0)) - $E19 + $B19)</f>
        <v/>
      </c>
      <c r="J19" s="6">
        <f>IF($F19="","", INDEX(Calc!$E:$E, MATCH("D_vessel_m", Calc!$C:$C, 0)) - $F19 + $B19)</f>
        <v/>
      </c>
      <c r="K19" s="3">
        <f>IF(D19=0, "Even Keel", "")</f>
        <v/>
      </c>
    </row>
    <row r="20">
      <c r="A20" s="3">
        <f>IF(December_Tide_2025!A20="","",December_Tide_2025!A20)</f>
        <v/>
      </c>
      <c r="B20" s="6">
        <f>IF(December_Tide_2025!B20="","",December_Tide_2025!B20)</f>
        <v/>
      </c>
      <c r="C20" s="6">
        <f>IF($A20="","", INDEX(Calc!$E:$E, MATCH("KminusZ_m", Calc!$C:$C, 0)) + $B20 - INDEX(Calc!$E:$E, MATCH("L_ramp_m", Calc!$C:$C, 0)) * TAN(RADIANS(INDEX(Calc!$E:$E, MATCH("theta_max_deg", Calc!$C:$C, 0)))))</f>
        <v/>
      </c>
      <c r="D20" s="6" t="n"/>
      <c r="E20" s="6">
        <f>IF($C20="","", IF($D20="", $C20, $C20 - $D20/2))</f>
        <v/>
      </c>
      <c r="F20" s="6">
        <f>IF($C20="","", IF($D20="", $C20, $C20 + $D20/2))</f>
        <v/>
      </c>
      <c r="G20" s="6">
        <f>IF($E20="","", DEGREES(ATAN((INDEX(Calc!$E:$E, MATCH("KminusZ_m", Calc!$C:$C, 0)) - $E20 + $B20) / INDEX(Calc!$E:$E, MATCH("L_ramp_m", Calc!$C:$C, 0)))))</f>
        <v/>
      </c>
      <c r="H20" s="3">
        <f>IF($E20="","", IF(AND($E20&gt;=INDEX(Calc!$E:$E, MATCH("min_fwd_draft_m", Calc!$C:$C, 0)), $E20&lt;=INDEX(Calc!$E:$E, MATCH("max_fwd_draft_m", Calc!$C:$C, 0)), $G20&lt;=INDEX(Calc!$E:$E, MATCH("theta_max_deg", Calc!$C:$C, 0))), "OK", "CHECK"))</f>
        <v/>
      </c>
      <c r="I20" s="6">
        <f>IF($E20="","", INDEX(Calc!$E:$E, MATCH("D_vessel_m", Calc!$C:$C, 0)) - $E20 + $B20)</f>
        <v/>
      </c>
      <c r="J20" s="6">
        <f>IF($F20="","", INDEX(Calc!$E:$E, MATCH("D_vessel_m", Calc!$C:$C, 0)) - $F20 + $B20)</f>
        <v/>
      </c>
      <c r="K20" s="3">
        <f>IF(D20=0, "Even Keel", "")</f>
        <v/>
      </c>
    </row>
    <row r="21">
      <c r="A21" s="3">
        <f>IF(December_Tide_2025!A21="","",December_Tide_2025!A21)</f>
        <v/>
      </c>
      <c r="B21" s="6">
        <f>IF(December_Tide_2025!B21="","",December_Tide_2025!B21)</f>
        <v/>
      </c>
      <c r="C21" s="6">
        <f>IF($A21="","", INDEX(Calc!$E:$E, MATCH("KminusZ_m", Calc!$C:$C, 0)) + $B21 - INDEX(Calc!$E:$E, MATCH("L_ramp_m", Calc!$C:$C, 0)) * TAN(RADIANS(INDEX(Calc!$E:$E, MATCH("theta_max_deg", Calc!$C:$C, 0)))))</f>
        <v/>
      </c>
      <c r="D21" s="6" t="n"/>
      <c r="E21" s="6">
        <f>IF($C21="","", IF($D21="", $C21, $C21 - $D21/2))</f>
        <v/>
      </c>
      <c r="F21" s="6">
        <f>IF($C21="","", IF($D21="", $C21, $C21 + $D21/2))</f>
        <v/>
      </c>
      <c r="G21" s="6">
        <f>IF($E21="","", DEGREES(ATAN((INDEX(Calc!$E:$E, MATCH("KminusZ_m", Calc!$C:$C, 0)) - $E21 + $B21) / INDEX(Calc!$E:$E, MATCH("L_ramp_m", Calc!$C:$C, 0)))))</f>
        <v/>
      </c>
      <c r="H21" s="3">
        <f>IF($E21="","", IF(AND($E21&gt;=INDEX(Calc!$E:$E, MATCH("min_fwd_draft_m", Calc!$C:$C, 0)), $E21&lt;=INDEX(Calc!$E:$E, MATCH("max_fwd_draft_m", Calc!$C:$C, 0)), $G21&lt;=INDEX(Calc!$E:$E, MATCH("theta_max_deg", Calc!$C:$C, 0))), "OK", "CHECK"))</f>
        <v/>
      </c>
      <c r="I21" s="6">
        <f>IF($E21="","", INDEX(Calc!$E:$E, MATCH("D_vessel_m", Calc!$C:$C, 0)) - $E21 + $B21)</f>
        <v/>
      </c>
      <c r="J21" s="6">
        <f>IF($F21="","", INDEX(Calc!$E:$E, MATCH("D_vessel_m", Calc!$C:$C, 0)) - $F21 + $B21)</f>
        <v/>
      </c>
      <c r="K21" s="3">
        <f>IF(D21=0, "Even Keel", "")</f>
        <v/>
      </c>
    </row>
    <row r="22">
      <c r="A22" s="3">
        <f>IF(December_Tide_2025!A22="","",December_Tide_2025!A22)</f>
        <v/>
      </c>
      <c r="B22" s="6">
        <f>IF(December_Tide_2025!B22="","",December_Tide_2025!B22)</f>
        <v/>
      </c>
      <c r="C22" s="6">
        <f>IF($A22="","", INDEX(Calc!$E:$E, MATCH("KminusZ_m", Calc!$C:$C, 0)) + $B22 - INDEX(Calc!$E:$E, MATCH("L_ramp_m", Calc!$C:$C, 0)) * TAN(RADIANS(INDEX(Calc!$E:$E, MATCH("theta_max_deg", Calc!$C:$C, 0)))))</f>
        <v/>
      </c>
      <c r="D22" s="6" t="n"/>
      <c r="E22" s="6">
        <f>IF($C22="","", IF($D22="", $C22, $C22 - $D22/2))</f>
        <v/>
      </c>
      <c r="F22" s="6">
        <f>IF($C22="","", IF($D22="", $C22, $C22 + $D22/2))</f>
        <v/>
      </c>
      <c r="G22" s="6">
        <f>IF($E22="","", DEGREES(ATAN((INDEX(Calc!$E:$E, MATCH("KminusZ_m", Calc!$C:$C, 0)) - $E22 + $B22) / INDEX(Calc!$E:$E, MATCH("L_ramp_m", Calc!$C:$C, 0)))))</f>
        <v/>
      </c>
      <c r="H22" s="3">
        <f>IF($E22="","", IF(AND($E22&gt;=INDEX(Calc!$E:$E, MATCH("min_fwd_draft_m", Calc!$C:$C, 0)), $E22&lt;=INDEX(Calc!$E:$E, MATCH("max_fwd_draft_m", Calc!$C:$C, 0)), $G22&lt;=INDEX(Calc!$E:$E, MATCH("theta_max_deg", Calc!$C:$C, 0))), "OK", "CHECK"))</f>
        <v/>
      </c>
      <c r="I22" s="6">
        <f>IF($E22="","", INDEX(Calc!$E:$E, MATCH("D_vessel_m", Calc!$C:$C, 0)) - $E22 + $B22)</f>
        <v/>
      </c>
      <c r="J22" s="6">
        <f>IF($F22="","", INDEX(Calc!$E:$E, MATCH("D_vessel_m", Calc!$C:$C, 0)) - $F22 + $B22)</f>
        <v/>
      </c>
      <c r="K22" s="3">
        <f>IF(D22=0, "Even Keel", "")</f>
        <v/>
      </c>
    </row>
    <row r="23">
      <c r="A23" s="3">
        <f>IF(December_Tide_2025!A23="","",December_Tide_2025!A23)</f>
        <v/>
      </c>
      <c r="B23" s="6">
        <f>IF(December_Tide_2025!B23="","",December_Tide_2025!B23)</f>
        <v/>
      </c>
      <c r="C23" s="6">
        <f>IF($A23="","", INDEX(Calc!$E:$E, MATCH("KminusZ_m", Calc!$C:$C, 0)) + $B23 - INDEX(Calc!$E:$E, MATCH("L_ramp_m", Calc!$C:$C, 0)) * TAN(RADIANS(INDEX(Calc!$E:$E, MATCH("theta_max_deg", Calc!$C:$C, 0)))))</f>
        <v/>
      </c>
      <c r="D23" s="6" t="n"/>
      <c r="E23" s="6">
        <f>IF($C23="","", IF($D23="", $C23, $C23 - $D23/2))</f>
        <v/>
      </c>
      <c r="F23" s="6">
        <f>IF($C23="","", IF($D23="", $C23, $C23 + $D23/2))</f>
        <v/>
      </c>
      <c r="G23" s="6">
        <f>IF($E23="","", DEGREES(ATAN((INDEX(Calc!$E:$E, MATCH("KminusZ_m", Calc!$C:$C, 0)) - $E23 + $B23) / INDEX(Calc!$E:$E, MATCH("L_ramp_m", Calc!$C:$C, 0)))))</f>
        <v/>
      </c>
      <c r="H23" s="3">
        <f>IF($E23="","", IF(AND($E23&gt;=INDEX(Calc!$E:$E, MATCH("min_fwd_draft_m", Calc!$C:$C, 0)), $E23&lt;=INDEX(Calc!$E:$E, MATCH("max_fwd_draft_m", Calc!$C:$C, 0)), $G23&lt;=INDEX(Calc!$E:$E, MATCH("theta_max_deg", Calc!$C:$C, 0))), "OK", "CHECK"))</f>
        <v/>
      </c>
      <c r="I23" s="6">
        <f>IF($E23="","", INDEX(Calc!$E:$E, MATCH("D_vessel_m", Calc!$C:$C, 0)) - $E23 + $B23)</f>
        <v/>
      </c>
      <c r="J23" s="6">
        <f>IF($F23="","", INDEX(Calc!$E:$E, MATCH("D_vessel_m", Calc!$C:$C, 0)) - $F23 + $B23)</f>
        <v/>
      </c>
      <c r="K23" s="3">
        <f>IF(D23=0, "Even Keel", "")</f>
        <v/>
      </c>
    </row>
    <row r="24">
      <c r="A24" s="3">
        <f>IF(December_Tide_2025!A24="","",December_Tide_2025!A24)</f>
        <v/>
      </c>
      <c r="B24" s="6">
        <f>IF(December_Tide_2025!B24="","",December_Tide_2025!B24)</f>
        <v/>
      </c>
      <c r="C24" s="6">
        <f>IF($A24="","", INDEX(Calc!$E:$E, MATCH("KminusZ_m", Calc!$C:$C, 0)) + $B24 - INDEX(Calc!$E:$E, MATCH("L_ramp_m", Calc!$C:$C, 0)) * TAN(RADIANS(INDEX(Calc!$E:$E, MATCH("theta_max_deg", Calc!$C:$C, 0)))))</f>
        <v/>
      </c>
      <c r="D24" s="6" t="n"/>
      <c r="E24" s="6">
        <f>IF($C24="","", IF($D24="", $C24, $C24 - $D24/2))</f>
        <v/>
      </c>
      <c r="F24" s="6">
        <f>IF($C24="","", IF($D24="", $C24, $C24 + $D24/2))</f>
        <v/>
      </c>
      <c r="G24" s="6">
        <f>IF($E24="","", DEGREES(ATAN((INDEX(Calc!$E:$E, MATCH("KminusZ_m", Calc!$C:$C, 0)) - $E24 + $B24) / INDEX(Calc!$E:$E, MATCH("L_ramp_m", Calc!$C:$C, 0)))))</f>
        <v/>
      </c>
      <c r="H24" s="3">
        <f>IF($E24="","", IF(AND($E24&gt;=INDEX(Calc!$E:$E, MATCH("min_fwd_draft_m", Calc!$C:$C, 0)), $E24&lt;=INDEX(Calc!$E:$E, MATCH("max_fwd_draft_m", Calc!$C:$C, 0)), $G24&lt;=INDEX(Calc!$E:$E, MATCH("theta_max_deg", Calc!$C:$C, 0))), "OK", "CHECK"))</f>
        <v/>
      </c>
      <c r="I24" s="6">
        <f>IF($E24="","", INDEX(Calc!$E:$E, MATCH("D_vessel_m", Calc!$C:$C, 0)) - $E24 + $B24)</f>
        <v/>
      </c>
      <c r="J24" s="6">
        <f>IF($F24="","", INDEX(Calc!$E:$E, MATCH("D_vessel_m", Calc!$C:$C, 0)) - $F24 + $B24)</f>
        <v/>
      </c>
      <c r="K24" s="3">
        <f>IF(D24=0, "Even Keel", "")</f>
        <v/>
      </c>
    </row>
    <row r="25">
      <c r="A25" s="3">
        <f>IF(December_Tide_2025!A25="","",December_Tide_2025!A25)</f>
        <v/>
      </c>
      <c r="B25" s="6">
        <f>IF(December_Tide_2025!B25="","",December_Tide_2025!B25)</f>
        <v/>
      </c>
      <c r="C25" s="6">
        <f>IF($A25="","", INDEX(Calc!$E:$E, MATCH("KminusZ_m", Calc!$C:$C, 0)) + $B25 - INDEX(Calc!$E:$E, MATCH("L_ramp_m", Calc!$C:$C, 0)) * TAN(RADIANS(INDEX(Calc!$E:$E, MATCH("theta_max_deg", Calc!$C:$C, 0)))))</f>
        <v/>
      </c>
      <c r="D25" s="6" t="n"/>
      <c r="E25" s="6">
        <f>IF($C25="","", IF($D25="", $C25, $C25 - $D25/2))</f>
        <v/>
      </c>
      <c r="F25" s="6">
        <f>IF($C25="","", IF($D25="", $C25, $C25 + $D25/2))</f>
        <v/>
      </c>
      <c r="G25" s="6">
        <f>IF($E25="","", DEGREES(ATAN((INDEX(Calc!$E:$E, MATCH("KminusZ_m", Calc!$C:$C, 0)) - $E25 + $B25) / INDEX(Calc!$E:$E, MATCH("L_ramp_m", Calc!$C:$C, 0)))))</f>
        <v/>
      </c>
      <c r="H25" s="3">
        <f>IF($E25="","", IF(AND($E25&gt;=INDEX(Calc!$E:$E, MATCH("min_fwd_draft_m", Calc!$C:$C, 0)), $E25&lt;=INDEX(Calc!$E:$E, MATCH("max_fwd_draft_m", Calc!$C:$C, 0)), $G25&lt;=INDEX(Calc!$E:$E, MATCH("theta_max_deg", Calc!$C:$C, 0))), "OK", "CHECK"))</f>
        <v/>
      </c>
      <c r="I25" s="6">
        <f>IF($E25="","", INDEX(Calc!$E:$E, MATCH("D_vessel_m", Calc!$C:$C, 0)) - $E25 + $B25)</f>
        <v/>
      </c>
      <c r="J25" s="6">
        <f>IF($F25="","", INDEX(Calc!$E:$E, MATCH("D_vessel_m", Calc!$C:$C, 0)) - $F25 + $B25)</f>
        <v/>
      </c>
      <c r="K25" s="3">
        <f>IF(D25=0, "Even Keel", "")</f>
        <v/>
      </c>
    </row>
    <row r="26">
      <c r="A26" s="3">
        <f>IF(December_Tide_2025!A26="","",December_Tide_2025!A26)</f>
        <v/>
      </c>
      <c r="B26" s="6">
        <f>IF(December_Tide_2025!B26="","",December_Tide_2025!B26)</f>
        <v/>
      </c>
      <c r="C26" s="6">
        <f>IF($A26="","", INDEX(Calc!$E:$E, MATCH("KminusZ_m", Calc!$C:$C, 0)) + $B26 - INDEX(Calc!$E:$E, MATCH("L_ramp_m", Calc!$C:$C, 0)) * TAN(RADIANS(INDEX(Calc!$E:$E, MATCH("theta_max_deg", Calc!$C:$C, 0)))))</f>
        <v/>
      </c>
      <c r="D26" s="6" t="n"/>
      <c r="E26" s="6">
        <f>IF($C26="","", IF($D26="", $C26, $C26 - $D26/2))</f>
        <v/>
      </c>
      <c r="F26" s="6">
        <f>IF($C26="","", IF($D26="", $C26, $C26 + $D26/2))</f>
        <v/>
      </c>
      <c r="G26" s="6">
        <f>IF($E26="","", DEGREES(ATAN((INDEX(Calc!$E:$E, MATCH("KminusZ_m", Calc!$C:$C, 0)) - $E26 + $B26) / INDEX(Calc!$E:$E, MATCH("L_ramp_m", Calc!$C:$C, 0)))))</f>
        <v/>
      </c>
      <c r="H26" s="3">
        <f>IF($E26="","", IF(AND($E26&gt;=INDEX(Calc!$E:$E, MATCH("min_fwd_draft_m", Calc!$C:$C, 0)), $E26&lt;=INDEX(Calc!$E:$E, MATCH("max_fwd_draft_m", Calc!$C:$C, 0)), $G26&lt;=INDEX(Calc!$E:$E, MATCH("theta_max_deg", Calc!$C:$C, 0))), "OK", "CHECK"))</f>
        <v/>
      </c>
      <c r="I26" s="6">
        <f>IF($E26="","", INDEX(Calc!$E:$E, MATCH("D_vessel_m", Calc!$C:$C, 0)) - $E26 + $B26)</f>
        <v/>
      </c>
      <c r="J26" s="6">
        <f>IF($F26="","", INDEX(Calc!$E:$E, MATCH("D_vessel_m", Calc!$C:$C, 0)) - $F26 + $B26)</f>
        <v/>
      </c>
      <c r="K26" s="3">
        <f>IF(D26=0, "Even Keel", "")</f>
        <v/>
      </c>
    </row>
    <row r="27">
      <c r="A27" s="3">
        <f>IF(December_Tide_2025!A27="","",December_Tide_2025!A27)</f>
        <v/>
      </c>
      <c r="B27" s="6">
        <f>IF(December_Tide_2025!B27="","",December_Tide_2025!B27)</f>
        <v/>
      </c>
      <c r="C27" s="6">
        <f>IF($A27="","", INDEX(Calc!$E:$E, MATCH("KminusZ_m", Calc!$C:$C, 0)) + $B27 - INDEX(Calc!$E:$E, MATCH("L_ramp_m", Calc!$C:$C, 0)) * TAN(RADIANS(INDEX(Calc!$E:$E, MATCH("theta_max_deg", Calc!$C:$C, 0)))))</f>
        <v/>
      </c>
      <c r="D27" s="6" t="n"/>
      <c r="E27" s="6">
        <f>IF($C27="","", IF($D27="", $C27, $C27 - $D27/2))</f>
        <v/>
      </c>
      <c r="F27" s="6">
        <f>IF($C27="","", IF($D27="", $C27, $C27 + $D27/2))</f>
        <v/>
      </c>
      <c r="G27" s="6">
        <f>IF($E27="","", DEGREES(ATAN((INDEX(Calc!$E:$E, MATCH("KminusZ_m", Calc!$C:$C, 0)) - $E27 + $B27) / INDEX(Calc!$E:$E, MATCH("L_ramp_m", Calc!$C:$C, 0)))))</f>
        <v/>
      </c>
      <c r="H27" s="3">
        <f>IF($E27="","", IF(AND($E27&gt;=INDEX(Calc!$E:$E, MATCH("min_fwd_draft_m", Calc!$C:$C, 0)), $E27&lt;=INDEX(Calc!$E:$E, MATCH("max_fwd_draft_m", Calc!$C:$C, 0)), $G27&lt;=INDEX(Calc!$E:$E, MATCH("theta_max_deg", Calc!$C:$C, 0))), "OK", "CHECK"))</f>
        <v/>
      </c>
      <c r="I27" s="6">
        <f>IF($E27="","", INDEX(Calc!$E:$E, MATCH("D_vessel_m", Calc!$C:$C, 0)) - $E27 + $B27)</f>
        <v/>
      </c>
      <c r="J27" s="6">
        <f>IF($F27="","", INDEX(Calc!$E:$E, MATCH("D_vessel_m", Calc!$C:$C, 0)) - $F27 + $B27)</f>
        <v/>
      </c>
      <c r="K27" s="3">
        <f>IF(D27=0, "Even Keel", "")</f>
        <v/>
      </c>
    </row>
    <row r="28">
      <c r="A28" s="3">
        <f>IF(December_Tide_2025!A28="","",December_Tide_2025!A28)</f>
        <v/>
      </c>
      <c r="B28" s="6">
        <f>IF(December_Tide_2025!B28="","",December_Tide_2025!B28)</f>
        <v/>
      </c>
      <c r="C28" s="6">
        <f>IF($A28="","", INDEX(Calc!$E:$E, MATCH("KminusZ_m", Calc!$C:$C, 0)) + $B28 - INDEX(Calc!$E:$E, MATCH("L_ramp_m", Calc!$C:$C, 0)) * TAN(RADIANS(INDEX(Calc!$E:$E, MATCH("theta_max_deg", Calc!$C:$C, 0)))))</f>
        <v/>
      </c>
      <c r="D28" s="6" t="n"/>
      <c r="E28" s="6">
        <f>IF($C28="","", IF($D28="", $C28, $C28 - $D28/2))</f>
        <v/>
      </c>
      <c r="F28" s="6">
        <f>IF($C28="","", IF($D28="", $C28, $C28 + $D28/2))</f>
        <v/>
      </c>
      <c r="G28" s="6">
        <f>IF($E28="","", DEGREES(ATAN((INDEX(Calc!$E:$E, MATCH("KminusZ_m", Calc!$C:$C, 0)) - $E28 + $B28) / INDEX(Calc!$E:$E, MATCH("L_ramp_m", Calc!$C:$C, 0)))))</f>
        <v/>
      </c>
      <c r="H28" s="3">
        <f>IF($E28="","", IF(AND($E28&gt;=INDEX(Calc!$E:$E, MATCH("min_fwd_draft_m", Calc!$C:$C, 0)), $E28&lt;=INDEX(Calc!$E:$E, MATCH("max_fwd_draft_m", Calc!$C:$C, 0)), $G28&lt;=INDEX(Calc!$E:$E, MATCH("theta_max_deg", Calc!$C:$C, 0))), "OK", "CHECK"))</f>
        <v/>
      </c>
      <c r="I28" s="6">
        <f>IF($E28="","", INDEX(Calc!$E:$E, MATCH("D_vessel_m", Calc!$C:$C, 0)) - $E28 + $B28)</f>
        <v/>
      </c>
      <c r="J28" s="6">
        <f>IF($F28="","", INDEX(Calc!$E:$E, MATCH("D_vessel_m", Calc!$C:$C, 0)) - $F28 + $B28)</f>
        <v/>
      </c>
      <c r="K28" s="3">
        <f>IF(D28=0, "Even Keel", "")</f>
        <v/>
      </c>
    </row>
    <row r="29">
      <c r="A29" s="3">
        <f>IF(December_Tide_2025!A29="","",December_Tide_2025!A29)</f>
        <v/>
      </c>
      <c r="B29" s="6">
        <f>IF(December_Tide_2025!B29="","",December_Tide_2025!B29)</f>
        <v/>
      </c>
      <c r="C29" s="6">
        <f>IF($A29="","", INDEX(Calc!$E:$E, MATCH("KminusZ_m", Calc!$C:$C, 0)) + $B29 - INDEX(Calc!$E:$E, MATCH("L_ramp_m", Calc!$C:$C, 0)) * TAN(RADIANS(INDEX(Calc!$E:$E, MATCH("theta_max_deg", Calc!$C:$C, 0)))))</f>
        <v/>
      </c>
      <c r="D29" s="6" t="n"/>
      <c r="E29" s="6">
        <f>IF($C29="","", IF($D29="", $C29, $C29 - $D29/2))</f>
        <v/>
      </c>
      <c r="F29" s="6">
        <f>IF($C29="","", IF($D29="", $C29, $C29 + $D29/2))</f>
        <v/>
      </c>
      <c r="G29" s="6">
        <f>IF($E29="","", DEGREES(ATAN((INDEX(Calc!$E:$E, MATCH("KminusZ_m", Calc!$C:$C, 0)) - $E29 + $B29) / INDEX(Calc!$E:$E, MATCH("L_ramp_m", Calc!$C:$C, 0)))))</f>
        <v/>
      </c>
      <c r="H29" s="3">
        <f>IF($E29="","", IF(AND($E29&gt;=INDEX(Calc!$E:$E, MATCH("min_fwd_draft_m", Calc!$C:$C, 0)), $E29&lt;=INDEX(Calc!$E:$E, MATCH("max_fwd_draft_m", Calc!$C:$C, 0)), $G29&lt;=INDEX(Calc!$E:$E, MATCH("theta_max_deg", Calc!$C:$C, 0))), "OK", "CHECK"))</f>
        <v/>
      </c>
      <c r="I29" s="6">
        <f>IF($E29="","", INDEX(Calc!$E:$E, MATCH("D_vessel_m", Calc!$C:$C, 0)) - $E29 + $B29)</f>
        <v/>
      </c>
      <c r="J29" s="6">
        <f>IF($F29="","", INDEX(Calc!$E:$E, MATCH("D_vessel_m", Calc!$C:$C, 0)) - $F29 + $B29)</f>
        <v/>
      </c>
      <c r="K29" s="3">
        <f>IF(D29=0, "Even Keel", "")</f>
        <v/>
      </c>
    </row>
    <row r="30">
      <c r="A30" s="3">
        <f>IF(December_Tide_2025!A30="","",December_Tide_2025!A30)</f>
        <v/>
      </c>
      <c r="B30" s="6">
        <f>IF(December_Tide_2025!B30="","",December_Tide_2025!B30)</f>
        <v/>
      </c>
      <c r="C30" s="6">
        <f>IF($A30="","", INDEX(Calc!$E:$E, MATCH("KminusZ_m", Calc!$C:$C, 0)) + $B30 - INDEX(Calc!$E:$E, MATCH("L_ramp_m", Calc!$C:$C, 0)) * TAN(RADIANS(INDEX(Calc!$E:$E, MATCH("theta_max_deg", Calc!$C:$C, 0)))))</f>
        <v/>
      </c>
      <c r="D30" s="6" t="n"/>
      <c r="E30" s="6">
        <f>IF($C30="","", IF($D30="", $C30, $C30 - $D30/2))</f>
        <v/>
      </c>
      <c r="F30" s="6">
        <f>IF($C30="","", IF($D30="", $C30, $C30 + $D30/2))</f>
        <v/>
      </c>
      <c r="G30" s="6">
        <f>IF($E30="","", DEGREES(ATAN((INDEX(Calc!$E:$E, MATCH("KminusZ_m", Calc!$C:$C, 0)) - $E30 + $B30) / INDEX(Calc!$E:$E, MATCH("L_ramp_m", Calc!$C:$C, 0)))))</f>
        <v/>
      </c>
      <c r="H30" s="3">
        <f>IF($E30="","", IF(AND($E30&gt;=INDEX(Calc!$E:$E, MATCH("min_fwd_draft_m", Calc!$C:$C, 0)), $E30&lt;=INDEX(Calc!$E:$E, MATCH("max_fwd_draft_m", Calc!$C:$C, 0)), $G30&lt;=INDEX(Calc!$E:$E, MATCH("theta_max_deg", Calc!$C:$C, 0))), "OK", "CHECK"))</f>
        <v/>
      </c>
      <c r="I30" s="6">
        <f>IF($E30="","", INDEX(Calc!$E:$E, MATCH("D_vessel_m", Calc!$C:$C, 0)) - $E30 + $B30)</f>
        <v/>
      </c>
      <c r="J30" s="6">
        <f>IF($F30="","", INDEX(Calc!$E:$E, MATCH("D_vessel_m", Calc!$C:$C, 0)) - $F30 + $B30)</f>
        <v/>
      </c>
      <c r="K30" s="3">
        <f>IF(D30=0, "Even Keel", "")</f>
        <v/>
      </c>
    </row>
    <row r="31">
      <c r="A31" s="3">
        <f>IF(December_Tide_2025!A31="","",December_Tide_2025!A31)</f>
        <v/>
      </c>
      <c r="B31" s="6">
        <f>IF(December_Tide_2025!B31="","",December_Tide_2025!B31)</f>
        <v/>
      </c>
      <c r="C31" s="6">
        <f>IF($A31="","", INDEX(Calc!$E:$E, MATCH("KminusZ_m", Calc!$C:$C, 0)) + $B31 - INDEX(Calc!$E:$E, MATCH("L_ramp_m", Calc!$C:$C, 0)) * TAN(RADIANS(INDEX(Calc!$E:$E, MATCH("theta_max_deg", Calc!$C:$C, 0)))))</f>
        <v/>
      </c>
      <c r="D31" s="6" t="n"/>
      <c r="E31" s="6">
        <f>IF($C31="","", IF($D31="", $C31, $C31 - $D31/2))</f>
        <v/>
      </c>
      <c r="F31" s="6">
        <f>IF($C31="","", IF($D31="", $C31, $C31 + $D31/2))</f>
        <v/>
      </c>
      <c r="G31" s="6">
        <f>IF($E31="","", DEGREES(ATAN((INDEX(Calc!$E:$E, MATCH("KminusZ_m", Calc!$C:$C, 0)) - $E31 + $B31) / INDEX(Calc!$E:$E, MATCH("L_ramp_m", Calc!$C:$C, 0)))))</f>
        <v/>
      </c>
      <c r="H31" s="3">
        <f>IF($E31="","", IF(AND($E31&gt;=INDEX(Calc!$E:$E, MATCH("min_fwd_draft_m", Calc!$C:$C, 0)), $E31&lt;=INDEX(Calc!$E:$E, MATCH("max_fwd_draft_m", Calc!$C:$C, 0)), $G31&lt;=INDEX(Calc!$E:$E, MATCH("theta_max_deg", Calc!$C:$C, 0))), "OK", "CHECK"))</f>
        <v/>
      </c>
      <c r="I31" s="6">
        <f>IF($E31="","", INDEX(Calc!$E:$E, MATCH("D_vessel_m", Calc!$C:$C, 0)) - $E31 + $B31)</f>
        <v/>
      </c>
      <c r="J31" s="6">
        <f>IF($F31="","", INDEX(Calc!$E:$E, MATCH("D_vessel_m", Calc!$C:$C, 0)) - $F31 + $B31)</f>
        <v/>
      </c>
      <c r="K31" s="3">
        <f>IF(D31=0, "Even Keel", "")</f>
        <v/>
      </c>
    </row>
    <row r="32">
      <c r="A32" s="3">
        <f>IF(December_Tide_2025!A32="","",December_Tide_2025!A32)</f>
        <v/>
      </c>
      <c r="B32" s="6">
        <f>IF(December_Tide_2025!B32="","",December_Tide_2025!B32)</f>
        <v/>
      </c>
      <c r="C32" s="6">
        <f>IF($A32="","", INDEX(Calc!$E:$E, MATCH("KminusZ_m", Calc!$C:$C, 0)) + $B32 - INDEX(Calc!$E:$E, MATCH("L_ramp_m", Calc!$C:$C, 0)) * TAN(RADIANS(INDEX(Calc!$E:$E, MATCH("theta_max_deg", Calc!$C:$C, 0)))))</f>
        <v/>
      </c>
      <c r="D32" s="6" t="n"/>
      <c r="E32" s="6">
        <f>IF($C32="","", IF($D32="", $C32, $C32 - $D32/2))</f>
        <v/>
      </c>
      <c r="F32" s="6">
        <f>IF($C32="","", IF($D32="", $C32, $C32 + $D32/2))</f>
        <v/>
      </c>
      <c r="G32" s="6">
        <f>IF($E32="","", DEGREES(ATAN((INDEX(Calc!$E:$E, MATCH("KminusZ_m", Calc!$C:$C, 0)) - $E32 + $B32) / INDEX(Calc!$E:$E, MATCH("L_ramp_m", Calc!$C:$C, 0)))))</f>
        <v/>
      </c>
      <c r="H32" s="3">
        <f>IF($E32="","", IF(AND($E32&gt;=INDEX(Calc!$E:$E, MATCH("min_fwd_draft_m", Calc!$C:$C, 0)), $E32&lt;=INDEX(Calc!$E:$E, MATCH("max_fwd_draft_m", Calc!$C:$C, 0)), $G32&lt;=INDEX(Calc!$E:$E, MATCH("theta_max_deg", Calc!$C:$C, 0))), "OK", "CHECK"))</f>
        <v/>
      </c>
      <c r="I32" s="6">
        <f>IF($E32="","", INDEX(Calc!$E:$E, MATCH("D_vessel_m", Calc!$C:$C, 0)) - $E32 + $B32)</f>
        <v/>
      </c>
      <c r="J32" s="6">
        <f>IF($F32="","", INDEX(Calc!$E:$E, MATCH("D_vessel_m", Calc!$C:$C, 0)) - $F32 + $B32)</f>
        <v/>
      </c>
      <c r="K32" s="3">
        <f>IF(D32=0, "Even Keel", "")</f>
        <v/>
      </c>
    </row>
    <row r="33">
      <c r="A33" s="3">
        <f>IF(December_Tide_2025!A33="","",December_Tide_2025!A33)</f>
        <v/>
      </c>
      <c r="B33" s="6">
        <f>IF(December_Tide_2025!B33="","",December_Tide_2025!B33)</f>
        <v/>
      </c>
      <c r="C33" s="6">
        <f>IF($A33="","", INDEX(Calc!$E:$E, MATCH("KminusZ_m", Calc!$C:$C, 0)) + $B33 - INDEX(Calc!$E:$E, MATCH("L_ramp_m", Calc!$C:$C, 0)) * TAN(RADIANS(INDEX(Calc!$E:$E, MATCH("theta_max_deg", Calc!$C:$C, 0)))))</f>
        <v/>
      </c>
      <c r="D33" s="6" t="n"/>
      <c r="E33" s="6">
        <f>IF($C33="","", IF($D33="", $C33, $C33 - $D33/2))</f>
        <v/>
      </c>
      <c r="F33" s="6">
        <f>IF($C33="","", IF($D33="", $C33, $C33 + $D33/2))</f>
        <v/>
      </c>
      <c r="G33" s="6">
        <f>IF($E33="","", DEGREES(ATAN((INDEX(Calc!$E:$E, MATCH("KminusZ_m", Calc!$C:$C, 0)) - $E33 + $B33) / INDEX(Calc!$E:$E, MATCH("L_ramp_m", Calc!$C:$C, 0)))))</f>
        <v/>
      </c>
      <c r="H33" s="3">
        <f>IF($E33="","", IF(AND($E33&gt;=INDEX(Calc!$E:$E, MATCH("min_fwd_draft_m", Calc!$C:$C, 0)), $E33&lt;=INDEX(Calc!$E:$E, MATCH("max_fwd_draft_m", Calc!$C:$C, 0)), $G33&lt;=INDEX(Calc!$E:$E, MATCH("theta_max_deg", Calc!$C:$C, 0))), "OK", "CHECK"))</f>
        <v/>
      </c>
      <c r="I33" s="6">
        <f>IF($E33="","", INDEX(Calc!$E:$E, MATCH("D_vessel_m", Calc!$C:$C, 0)) - $E33 + $B33)</f>
        <v/>
      </c>
      <c r="J33" s="6">
        <f>IF($F33="","", INDEX(Calc!$E:$E, MATCH("D_vessel_m", Calc!$C:$C, 0)) - $F33 + $B33)</f>
        <v/>
      </c>
      <c r="K33" s="3">
        <f>IF(D33=0, "Even Keel", "")</f>
        <v/>
      </c>
    </row>
    <row r="34">
      <c r="A34" s="3">
        <f>IF(December_Tide_2025!A34="","",December_Tide_2025!A34)</f>
        <v/>
      </c>
      <c r="B34" s="6">
        <f>IF(December_Tide_2025!B34="","",December_Tide_2025!B34)</f>
        <v/>
      </c>
      <c r="C34" s="6">
        <f>IF($A34="","", INDEX(Calc!$E:$E, MATCH("KminusZ_m", Calc!$C:$C, 0)) + $B34 - INDEX(Calc!$E:$E, MATCH("L_ramp_m", Calc!$C:$C, 0)) * TAN(RADIANS(INDEX(Calc!$E:$E, MATCH("theta_max_deg", Calc!$C:$C, 0)))))</f>
        <v/>
      </c>
      <c r="D34" s="6" t="n"/>
      <c r="E34" s="6">
        <f>IF($C34="","", IF($D34="", $C34, $C34 - $D34/2))</f>
        <v/>
      </c>
      <c r="F34" s="6">
        <f>IF($C34="","", IF($D34="", $C34, $C34 + $D34/2))</f>
        <v/>
      </c>
      <c r="G34" s="6">
        <f>IF($E34="","", DEGREES(ATAN((INDEX(Calc!$E:$E, MATCH("KminusZ_m", Calc!$C:$C, 0)) - $E34 + $B34) / INDEX(Calc!$E:$E, MATCH("L_ramp_m", Calc!$C:$C, 0)))))</f>
        <v/>
      </c>
      <c r="H34" s="3">
        <f>IF($E34="","", IF(AND($E34&gt;=INDEX(Calc!$E:$E, MATCH("min_fwd_draft_m", Calc!$C:$C, 0)), $E34&lt;=INDEX(Calc!$E:$E, MATCH("max_fwd_draft_m", Calc!$C:$C, 0)), $G34&lt;=INDEX(Calc!$E:$E, MATCH("theta_max_deg", Calc!$C:$C, 0))), "OK", "CHECK"))</f>
        <v/>
      </c>
      <c r="I34" s="6">
        <f>IF($E34="","", INDEX(Calc!$E:$E, MATCH("D_vessel_m", Calc!$C:$C, 0)) - $E34 + $B34)</f>
        <v/>
      </c>
      <c r="J34" s="6">
        <f>IF($F34="","", INDEX(Calc!$E:$E, MATCH("D_vessel_m", Calc!$C:$C, 0)) - $F34 + $B34)</f>
        <v/>
      </c>
      <c r="K34" s="3">
        <f>IF(D34=0, "Even Keel", "")</f>
        <v/>
      </c>
    </row>
    <row r="35">
      <c r="A35" s="3">
        <f>IF(December_Tide_2025!A35="","",December_Tide_2025!A35)</f>
        <v/>
      </c>
      <c r="B35" s="6">
        <f>IF(December_Tide_2025!B35="","",December_Tide_2025!B35)</f>
        <v/>
      </c>
      <c r="C35" s="6">
        <f>IF($A35="","", INDEX(Calc!$E:$E, MATCH("KminusZ_m", Calc!$C:$C, 0)) + $B35 - INDEX(Calc!$E:$E, MATCH("L_ramp_m", Calc!$C:$C, 0)) * TAN(RADIANS(INDEX(Calc!$E:$E, MATCH("theta_max_deg", Calc!$C:$C, 0)))))</f>
        <v/>
      </c>
      <c r="D35" s="6" t="n"/>
      <c r="E35" s="6">
        <f>IF($C35="","", IF($D35="", $C35, $C35 - $D35/2))</f>
        <v/>
      </c>
      <c r="F35" s="6">
        <f>IF($C35="","", IF($D35="", $C35, $C35 + $D35/2))</f>
        <v/>
      </c>
      <c r="G35" s="6">
        <f>IF($E35="","", DEGREES(ATAN((INDEX(Calc!$E:$E, MATCH("KminusZ_m", Calc!$C:$C, 0)) - $E35 + $B35) / INDEX(Calc!$E:$E, MATCH("L_ramp_m", Calc!$C:$C, 0)))))</f>
        <v/>
      </c>
      <c r="H35" s="3">
        <f>IF($E35="","", IF(AND($E35&gt;=INDEX(Calc!$E:$E, MATCH("min_fwd_draft_m", Calc!$C:$C, 0)), $E35&lt;=INDEX(Calc!$E:$E, MATCH("max_fwd_draft_m", Calc!$C:$C, 0)), $G35&lt;=INDEX(Calc!$E:$E, MATCH("theta_max_deg", Calc!$C:$C, 0))), "OK", "CHECK"))</f>
        <v/>
      </c>
      <c r="I35" s="6">
        <f>IF($E35="","", INDEX(Calc!$E:$E, MATCH("D_vessel_m", Calc!$C:$C, 0)) - $E35 + $B35)</f>
        <v/>
      </c>
      <c r="J35" s="6">
        <f>IF($F35="","", INDEX(Calc!$E:$E, MATCH("D_vessel_m", Calc!$C:$C, 0)) - $F35 + $B35)</f>
        <v/>
      </c>
      <c r="K35" s="3">
        <f>IF(D35=0, "Even Keel", "")</f>
        <v/>
      </c>
    </row>
    <row r="36">
      <c r="A36" s="3">
        <f>IF(December_Tide_2025!A36="","",December_Tide_2025!A36)</f>
        <v/>
      </c>
      <c r="B36" s="6">
        <f>IF(December_Tide_2025!B36="","",December_Tide_2025!B36)</f>
        <v/>
      </c>
      <c r="C36" s="6">
        <f>IF($A36="","", INDEX(Calc!$E:$E, MATCH("KminusZ_m", Calc!$C:$C, 0)) + $B36 - INDEX(Calc!$E:$E, MATCH("L_ramp_m", Calc!$C:$C, 0)) * TAN(RADIANS(INDEX(Calc!$E:$E, MATCH("theta_max_deg", Calc!$C:$C, 0)))))</f>
        <v/>
      </c>
      <c r="D36" s="6" t="n"/>
      <c r="E36" s="6">
        <f>IF($C36="","", IF($D36="", $C36, $C36 - $D36/2))</f>
        <v/>
      </c>
      <c r="F36" s="6">
        <f>IF($C36="","", IF($D36="", $C36, $C36 + $D36/2))</f>
        <v/>
      </c>
      <c r="G36" s="6">
        <f>IF($E36="","", DEGREES(ATAN((INDEX(Calc!$E:$E, MATCH("KminusZ_m", Calc!$C:$C, 0)) - $E36 + $B36) / INDEX(Calc!$E:$E, MATCH("L_ramp_m", Calc!$C:$C, 0)))))</f>
        <v/>
      </c>
      <c r="H36" s="3">
        <f>IF($E36="","", IF(AND($E36&gt;=INDEX(Calc!$E:$E, MATCH("min_fwd_draft_m", Calc!$C:$C, 0)), $E36&lt;=INDEX(Calc!$E:$E, MATCH("max_fwd_draft_m", Calc!$C:$C, 0)), $G36&lt;=INDEX(Calc!$E:$E, MATCH("theta_max_deg", Calc!$C:$C, 0))), "OK", "CHECK"))</f>
        <v/>
      </c>
      <c r="I36" s="6">
        <f>IF($E36="","", INDEX(Calc!$E:$E, MATCH("D_vessel_m", Calc!$C:$C, 0)) - $E36 + $B36)</f>
        <v/>
      </c>
      <c r="J36" s="6">
        <f>IF($F36="","", INDEX(Calc!$E:$E, MATCH("D_vessel_m", Calc!$C:$C, 0)) - $F36 + $B36)</f>
        <v/>
      </c>
      <c r="K36" s="3">
        <f>IF(D36=0, "Even Keel", "")</f>
        <v/>
      </c>
    </row>
    <row r="37">
      <c r="A37" s="3">
        <f>IF(December_Tide_2025!A37="","",December_Tide_2025!A37)</f>
        <v/>
      </c>
      <c r="B37" s="6">
        <f>IF(December_Tide_2025!B37="","",December_Tide_2025!B37)</f>
        <v/>
      </c>
      <c r="C37" s="6">
        <f>IF($A37="","", INDEX(Calc!$E:$E, MATCH("KminusZ_m", Calc!$C:$C, 0)) + $B37 - INDEX(Calc!$E:$E, MATCH("L_ramp_m", Calc!$C:$C, 0)) * TAN(RADIANS(INDEX(Calc!$E:$E, MATCH("theta_max_deg", Calc!$C:$C, 0)))))</f>
        <v/>
      </c>
      <c r="D37" s="6" t="n"/>
      <c r="E37" s="6">
        <f>IF($C37="","", IF($D37="", $C37, $C37 - $D37/2))</f>
        <v/>
      </c>
      <c r="F37" s="6">
        <f>IF($C37="","", IF($D37="", $C37, $C37 + $D37/2))</f>
        <v/>
      </c>
      <c r="G37" s="6">
        <f>IF($E37="","", DEGREES(ATAN((INDEX(Calc!$E:$E, MATCH("KminusZ_m", Calc!$C:$C, 0)) - $E37 + $B37) / INDEX(Calc!$E:$E, MATCH("L_ramp_m", Calc!$C:$C, 0)))))</f>
        <v/>
      </c>
      <c r="H37" s="3">
        <f>IF($E37="","", IF(AND($E37&gt;=INDEX(Calc!$E:$E, MATCH("min_fwd_draft_m", Calc!$C:$C, 0)), $E37&lt;=INDEX(Calc!$E:$E, MATCH("max_fwd_draft_m", Calc!$C:$C, 0)), $G37&lt;=INDEX(Calc!$E:$E, MATCH("theta_max_deg", Calc!$C:$C, 0))), "OK", "CHECK"))</f>
        <v/>
      </c>
      <c r="I37" s="6">
        <f>IF($E37="","", INDEX(Calc!$E:$E, MATCH("D_vessel_m", Calc!$C:$C, 0)) - $E37 + $B37)</f>
        <v/>
      </c>
      <c r="J37" s="6">
        <f>IF($F37="","", INDEX(Calc!$E:$E, MATCH("D_vessel_m", Calc!$C:$C, 0)) - $F37 + $B37)</f>
        <v/>
      </c>
      <c r="K37" s="3">
        <f>IF(D37=0, "Even Keel", "")</f>
        <v/>
      </c>
    </row>
    <row r="38">
      <c r="A38" s="3">
        <f>IF(December_Tide_2025!A38="","",December_Tide_2025!A38)</f>
        <v/>
      </c>
      <c r="B38" s="6">
        <f>IF(December_Tide_2025!B38="","",December_Tide_2025!B38)</f>
        <v/>
      </c>
      <c r="C38" s="6">
        <f>IF($A38="","", INDEX(Calc!$E:$E, MATCH("KminusZ_m", Calc!$C:$C, 0)) + $B38 - INDEX(Calc!$E:$E, MATCH("L_ramp_m", Calc!$C:$C, 0)) * TAN(RADIANS(INDEX(Calc!$E:$E, MATCH("theta_max_deg", Calc!$C:$C, 0)))))</f>
        <v/>
      </c>
      <c r="D38" s="6" t="n"/>
      <c r="E38" s="6">
        <f>IF($C38="","", IF($D38="", $C38, $C38 - $D38/2))</f>
        <v/>
      </c>
      <c r="F38" s="6">
        <f>IF($C38="","", IF($D38="", $C38, $C38 + $D38/2))</f>
        <v/>
      </c>
      <c r="G38" s="6">
        <f>IF($E38="","", DEGREES(ATAN((INDEX(Calc!$E:$E, MATCH("KminusZ_m", Calc!$C:$C, 0)) - $E38 + $B38) / INDEX(Calc!$E:$E, MATCH("L_ramp_m", Calc!$C:$C, 0)))))</f>
        <v/>
      </c>
      <c r="H38" s="3">
        <f>IF($E38="","", IF(AND($E38&gt;=INDEX(Calc!$E:$E, MATCH("min_fwd_draft_m", Calc!$C:$C, 0)), $E38&lt;=INDEX(Calc!$E:$E, MATCH("max_fwd_draft_m", Calc!$C:$C, 0)), $G38&lt;=INDEX(Calc!$E:$E, MATCH("theta_max_deg", Calc!$C:$C, 0))), "OK", "CHECK"))</f>
        <v/>
      </c>
      <c r="I38" s="6">
        <f>IF($E38="","", INDEX(Calc!$E:$E, MATCH("D_vessel_m", Calc!$C:$C, 0)) - $E38 + $B38)</f>
        <v/>
      </c>
      <c r="J38" s="6">
        <f>IF($F38="","", INDEX(Calc!$E:$E, MATCH("D_vessel_m", Calc!$C:$C, 0)) - $F38 + $B38)</f>
        <v/>
      </c>
      <c r="K38" s="3">
        <f>IF(D38=0, "Even Keel", "")</f>
        <v/>
      </c>
    </row>
    <row r="39">
      <c r="A39" s="3">
        <f>IF(December_Tide_2025!A39="","",December_Tide_2025!A39)</f>
        <v/>
      </c>
      <c r="B39" s="6">
        <f>IF(December_Tide_2025!B39="","",December_Tide_2025!B39)</f>
        <v/>
      </c>
      <c r="C39" s="6">
        <f>IF($A39="","", INDEX(Calc!$E:$E, MATCH("KminusZ_m", Calc!$C:$C, 0)) + $B39 - INDEX(Calc!$E:$E, MATCH("L_ramp_m", Calc!$C:$C, 0)) * TAN(RADIANS(INDEX(Calc!$E:$E, MATCH("theta_max_deg", Calc!$C:$C, 0)))))</f>
        <v/>
      </c>
      <c r="D39" s="6" t="n"/>
      <c r="E39" s="6">
        <f>IF($C39="","", IF($D39="", $C39, $C39 - $D39/2))</f>
        <v/>
      </c>
      <c r="F39" s="6">
        <f>IF($C39="","", IF($D39="", $C39, $C39 + $D39/2))</f>
        <v/>
      </c>
      <c r="G39" s="6">
        <f>IF($E39="","", DEGREES(ATAN((INDEX(Calc!$E:$E, MATCH("KminusZ_m", Calc!$C:$C, 0)) - $E39 + $B39) / INDEX(Calc!$E:$E, MATCH("L_ramp_m", Calc!$C:$C, 0)))))</f>
        <v/>
      </c>
      <c r="H39" s="3">
        <f>IF($E39="","", IF(AND($E39&gt;=INDEX(Calc!$E:$E, MATCH("min_fwd_draft_m", Calc!$C:$C, 0)), $E39&lt;=INDEX(Calc!$E:$E, MATCH("max_fwd_draft_m", Calc!$C:$C, 0)), $G39&lt;=INDEX(Calc!$E:$E, MATCH("theta_max_deg", Calc!$C:$C, 0))), "OK", "CHECK"))</f>
        <v/>
      </c>
      <c r="I39" s="6">
        <f>IF($E39="","", INDEX(Calc!$E:$E, MATCH("D_vessel_m", Calc!$C:$C, 0)) - $E39 + $B39)</f>
        <v/>
      </c>
      <c r="J39" s="6">
        <f>IF($F39="","", INDEX(Calc!$E:$E, MATCH("D_vessel_m", Calc!$C:$C, 0)) - $F39 + $B39)</f>
        <v/>
      </c>
      <c r="K39" s="3">
        <f>IF(D39=0, "Even Keel", "")</f>
        <v/>
      </c>
    </row>
    <row r="40">
      <c r="A40" s="3">
        <f>IF(December_Tide_2025!A40="","",December_Tide_2025!A40)</f>
        <v/>
      </c>
      <c r="B40" s="6">
        <f>IF(December_Tide_2025!B40="","",December_Tide_2025!B40)</f>
        <v/>
      </c>
      <c r="C40" s="6">
        <f>IF($A40="","", INDEX(Calc!$E:$E, MATCH("KminusZ_m", Calc!$C:$C, 0)) + $B40 - INDEX(Calc!$E:$E, MATCH("L_ramp_m", Calc!$C:$C, 0)) * TAN(RADIANS(INDEX(Calc!$E:$E, MATCH("theta_max_deg", Calc!$C:$C, 0)))))</f>
        <v/>
      </c>
      <c r="D40" s="6" t="n"/>
      <c r="E40" s="6">
        <f>IF($C40="","", IF($D40="", $C40, $C40 - $D40/2))</f>
        <v/>
      </c>
      <c r="F40" s="6">
        <f>IF($C40="","", IF($D40="", $C40, $C40 + $D40/2))</f>
        <v/>
      </c>
      <c r="G40" s="6">
        <f>IF($E40="","", DEGREES(ATAN((INDEX(Calc!$E:$E, MATCH("KminusZ_m", Calc!$C:$C, 0)) - $E40 + $B40) / INDEX(Calc!$E:$E, MATCH("L_ramp_m", Calc!$C:$C, 0)))))</f>
        <v/>
      </c>
      <c r="H40" s="3">
        <f>IF($E40="","", IF(AND($E40&gt;=INDEX(Calc!$E:$E, MATCH("min_fwd_draft_m", Calc!$C:$C, 0)), $E40&lt;=INDEX(Calc!$E:$E, MATCH("max_fwd_draft_m", Calc!$C:$C, 0)), $G40&lt;=INDEX(Calc!$E:$E, MATCH("theta_max_deg", Calc!$C:$C, 0))), "OK", "CHECK"))</f>
        <v/>
      </c>
      <c r="I40" s="6">
        <f>IF($E40="","", INDEX(Calc!$E:$E, MATCH("D_vessel_m", Calc!$C:$C, 0)) - $E40 + $B40)</f>
        <v/>
      </c>
      <c r="J40" s="6">
        <f>IF($F40="","", INDEX(Calc!$E:$E, MATCH("D_vessel_m", Calc!$C:$C, 0)) - $F40 + $B40)</f>
        <v/>
      </c>
      <c r="K40" s="3">
        <f>IF(D40=0, "Even Keel", "")</f>
        <v/>
      </c>
    </row>
    <row r="41">
      <c r="A41" s="3">
        <f>IF(December_Tide_2025!A41="","",December_Tide_2025!A41)</f>
        <v/>
      </c>
      <c r="B41" s="6">
        <f>IF(December_Tide_2025!B41="","",December_Tide_2025!B41)</f>
        <v/>
      </c>
      <c r="C41" s="6">
        <f>IF($A41="","", INDEX(Calc!$E:$E, MATCH("KminusZ_m", Calc!$C:$C, 0)) + $B41 - INDEX(Calc!$E:$E, MATCH("L_ramp_m", Calc!$C:$C, 0)) * TAN(RADIANS(INDEX(Calc!$E:$E, MATCH("theta_max_deg", Calc!$C:$C, 0)))))</f>
        <v/>
      </c>
      <c r="D41" s="6" t="n"/>
      <c r="E41" s="6">
        <f>IF($C41="","", IF($D41="", $C41, $C41 - $D41/2))</f>
        <v/>
      </c>
      <c r="F41" s="6">
        <f>IF($C41="","", IF($D41="", $C41, $C41 + $D41/2))</f>
        <v/>
      </c>
      <c r="G41" s="6">
        <f>IF($E41="","", DEGREES(ATAN((INDEX(Calc!$E:$E, MATCH("KminusZ_m", Calc!$C:$C, 0)) - $E41 + $B41) / INDEX(Calc!$E:$E, MATCH("L_ramp_m", Calc!$C:$C, 0)))))</f>
        <v/>
      </c>
      <c r="H41" s="3">
        <f>IF($E41="","", IF(AND($E41&gt;=INDEX(Calc!$E:$E, MATCH("min_fwd_draft_m", Calc!$C:$C, 0)), $E41&lt;=INDEX(Calc!$E:$E, MATCH("max_fwd_draft_m", Calc!$C:$C, 0)), $G41&lt;=INDEX(Calc!$E:$E, MATCH("theta_max_deg", Calc!$C:$C, 0))), "OK", "CHECK"))</f>
        <v/>
      </c>
      <c r="I41" s="6">
        <f>IF($E41="","", INDEX(Calc!$E:$E, MATCH("D_vessel_m", Calc!$C:$C, 0)) - $E41 + $B41)</f>
        <v/>
      </c>
      <c r="J41" s="6">
        <f>IF($F41="","", INDEX(Calc!$E:$E, MATCH("D_vessel_m", Calc!$C:$C, 0)) - $F41 + $B41)</f>
        <v/>
      </c>
      <c r="K41" s="3">
        <f>IF(D41=0, "Even Keel", "")</f>
        <v/>
      </c>
    </row>
    <row r="42">
      <c r="A42" s="3">
        <f>IF(December_Tide_2025!A42="","",December_Tide_2025!A42)</f>
        <v/>
      </c>
      <c r="B42" s="6">
        <f>IF(December_Tide_2025!B42="","",December_Tide_2025!B42)</f>
        <v/>
      </c>
      <c r="C42" s="6">
        <f>IF($A42="","", INDEX(Calc!$E:$E, MATCH("KminusZ_m", Calc!$C:$C, 0)) + $B42 - INDEX(Calc!$E:$E, MATCH("L_ramp_m", Calc!$C:$C, 0)) * TAN(RADIANS(INDEX(Calc!$E:$E, MATCH("theta_max_deg", Calc!$C:$C, 0)))))</f>
        <v/>
      </c>
      <c r="D42" s="6" t="n"/>
      <c r="E42" s="6">
        <f>IF($C42="","", IF($D42="", $C42, $C42 - $D42/2))</f>
        <v/>
      </c>
      <c r="F42" s="6">
        <f>IF($C42="","", IF($D42="", $C42, $C42 + $D42/2))</f>
        <v/>
      </c>
      <c r="G42" s="6">
        <f>IF($E42="","", DEGREES(ATAN((INDEX(Calc!$E:$E, MATCH("KminusZ_m", Calc!$C:$C, 0)) - $E42 + $B42) / INDEX(Calc!$E:$E, MATCH("L_ramp_m", Calc!$C:$C, 0)))))</f>
        <v/>
      </c>
      <c r="H42" s="3">
        <f>IF($E42="","", IF(AND($E42&gt;=INDEX(Calc!$E:$E, MATCH("min_fwd_draft_m", Calc!$C:$C, 0)), $E42&lt;=INDEX(Calc!$E:$E, MATCH("max_fwd_draft_m", Calc!$C:$C, 0)), $G42&lt;=INDEX(Calc!$E:$E, MATCH("theta_max_deg", Calc!$C:$C, 0))), "OK", "CHECK"))</f>
        <v/>
      </c>
      <c r="I42" s="6">
        <f>IF($E42="","", INDEX(Calc!$E:$E, MATCH("D_vessel_m", Calc!$C:$C, 0)) - $E42 + $B42)</f>
        <v/>
      </c>
      <c r="J42" s="6">
        <f>IF($F42="","", INDEX(Calc!$E:$E, MATCH("D_vessel_m", Calc!$C:$C, 0)) - $F42 + $B42)</f>
        <v/>
      </c>
      <c r="K42" s="3">
        <f>IF(D42=0, "Even Keel", "")</f>
        <v/>
      </c>
    </row>
    <row r="43">
      <c r="A43" s="3">
        <f>IF(December_Tide_2025!A43="","",December_Tide_2025!A43)</f>
        <v/>
      </c>
      <c r="B43" s="6">
        <f>IF(December_Tide_2025!B43="","",December_Tide_2025!B43)</f>
        <v/>
      </c>
      <c r="C43" s="6">
        <f>IF($A43="","", INDEX(Calc!$E:$E, MATCH("KminusZ_m", Calc!$C:$C, 0)) + $B43 - INDEX(Calc!$E:$E, MATCH("L_ramp_m", Calc!$C:$C, 0)) * TAN(RADIANS(INDEX(Calc!$E:$E, MATCH("theta_max_deg", Calc!$C:$C, 0)))))</f>
        <v/>
      </c>
      <c r="D43" s="6" t="n"/>
      <c r="E43" s="6">
        <f>IF($C43="","", IF($D43="", $C43, $C43 - $D43/2))</f>
        <v/>
      </c>
      <c r="F43" s="6">
        <f>IF($C43="","", IF($D43="", $C43, $C43 + $D43/2))</f>
        <v/>
      </c>
      <c r="G43" s="6">
        <f>IF($E43="","", DEGREES(ATAN((INDEX(Calc!$E:$E, MATCH("KminusZ_m", Calc!$C:$C, 0)) - $E43 + $B43) / INDEX(Calc!$E:$E, MATCH("L_ramp_m", Calc!$C:$C, 0)))))</f>
        <v/>
      </c>
      <c r="H43" s="3">
        <f>IF($E43="","", IF(AND($E43&gt;=INDEX(Calc!$E:$E, MATCH("min_fwd_draft_m", Calc!$C:$C, 0)), $E43&lt;=INDEX(Calc!$E:$E, MATCH("max_fwd_draft_m", Calc!$C:$C, 0)), $G43&lt;=INDEX(Calc!$E:$E, MATCH("theta_max_deg", Calc!$C:$C, 0))), "OK", "CHECK"))</f>
        <v/>
      </c>
      <c r="I43" s="6">
        <f>IF($E43="","", INDEX(Calc!$E:$E, MATCH("D_vessel_m", Calc!$C:$C, 0)) - $E43 + $B43)</f>
        <v/>
      </c>
      <c r="J43" s="6">
        <f>IF($F43="","", INDEX(Calc!$E:$E, MATCH("D_vessel_m", Calc!$C:$C, 0)) - $F43 + $B43)</f>
        <v/>
      </c>
      <c r="K43" s="3">
        <f>IF(D43=0, "Even Keel", "")</f>
        <v/>
      </c>
    </row>
    <row r="44">
      <c r="A44" s="3">
        <f>IF(December_Tide_2025!A44="","",December_Tide_2025!A44)</f>
        <v/>
      </c>
      <c r="B44" s="6">
        <f>IF(December_Tide_2025!B44="","",December_Tide_2025!B44)</f>
        <v/>
      </c>
      <c r="C44" s="6">
        <f>IF($A44="","", INDEX(Calc!$E:$E, MATCH("KminusZ_m", Calc!$C:$C, 0)) + $B44 - INDEX(Calc!$E:$E, MATCH("L_ramp_m", Calc!$C:$C, 0)) * TAN(RADIANS(INDEX(Calc!$E:$E, MATCH("theta_max_deg", Calc!$C:$C, 0)))))</f>
        <v/>
      </c>
      <c r="D44" s="6" t="n"/>
      <c r="E44" s="6">
        <f>IF($C44="","", IF($D44="", $C44, $C44 - $D44/2))</f>
        <v/>
      </c>
      <c r="F44" s="6">
        <f>IF($C44="","", IF($D44="", $C44, $C44 + $D44/2))</f>
        <v/>
      </c>
      <c r="G44" s="6">
        <f>IF($E44="","", DEGREES(ATAN((INDEX(Calc!$E:$E, MATCH("KminusZ_m", Calc!$C:$C, 0)) - $E44 + $B44) / INDEX(Calc!$E:$E, MATCH("L_ramp_m", Calc!$C:$C, 0)))))</f>
        <v/>
      </c>
      <c r="H44" s="3">
        <f>IF($E44="","", IF(AND($E44&gt;=INDEX(Calc!$E:$E, MATCH("min_fwd_draft_m", Calc!$C:$C, 0)), $E44&lt;=INDEX(Calc!$E:$E, MATCH("max_fwd_draft_m", Calc!$C:$C, 0)), $G44&lt;=INDEX(Calc!$E:$E, MATCH("theta_max_deg", Calc!$C:$C, 0))), "OK", "CHECK"))</f>
        <v/>
      </c>
      <c r="I44" s="6">
        <f>IF($E44="","", INDEX(Calc!$E:$E, MATCH("D_vessel_m", Calc!$C:$C, 0)) - $E44 + $B44)</f>
        <v/>
      </c>
      <c r="J44" s="6">
        <f>IF($F44="","", INDEX(Calc!$E:$E, MATCH("D_vessel_m", Calc!$C:$C, 0)) - $F44 + $B44)</f>
        <v/>
      </c>
      <c r="K44" s="3">
        <f>IF(D44=0, "Even Keel", "")</f>
        <v/>
      </c>
    </row>
    <row r="45">
      <c r="A45" s="3">
        <f>IF(December_Tide_2025!A45="","",December_Tide_2025!A45)</f>
        <v/>
      </c>
      <c r="B45" s="6">
        <f>IF(December_Tide_2025!B45="","",December_Tide_2025!B45)</f>
        <v/>
      </c>
      <c r="C45" s="6">
        <f>IF($A45="","", INDEX(Calc!$E:$E, MATCH("KminusZ_m", Calc!$C:$C, 0)) + $B45 - INDEX(Calc!$E:$E, MATCH("L_ramp_m", Calc!$C:$C, 0)) * TAN(RADIANS(INDEX(Calc!$E:$E, MATCH("theta_max_deg", Calc!$C:$C, 0)))))</f>
        <v/>
      </c>
      <c r="D45" s="6" t="n"/>
      <c r="E45" s="6">
        <f>IF($C45="","", IF($D45="", $C45, $C45 - $D45/2))</f>
        <v/>
      </c>
      <c r="F45" s="6">
        <f>IF($C45="","", IF($D45="", $C45, $C45 + $D45/2))</f>
        <v/>
      </c>
      <c r="G45" s="6">
        <f>IF($E45="","", DEGREES(ATAN((INDEX(Calc!$E:$E, MATCH("KminusZ_m", Calc!$C:$C, 0)) - $E45 + $B45) / INDEX(Calc!$E:$E, MATCH("L_ramp_m", Calc!$C:$C, 0)))))</f>
        <v/>
      </c>
      <c r="H45" s="3">
        <f>IF($E45="","", IF(AND($E45&gt;=INDEX(Calc!$E:$E, MATCH("min_fwd_draft_m", Calc!$C:$C, 0)), $E45&lt;=INDEX(Calc!$E:$E, MATCH("max_fwd_draft_m", Calc!$C:$C, 0)), $G45&lt;=INDEX(Calc!$E:$E, MATCH("theta_max_deg", Calc!$C:$C, 0))), "OK", "CHECK"))</f>
        <v/>
      </c>
      <c r="I45" s="6">
        <f>IF($E45="","", INDEX(Calc!$E:$E, MATCH("D_vessel_m", Calc!$C:$C, 0)) - $E45 + $B45)</f>
        <v/>
      </c>
      <c r="J45" s="6">
        <f>IF($F45="","", INDEX(Calc!$E:$E, MATCH("D_vessel_m", Calc!$C:$C, 0)) - $F45 + $B45)</f>
        <v/>
      </c>
      <c r="K45" s="3">
        <f>IF(D45=0, "Even Keel", "")</f>
        <v/>
      </c>
    </row>
    <row r="46">
      <c r="A46" s="3">
        <f>IF(December_Tide_2025!A46="","",December_Tide_2025!A46)</f>
        <v/>
      </c>
      <c r="B46" s="6">
        <f>IF(December_Tide_2025!B46="","",December_Tide_2025!B46)</f>
        <v/>
      </c>
      <c r="C46" s="6">
        <f>IF($A46="","", INDEX(Calc!$E:$E, MATCH("KminusZ_m", Calc!$C:$C, 0)) + $B46 - INDEX(Calc!$E:$E, MATCH("L_ramp_m", Calc!$C:$C, 0)) * TAN(RADIANS(INDEX(Calc!$E:$E, MATCH("theta_max_deg", Calc!$C:$C, 0)))))</f>
        <v/>
      </c>
      <c r="D46" s="6" t="n"/>
      <c r="E46" s="6">
        <f>IF($C46="","", IF($D46="", $C46, $C46 - $D46/2))</f>
        <v/>
      </c>
      <c r="F46" s="6">
        <f>IF($C46="","", IF($D46="", $C46, $C46 + $D46/2))</f>
        <v/>
      </c>
      <c r="G46" s="6">
        <f>IF($E46="","", DEGREES(ATAN((INDEX(Calc!$E:$E, MATCH("KminusZ_m", Calc!$C:$C, 0)) - $E46 + $B46) / INDEX(Calc!$E:$E, MATCH("L_ramp_m", Calc!$C:$C, 0)))))</f>
        <v/>
      </c>
      <c r="H46" s="3">
        <f>IF($E46="","", IF(AND($E46&gt;=INDEX(Calc!$E:$E, MATCH("min_fwd_draft_m", Calc!$C:$C, 0)), $E46&lt;=INDEX(Calc!$E:$E, MATCH("max_fwd_draft_m", Calc!$C:$C, 0)), $G46&lt;=INDEX(Calc!$E:$E, MATCH("theta_max_deg", Calc!$C:$C, 0))), "OK", "CHECK"))</f>
        <v/>
      </c>
      <c r="I46" s="6">
        <f>IF($E46="","", INDEX(Calc!$E:$E, MATCH("D_vessel_m", Calc!$C:$C, 0)) - $E46 + $B46)</f>
        <v/>
      </c>
      <c r="J46" s="6">
        <f>IF($F46="","", INDEX(Calc!$E:$E, MATCH("D_vessel_m", Calc!$C:$C, 0)) - $F46 + $B46)</f>
        <v/>
      </c>
      <c r="K46" s="3">
        <f>IF(D46=0, "Even Keel", "")</f>
        <v/>
      </c>
    </row>
    <row r="47">
      <c r="A47" s="3">
        <f>IF(December_Tide_2025!A47="","",December_Tide_2025!A47)</f>
        <v/>
      </c>
      <c r="B47" s="6">
        <f>IF(December_Tide_2025!B47="","",December_Tide_2025!B47)</f>
        <v/>
      </c>
      <c r="C47" s="6">
        <f>IF($A47="","", INDEX(Calc!$E:$E, MATCH("KminusZ_m", Calc!$C:$C, 0)) + $B47 - INDEX(Calc!$E:$E, MATCH("L_ramp_m", Calc!$C:$C, 0)) * TAN(RADIANS(INDEX(Calc!$E:$E, MATCH("theta_max_deg", Calc!$C:$C, 0)))))</f>
        <v/>
      </c>
      <c r="D47" s="6" t="n"/>
      <c r="E47" s="6">
        <f>IF($C47="","", IF($D47="", $C47, $C47 - $D47/2))</f>
        <v/>
      </c>
      <c r="F47" s="6">
        <f>IF($C47="","", IF($D47="", $C47, $C47 + $D47/2))</f>
        <v/>
      </c>
      <c r="G47" s="6">
        <f>IF($E47="","", DEGREES(ATAN((INDEX(Calc!$E:$E, MATCH("KminusZ_m", Calc!$C:$C, 0)) - $E47 + $B47) / INDEX(Calc!$E:$E, MATCH("L_ramp_m", Calc!$C:$C, 0)))))</f>
        <v/>
      </c>
      <c r="H47" s="3">
        <f>IF($E47="","", IF(AND($E47&gt;=INDEX(Calc!$E:$E, MATCH("min_fwd_draft_m", Calc!$C:$C, 0)), $E47&lt;=INDEX(Calc!$E:$E, MATCH("max_fwd_draft_m", Calc!$C:$C, 0)), $G47&lt;=INDEX(Calc!$E:$E, MATCH("theta_max_deg", Calc!$C:$C, 0))), "OK", "CHECK"))</f>
        <v/>
      </c>
      <c r="I47" s="6">
        <f>IF($E47="","", INDEX(Calc!$E:$E, MATCH("D_vessel_m", Calc!$C:$C, 0)) - $E47 + $B47)</f>
        <v/>
      </c>
      <c r="J47" s="6">
        <f>IF($F47="","", INDEX(Calc!$E:$E, MATCH("D_vessel_m", Calc!$C:$C, 0)) - $F47 + $B47)</f>
        <v/>
      </c>
      <c r="K47" s="3">
        <f>IF(D47=0, "Even Keel", "")</f>
        <v/>
      </c>
    </row>
    <row r="48">
      <c r="A48" s="3">
        <f>IF(December_Tide_2025!A48="","",December_Tide_2025!A48)</f>
        <v/>
      </c>
      <c r="B48" s="6">
        <f>IF(December_Tide_2025!B48="","",December_Tide_2025!B48)</f>
        <v/>
      </c>
      <c r="C48" s="6">
        <f>IF($A48="","", INDEX(Calc!$E:$E, MATCH("KminusZ_m", Calc!$C:$C, 0)) + $B48 - INDEX(Calc!$E:$E, MATCH("L_ramp_m", Calc!$C:$C, 0)) * TAN(RADIANS(INDEX(Calc!$E:$E, MATCH("theta_max_deg", Calc!$C:$C, 0)))))</f>
        <v/>
      </c>
      <c r="D48" s="6" t="n"/>
      <c r="E48" s="6">
        <f>IF($C48="","", IF($D48="", $C48, $C48 - $D48/2))</f>
        <v/>
      </c>
      <c r="F48" s="6">
        <f>IF($C48="","", IF($D48="", $C48, $C48 + $D48/2))</f>
        <v/>
      </c>
      <c r="G48" s="6">
        <f>IF($E48="","", DEGREES(ATAN((INDEX(Calc!$E:$E, MATCH("KminusZ_m", Calc!$C:$C, 0)) - $E48 + $B48) / INDEX(Calc!$E:$E, MATCH("L_ramp_m", Calc!$C:$C, 0)))))</f>
        <v/>
      </c>
      <c r="H48" s="3">
        <f>IF($E48="","", IF(AND($E48&gt;=INDEX(Calc!$E:$E, MATCH("min_fwd_draft_m", Calc!$C:$C, 0)), $E48&lt;=INDEX(Calc!$E:$E, MATCH("max_fwd_draft_m", Calc!$C:$C, 0)), $G48&lt;=INDEX(Calc!$E:$E, MATCH("theta_max_deg", Calc!$C:$C, 0))), "OK", "CHECK"))</f>
        <v/>
      </c>
      <c r="I48" s="6">
        <f>IF($E48="","", INDEX(Calc!$E:$E, MATCH("D_vessel_m", Calc!$C:$C, 0)) - $E48 + $B48)</f>
        <v/>
      </c>
      <c r="J48" s="6">
        <f>IF($F48="","", INDEX(Calc!$E:$E, MATCH("D_vessel_m", Calc!$C:$C, 0)) - $F48 + $B48)</f>
        <v/>
      </c>
      <c r="K48" s="3">
        <f>IF(D48=0, "Even Keel", "")</f>
        <v/>
      </c>
    </row>
    <row r="49">
      <c r="A49" s="3">
        <f>IF(December_Tide_2025!A49="","",December_Tide_2025!A49)</f>
        <v/>
      </c>
      <c r="B49" s="6">
        <f>IF(December_Tide_2025!B49="","",December_Tide_2025!B49)</f>
        <v/>
      </c>
      <c r="C49" s="6">
        <f>IF($A49="","", INDEX(Calc!$E:$E, MATCH("KminusZ_m", Calc!$C:$C, 0)) + $B49 - INDEX(Calc!$E:$E, MATCH("L_ramp_m", Calc!$C:$C, 0)) * TAN(RADIANS(INDEX(Calc!$E:$E, MATCH("theta_max_deg", Calc!$C:$C, 0)))))</f>
        <v/>
      </c>
      <c r="D49" s="6" t="n"/>
      <c r="E49" s="6">
        <f>IF($C49="","", IF($D49="", $C49, $C49 - $D49/2))</f>
        <v/>
      </c>
      <c r="F49" s="6">
        <f>IF($C49="","", IF($D49="", $C49, $C49 + $D49/2))</f>
        <v/>
      </c>
      <c r="G49" s="6">
        <f>IF($E49="","", DEGREES(ATAN((INDEX(Calc!$E:$E, MATCH("KminusZ_m", Calc!$C:$C, 0)) - $E49 + $B49) / INDEX(Calc!$E:$E, MATCH("L_ramp_m", Calc!$C:$C, 0)))))</f>
        <v/>
      </c>
      <c r="H49" s="3">
        <f>IF($E49="","", IF(AND($E49&gt;=INDEX(Calc!$E:$E, MATCH("min_fwd_draft_m", Calc!$C:$C, 0)), $E49&lt;=INDEX(Calc!$E:$E, MATCH("max_fwd_draft_m", Calc!$C:$C, 0)), $G49&lt;=INDEX(Calc!$E:$E, MATCH("theta_max_deg", Calc!$C:$C, 0))), "OK", "CHECK"))</f>
        <v/>
      </c>
      <c r="I49" s="6">
        <f>IF($E49="","", INDEX(Calc!$E:$E, MATCH("D_vessel_m", Calc!$C:$C, 0)) - $E49 + $B49)</f>
        <v/>
      </c>
      <c r="J49" s="6">
        <f>IF($F49="","", INDEX(Calc!$E:$E, MATCH("D_vessel_m", Calc!$C:$C, 0)) - $F49 + $B49)</f>
        <v/>
      </c>
      <c r="K49" s="3">
        <f>IF(D49=0, "Even Keel", "")</f>
        <v/>
      </c>
    </row>
    <row r="50">
      <c r="A50" s="3">
        <f>IF(December_Tide_2025!A50="","",December_Tide_2025!A50)</f>
        <v/>
      </c>
      <c r="B50" s="6">
        <f>IF(December_Tide_2025!B50="","",December_Tide_2025!B50)</f>
        <v/>
      </c>
      <c r="C50" s="6">
        <f>IF($A50="","", INDEX(Calc!$E:$E, MATCH("KminusZ_m", Calc!$C:$C, 0)) + $B50 - INDEX(Calc!$E:$E, MATCH("L_ramp_m", Calc!$C:$C, 0)) * TAN(RADIANS(INDEX(Calc!$E:$E, MATCH("theta_max_deg", Calc!$C:$C, 0)))))</f>
        <v/>
      </c>
      <c r="D50" s="6" t="n"/>
      <c r="E50" s="6">
        <f>IF($C50="","", IF($D50="", $C50, $C50 - $D50/2))</f>
        <v/>
      </c>
      <c r="F50" s="6">
        <f>IF($C50="","", IF($D50="", $C50, $C50 + $D50/2))</f>
        <v/>
      </c>
      <c r="G50" s="6">
        <f>IF($E50="","", DEGREES(ATAN((INDEX(Calc!$E:$E, MATCH("KminusZ_m", Calc!$C:$C, 0)) - $E50 + $B50) / INDEX(Calc!$E:$E, MATCH("L_ramp_m", Calc!$C:$C, 0)))))</f>
        <v/>
      </c>
      <c r="H50" s="3">
        <f>IF($E50="","", IF(AND($E50&gt;=INDEX(Calc!$E:$E, MATCH("min_fwd_draft_m", Calc!$C:$C, 0)), $E50&lt;=INDEX(Calc!$E:$E, MATCH("max_fwd_draft_m", Calc!$C:$C, 0)), $G50&lt;=INDEX(Calc!$E:$E, MATCH("theta_max_deg", Calc!$C:$C, 0))), "OK", "CHECK"))</f>
        <v/>
      </c>
      <c r="I50" s="6">
        <f>IF($E50="","", INDEX(Calc!$E:$E, MATCH("D_vessel_m", Calc!$C:$C, 0)) - $E50 + $B50)</f>
        <v/>
      </c>
      <c r="J50" s="6">
        <f>IF($F50="","", INDEX(Calc!$E:$E, MATCH("D_vessel_m", Calc!$C:$C, 0)) - $F50 + $B50)</f>
        <v/>
      </c>
      <c r="K50" s="3">
        <f>IF(D50=0, "Even Keel", "")</f>
        <v/>
      </c>
    </row>
    <row r="51">
      <c r="A51" s="3">
        <f>IF(December_Tide_2025!A51="","",December_Tide_2025!A51)</f>
        <v/>
      </c>
      <c r="B51" s="6">
        <f>IF(December_Tide_2025!B51="","",December_Tide_2025!B51)</f>
        <v/>
      </c>
      <c r="C51" s="6">
        <f>IF($A51="","", INDEX(Calc!$E:$E, MATCH("KminusZ_m", Calc!$C:$C, 0)) + $B51 - INDEX(Calc!$E:$E, MATCH("L_ramp_m", Calc!$C:$C, 0)) * TAN(RADIANS(INDEX(Calc!$E:$E, MATCH("theta_max_deg", Calc!$C:$C, 0)))))</f>
        <v/>
      </c>
      <c r="D51" s="6" t="n"/>
      <c r="E51" s="6">
        <f>IF($C51="","", IF($D51="", $C51, $C51 - $D51/2))</f>
        <v/>
      </c>
      <c r="F51" s="6">
        <f>IF($C51="","", IF($D51="", $C51, $C51 + $D51/2))</f>
        <v/>
      </c>
      <c r="G51" s="6">
        <f>IF($E51="","", DEGREES(ATAN((INDEX(Calc!$E:$E, MATCH("KminusZ_m", Calc!$C:$C, 0)) - $E51 + $B51) / INDEX(Calc!$E:$E, MATCH("L_ramp_m", Calc!$C:$C, 0)))))</f>
        <v/>
      </c>
      <c r="H51" s="3">
        <f>IF($E51="","", IF(AND($E51&gt;=INDEX(Calc!$E:$E, MATCH("min_fwd_draft_m", Calc!$C:$C, 0)), $E51&lt;=INDEX(Calc!$E:$E, MATCH("max_fwd_draft_m", Calc!$C:$C, 0)), $G51&lt;=INDEX(Calc!$E:$E, MATCH("theta_max_deg", Calc!$C:$C, 0))), "OK", "CHECK"))</f>
        <v/>
      </c>
      <c r="I51" s="6">
        <f>IF($E51="","", INDEX(Calc!$E:$E, MATCH("D_vessel_m", Calc!$C:$C, 0)) - $E51 + $B51)</f>
        <v/>
      </c>
      <c r="J51" s="6">
        <f>IF($F51="","", INDEX(Calc!$E:$E, MATCH("D_vessel_m", Calc!$C:$C, 0)) - $F51 + $B51)</f>
        <v/>
      </c>
      <c r="K51" s="3">
        <f>IF(D51=0, "Even Keel", "")</f>
        <v/>
      </c>
    </row>
    <row r="52">
      <c r="A52" s="3">
        <f>IF(December_Tide_2025!A52="","",December_Tide_2025!A52)</f>
        <v/>
      </c>
      <c r="B52" s="6">
        <f>IF(December_Tide_2025!B52="","",December_Tide_2025!B52)</f>
        <v/>
      </c>
      <c r="C52" s="6">
        <f>IF($A52="","", INDEX(Calc!$E:$E, MATCH("KminusZ_m", Calc!$C:$C, 0)) + $B52 - INDEX(Calc!$E:$E, MATCH("L_ramp_m", Calc!$C:$C, 0)) * TAN(RADIANS(INDEX(Calc!$E:$E, MATCH("theta_max_deg", Calc!$C:$C, 0)))))</f>
        <v/>
      </c>
      <c r="D52" s="6" t="n"/>
      <c r="E52" s="6">
        <f>IF($C52="","", IF($D52="", $C52, $C52 - $D52/2))</f>
        <v/>
      </c>
      <c r="F52" s="6">
        <f>IF($C52="","", IF($D52="", $C52, $C52 + $D52/2))</f>
        <v/>
      </c>
      <c r="G52" s="6">
        <f>IF($E52="","", DEGREES(ATAN((INDEX(Calc!$E:$E, MATCH("KminusZ_m", Calc!$C:$C, 0)) - $E52 + $B52) / INDEX(Calc!$E:$E, MATCH("L_ramp_m", Calc!$C:$C, 0)))))</f>
        <v/>
      </c>
      <c r="H52" s="3">
        <f>IF($E52="","", IF(AND($E52&gt;=INDEX(Calc!$E:$E, MATCH("min_fwd_draft_m", Calc!$C:$C, 0)), $E52&lt;=INDEX(Calc!$E:$E, MATCH("max_fwd_draft_m", Calc!$C:$C, 0)), $G52&lt;=INDEX(Calc!$E:$E, MATCH("theta_max_deg", Calc!$C:$C, 0))), "OK", "CHECK"))</f>
        <v/>
      </c>
      <c r="I52" s="6">
        <f>IF($E52="","", INDEX(Calc!$E:$E, MATCH("D_vessel_m", Calc!$C:$C, 0)) - $E52 + $B52)</f>
        <v/>
      </c>
      <c r="J52" s="6">
        <f>IF($F52="","", INDEX(Calc!$E:$E, MATCH("D_vessel_m", Calc!$C:$C, 0)) - $F52 + $B52)</f>
        <v/>
      </c>
      <c r="K52" s="3">
        <f>IF(D52=0, "Even Keel", "")</f>
        <v/>
      </c>
    </row>
    <row r="53">
      <c r="A53" s="3">
        <f>IF(December_Tide_2025!A53="","",December_Tide_2025!A53)</f>
        <v/>
      </c>
      <c r="B53" s="6">
        <f>IF(December_Tide_2025!B53="","",December_Tide_2025!B53)</f>
        <v/>
      </c>
      <c r="C53" s="6">
        <f>IF($A53="","", INDEX(Calc!$E:$E, MATCH("KminusZ_m", Calc!$C:$C, 0)) + $B53 - INDEX(Calc!$E:$E, MATCH("L_ramp_m", Calc!$C:$C, 0)) * TAN(RADIANS(INDEX(Calc!$E:$E, MATCH("theta_max_deg", Calc!$C:$C, 0)))))</f>
        <v/>
      </c>
      <c r="D53" s="6" t="n"/>
      <c r="E53" s="6">
        <f>IF($C53="","", IF($D53="", $C53, $C53 - $D53/2))</f>
        <v/>
      </c>
      <c r="F53" s="6">
        <f>IF($C53="","", IF($D53="", $C53, $C53 + $D53/2))</f>
        <v/>
      </c>
      <c r="G53" s="6">
        <f>IF($E53="","", DEGREES(ATAN((INDEX(Calc!$E:$E, MATCH("KminusZ_m", Calc!$C:$C, 0)) - $E53 + $B53) / INDEX(Calc!$E:$E, MATCH("L_ramp_m", Calc!$C:$C, 0)))))</f>
        <v/>
      </c>
      <c r="H53" s="3">
        <f>IF($E53="","", IF(AND($E53&gt;=INDEX(Calc!$E:$E, MATCH("min_fwd_draft_m", Calc!$C:$C, 0)), $E53&lt;=INDEX(Calc!$E:$E, MATCH("max_fwd_draft_m", Calc!$C:$C, 0)), $G53&lt;=INDEX(Calc!$E:$E, MATCH("theta_max_deg", Calc!$C:$C, 0))), "OK", "CHECK"))</f>
        <v/>
      </c>
      <c r="I53" s="6">
        <f>IF($E53="","", INDEX(Calc!$E:$E, MATCH("D_vessel_m", Calc!$C:$C, 0)) - $E53 + $B53)</f>
        <v/>
      </c>
      <c r="J53" s="6">
        <f>IF($F53="","", INDEX(Calc!$E:$E, MATCH("D_vessel_m", Calc!$C:$C, 0)) - $F53 + $B53)</f>
        <v/>
      </c>
      <c r="K53" s="3">
        <f>IF(D53=0, "Even Keel", "")</f>
        <v/>
      </c>
    </row>
    <row r="54">
      <c r="A54" s="3">
        <f>IF(December_Tide_2025!A54="","",December_Tide_2025!A54)</f>
        <v/>
      </c>
      <c r="B54" s="6">
        <f>IF(December_Tide_2025!B54="","",December_Tide_2025!B54)</f>
        <v/>
      </c>
      <c r="C54" s="6">
        <f>IF($A54="","", INDEX(Calc!$E:$E, MATCH("KminusZ_m", Calc!$C:$C, 0)) + $B54 - INDEX(Calc!$E:$E, MATCH("L_ramp_m", Calc!$C:$C, 0)) * TAN(RADIANS(INDEX(Calc!$E:$E, MATCH("theta_max_deg", Calc!$C:$C, 0)))))</f>
        <v/>
      </c>
      <c r="D54" s="6" t="n"/>
      <c r="E54" s="6">
        <f>IF($C54="","", IF($D54="", $C54, $C54 - $D54/2))</f>
        <v/>
      </c>
      <c r="F54" s="6">
        <f>IF($C54="","", IF($D54="", $C54, $C54 + $D54/2))</f>
        <v/>
      </c>
      <c r="G54" s="6">
        <f>IF($E54="","", DEGREES(ATAN((INDEX(Calc!$E:$E, MATCH("KminusZ_m", Calc!$C:$C, 0)) - $E54 + $B54) / INDEX(Calc!$E:$E, MATCH("L_ramp_m", Calc!$C:$C, 0)))))</f>
        <v/>
      </c>
      <c r="H54" s="3">
        <f>IF($E54="","", IF(AND($E54&gt;=INDEX(Calc!$E:$E, MATCH("min_fwd_draft_m", Calc!$C:$C, 0)), $E54&lt;=INDEX(Calc!$E:$E, MATCH("max_fwd_draft_m", Calc!$C:$C, 0)), $G54&lt;=INDEX(Calc!$E:$E, MATCH("theta_max_deg", Calc!$C:$C, 0))), "OK", "CHECK"))</f>
        <v/>
      </c>
      <c r="I54" s="6">
        <f>IF($E54="","", INDEX(Calc!$E:$E, MATCH("D_vessel_m", Calc!$C:$C, 0)) - $E54 + $B54)</f>
        <v/>
      </c>
      <c r="J54" s="6">
        <f>IF($F54="","", INDEX(Calc!$E:$E, MATCH("D_vessel_m", Calc!$C:$C, 0)) - $F54 + $B54)</f>
        <v/>
      </c>
      <c r="K54" s="3">
        <f>IF(D54=0, "Even Keel", "")</f>
        <v/>
      </c>
    </row>
    <row r="55">
      <c r="A55" s="3">
        <f>IF(December_Tide_2025!A55="","",December_Tide_2025!A55)</f>
        <v/>
      </c>
      <c r="B55" s="6">
        <f>IF(December_Tide_2025!B55="","",December_Tide_2025!B55)</f>
        <v/>
      </c>
      <c r="C55" s="6">
        <f>IF($A55="","", INDEX(Calc!$E:$E, MATCH("KminusZ_m", Calc!$C:$C, 0)) + $B55 - INDEX(Calc!$E:$E, MATCH("L_ramp_m", Calc!$C:$C, 0)) * TAN(RADIANS(INDEX(Calc!$E:$E, MATCH("theta_max_deg", Calc!$C:$C, 0)))))</f>
        <v/>
      </c>
      <c r="D55" s="6" t="n"/>
      <c r="E55" s="6">
        <f>IF($C55="","", IF($D55="", $C55, $C55 - $D55/2))</f>
        <v/>
      </c>
      <c r="F55" s="6">
        <f>IF($C55="","", IF($D55="", $C55, $C55 + $D55/2))</f>
        <v/>
      </c>
      <c r="G55" s="6">
        <f>IF($E55="","", DEGREES(ATAN((INDEX(Calc!$E:$E, MATCH("KminusZ_m", Calc!$C:$C, 0)) - $E55 + $B55) / INDEX(Calc!$E:$E, MATCH("L_ramp_m", Calc!$C:$C, 0)))))</f>
        <v/>
      </c>
      <c r="H55" s="3">
        <f>IF($E55="","", IF(AND($E55&gt;=INDEX(Calc!$E:$E, MATCH("min_fwd_draft_m", Calc!$C:$C, 0)), $E55&lt;=INDEX(Calc!$E:$E, MATCH("max_fwd_draft_m", Calc!$C:$C, 0)), $G55&lt;=INDEX(Calc!$E:$E, MATCH("theta_max_deg", Calc!$C:$C, 0))), "OK", "CHECK"))</f>
        <v/>
      </c>
      <c r="I55" s="6">
        <f>IF($E55="","", INDEX(Calc!$E:$E, MATCH("D_vessel_m", Calc!$C:$C, 0)) - $E55 + $B55)</f>
        <v/>
      </c>
      <c r="J55" s="6">
        <f>IF($F55="","", INDEX(Calc!$E:$E, MATCH("D_vessel_m", Calc!$C:$C, 0)) - $F55 + $B55)</f>
        <v/>
      </c>
      <c r="K55" s="3">
        <f>IF(D55=0, "Even Keel", "")</f>
        <v/>
      </c>
    </row>
    <row r="56">
      <c r="A56" s="3">
        <f>IF(December_Tide_2025!A56="","",December_Tide_2025!A56)</f>
        <v/>
      </c>
      <c r="B56" s="6">
        <f>IF(December_Tide_2025!B56="","",December_Tide_2025!B56)</f>
        <v/>
      </c>
      <c r="C56" s="6">
        <f>IF($A56="","", INDEX(Calc!$E:$E, MATCH("KminusZ_m", Calc!$C:$C, 0)) + $B56 - INDEX(Calc!$E:$E, MATCH("L_ramp_m", Calc!$C:$C, 0)) * TAN(RADIANS(INDEX(Calc!$E:$E, MATCH("theta_max_deg", Calc!$C:$C, 0)))))</f>
        <v/>
      </c>
      <c r="D56" s="6" t="n"/>
      <c r="E56" s="6">
        <f>IF($C56="","", IF($D56="", $C56, $C56 - $D56/2))</f>
        <v/>
      </c>
      <c r="F56" s="6">
        <f>IF($C56="","", IF($D56="", $C56, $C56 + $D56/2))</f>
        <v/>
      </c>
      <c r="G56" s="6">
        <f>IF($E56="","", DEGREES(ATAN((INDEX(Calc!$E:$E, MATCH("KminusZ_m", Calc!$C:$C, 0)) - $E56 + $B56) / INDEX(Calc!$E:$E, MATCH("L_ramp_m", Calc!$C:$C, 0)))))</f>
        <v/>
      </c>
      <c r="H56" s="3">
        <f>IF($E56="","", IF(AND($E56&gt;=INDEX(Calc!$E:$E, MATCH("min_fwd_draft_m", Calc!$C:$C, 0)), $E56&lt;=INDEX(Calc!$E:$E, MATCH("max_fwd_draft_m", Calc!$C:$C, 0)), $G56&lt;=INDEX(Calc!$E:$E, MATCH("theta_max_deg", Calc!$C:$C, 0))), "OK", "CHECK"))</f>
        <v/>
      </c>
      <c r="I56" s="6">
        <f>IF($E56="","", INDEX(Calc!$E:$E, MATCH("D_vessel_m", Calc!$C:$C, 0)) - $E56 + $B56)</f>
        <v/>
      </c>
      <c r="J56" s="6">
        <f>IF($F56="","", INDEX(Calc!$E:$E, MATCH("D_vessel_m", Calc!$C:$C, 0)) - $F56 + $B56)</f>
        <v/>
      </c>
      <c r="K56" s="3">
        <f>IF(D56=0, "Even Keel", "")</f>
        <v/>
      </c>
    </row>
    <row r="57">
      <c r="A57" s="3">
        <f>IF(December_Tide_2025!A57="","",December_Tide_2025!A57)</f>
        <v/>
      </c>
      <c r="B57" s="6">
        <f>IF(December_Tide_2025!B57="","",December_Tide_2025!B57)</f>
        <v/>
      </c>
      <c r="C57" s="6">
        <f>IF($A57="","", INDEX(Calc!$E:$E, MATCH("KminusZ_m", Calc!$C:$C, 0)) + $B57 - INDEX(Calc!$E:$E, MATCH("L_ramp_m", Calc!$C:$C, 0)) * TAN(RADIANS(INDEX(Calc!$E:$E, MATCH("theta_max_deg", Calc!$C:$C, 0)))))</f>
        <v/>
      </c>
      <c r="D57" s="6" t="n"/>
      <c r="E57" s="6">
        <f>IF($C57="","", IF($D57="", $C57, $C57 - $D57/2))</f>
        <v/>
      </c>
      <c r="F57" s="6">
        <f>IF($C57="","", IF($D57="", $C57, $C57 + $D57/2))</f>
        <v/>
      </c>
      <c r="G57" s="6">
        <f>IF($E57="","", DEGREES(ATAN((INDEX(Calc!$E:$E, MATCH("KminusZ_m", Calc!$C:$C, 0)) - $E57 + $B57) / INDEX(Calc!$E:$E, MATCH("L_ramp_m", Calc!$C:$C, 0)))))</f>
        <v/>
      </c>
      <c r="H57" s="3">
        <f>IF($E57="","", IF(AND($E57&gt;=INDEX(Calc!$E:$E, MATCH("min_fwd_draft_m", Calc!$C:$C, 0)), $E57&lt;=INDEX(Calc!$E:$E, MATCH("max_fwd_draft_m", Calc!$C:$C, 0)), $G57&lt;=INDEX(Calc!$E:$E, MATCH("theta_max_deg", Calc!$C:$C, 0))), "OK", "CHECK"))</f>
        <v/>
      </c>
      <c r="I57" s="6">
        <f>IF($E57="","", INDEX(Calc!$E:$E, MATCH("D_vessel_m", Calc!$C:$C, 0)) - $E57 + $B57)</f>
        <v/>
      </c>
      <c r="J57" s="6">
        <f>IF($F57="","", INDEX(Calc!$E:$E, MATCH("D_vessel_m", Calc!$C:$C, 0)) - $F57 + $B57)</f>
        <v/>
      </c>
      <c r="K57" s="3">
        <f>IF(D57=0, "Even Keel", "")</f>
        <v/>
      </c>
    </row>
    <row r="58">
      <c r="A58" s="3">
        <f>IF(December_Tide_2025!A58="","",December_Tide_2025!A58)</f>
        <v/>
      </c>
      <c r="B58" s="6">
        <f>IF(December_Tide_2025!B58="","",December_Tide_2025!B58)</f>
        <v/>
      </c>
      <c r="C58" s="6">
        <f>IF($A58="","", INDEX(Calc!$E:$E, MATCH("KminusZ_m", Calc!$C:$C, 0)) + $B58 - INDEX(Calc!$E:$E, MATCH("L_ramp_m", Calc!$C:$C, 0)) * TAN(RADIANS(INDEX(Calc!$E:$E, MATCH("theta_max_deg", Calc!$C:$C, 0)))))</f>
        <v/>
      </c>
      <c r="D58" s="6" t="n"/>
      <c r="E58" s="6">
        <f>IF($C58="","", IF($D58="", $C58, $C58 - $D58/2))</f>
        <v/>
      </c>
      <c r="F58" s="6">
        <f>IF($C58="","", IF($D58="", $C58, $C58 + $D58/2))</f>
        <v/>
      </c>
      <c r="G58" s="6">
        <f>IF($E58="","", DEGREES(ATAN((INDEX(Calc!$E:$E, MATCH("KminusZ_m", Calc!$C:$C, 0)) - $E58 + $B58) / INDEX(Calc!$E:$E, MATCH("L_ramp_m", Calc!$C:$C, 0)))))</f>
        <v/>
      </c>
      <c r="H58" s="3">
        <f>IF($E58="","", IF(AND($E58&gt;=INDEX(Calc!$E:$E, MATCH("min_fwd_draft_m", Calc!$C:$C, 0)), $E58&lt;=INDEX(Calc!$E:$E, MATCH("max_fwd_draft_m", Calc!$C:$C, 0)), $G58&lt;=INDEX(Calc!$E:$E, MATCH("theta_max_deg", Calc!$C:$C, 0))), "OK", "CHECK"))</f>
        <v/>
      </c>
      <c r="I58" s="6">
        <f>IF($E58="","", INDEX(Calc!$E:$E, MATCH("D_vessel_m", Calc!$C:$C, 0)) - $E58 + $B58)</f>
        <v/>
      </c>
      <c r="J58" s="6">
        <f>IF($F58="","", INDEX(Calc!$E:$E, MATCH("D_vessel_m", Calc!$C:$C, 0)) - $F58 + $B58)</f>
        <v/>
      </c>
      <c r="K58" s="3">
        <f>IF(D58=0, "Even Keel", "")</f>
        <v/>
      </c>
    </row>
    <row r="59">
      <c r="A59" s="3">
        <f>IF(December_Tide_2025!A59="","",December_Tide_2025!A59)</f>
        <v/>
      </c>
      <c r="B59" s="6">
        <f>IF(December_Tide_2025!B59="","",December_Tide_2025!B59)</f>
        <v/>
      </c>
      <c r="C59" s="6">
        <f>IF($A59="","", INDEX(Calc!$E:$E, MATCH("KminusZ_m", Calc!$C:$C, 0)) + $B59 - INDEX(Calc!$E:$E, MATCH("L_ramp_m", Calc!$C:$C, 0)) * TAN(RADIANS(INDEX(Calc!$E:$E, MATCH("theta_max_deg", Calc!$C:$C, 0)))))</f>
        <v/>
      </c>
      <c r="D59" s="6" t="n"/>
      <c r="E59" s="6">
        <f>IF($C59="","", IF($D59="", $C59, $C59 - $D59/2))</f>
        <v/>
      </c>
      <c r="F59" s="6">
        <f>IF($C59="","", IF($D59="", $C59, $C59 + $D59/2))</f>
        <v/>
      </c>
      <c r="G59" s="6">
        <f>IF($E59="","", DEGREES(ATAN((INDEX(Calc!$E:$E, MATCH("KminusZ_m", Calc!$C:$C, 0)) - $E59 + $B59) / INDEX(Calc!$E:$E, MATCH("L_ramp_m", Calc!$C:$C, 0)))))</f>
        <v/>
      </c>
      <c r="H59" s="3">
        <f>IF($E59="","", IF(AND($E59&gt;=INDEX(Calc!$E:$E, MATCH("min_fwd_draft_m", Calc!$C:$C, 0)), $E59&lt;=INDEX(Calc!$E:$E, MATCH("max_fwd_draft_m", Calc!$C:$C, 0)), $G59&lt;=INDEX(Calc!$E:$E, MATCH("theta_max_deg", Calc!$C:$C, 0))), "OK", "CHECK"))</f>
        <v/>
      </c>
      <c r="I59" s="6">
        <f>IF($E59="","", INDEX(Calc!$E:$E, MATCH("D_vessel_m", Calc!$C:$C, 0)) - $E59 + $B59)</f>
        <v/>
      </c>
      <c r="J59" s="6">
        <f>IF($F59="","", INDEX(Calc!$E:$E, MATCH("D_vessel_m", Calc!$C:$C, 0)) - $F59 + $B59)</f>
        <v/>
      </c>
      <c r="K59" s="3">
        <f>IF(D59=0, "Even Keel", "")</f>
        <v/>
      </c>
    </row>
    <row r="60">
      <c r="A60" s="3">
        <f>IF(December_Tide_2025!A60="","",December_Tide_2025!A60)</f>
        <v/>
      </c>
      <c r="B60" s="6">
        <f>IF(December_Tide_2025!B60="","",December_Tide_2025!B60)</f>
        <v/>
      </c>
      <c r="C60" s="6">
        <f>IF($A60="","", INDEX(Calc!$E:$E, MATCH("KminusZ_m", Calc!$C:$C, 0)) + $B60 - INDEX(Calc!$E:$E, MATCH("L_ramp_m", Calc!$C:$C, 0)) * TAN(RADIANS(INDEX(Calc!$E:$E, MATCH("theta_max_deg", Calc!$C:$C, 0)))))</f>
        <v/>
      </c>
      <c r="D60" s="6" t="n"/>
      <c r="E60" s="6">
        <f>IF($C60="","", IF($D60="", $C60, $C60 - $D60/2))</f>
        <v/>
      </c>
      <c r="F60" s="6">
        <f>IF($C60="","", IF($D60="", $C60, $C60 + $D60/2))</f>
        <v/>
      </c>
      <c r="G60" s="6">
        <f>IF($E60="","", DEGREES(ATAN((INDEX(Calc!$E:$E, MATCH("KminusZ_m", Calc!$C:$C, 0)) - $E60 + $B60) / INDEX(Calc!$E:$E, MATCH("L_ramp_m", Calc!$C:$C, 0)))))</f>
        <v/>
      </c>
      <c r="H60" s="3">
        <f>IF($E60="","", IF(AND($E60&gt;=INDEX(Calc!$E:$E, MATCH("min_fwd_draft_m", Calc!$C:$C, 0)), $E60&lt;=INDEX(Calc!$E:$E, MATCH("max_fwd_draft_m", Calc!$C:$C, 0)), $G60&lt;=INDEX(Calc!$E:$E, MATCH("theta_max_deg", Calc!$C:$C, 0))), "OK", "CHECK"))</f>
        <v/>
      </c>
      <c r="I60" s="6">
        <f>IF($E60="","", INDEX(Calc!$E:$E, MATCH("D_vessel_m", Calc!$C:$C, 0)) - $E60 + $B60)</f>
        <v/>
      </c>
      <c r="J60" s="6">
        <f>IF($F60="","", INDEX(Calc!$E:$E, MATCH("D_vessel_m", Calc!$C:$C, 0)) - $F60 + $B60)</f>
        <v/>
      </c>
      <c r="K60" s="3">
        <f>IF(D60=0, "Even Keel", "")</f>
        <v/>
      </c>
    </row>
    <row r="61">
      <c r="A61" s="3">
        <f>IF(December_Tide_2025!A61="","",December_Tide_2025!A61)</f>
        <v/>
      </c>
      <c r="B61" s="6">
        <f>IF(December_Tide_2025!B61="","",December_Tide_2025!B61)</f>
        <v/>
      </c>
      <c r="C61" s="6">
        <f>IF($A61="","", INDEX(Calc!$E:$E, MATCH("KminusZ_m", Calc!$C:$C, 0)) + $B61 - INDEX(Calc!$E:$E, MATCH("L_ramp_m", Calc!$C:$C, 0)) * TAN(RADIANS(INDEX(Calc!$E:$E, MATCH("theta_max_deg", Calc!$C:$C, 0)))))</f>
        <v/>
      </c>
      <c r="D61" s="6" t="n"/>
      <c r="E61" s="6">
        <f>IF($C61="","", IF($D61="", $C61, $C61 - $D61/2))</f>
        <v/>
      </c>
      <c r="F61" s="6">
        <f>IF($C61="","", IF($D61="", $C61, $C61 + $D61/2))</f>
        <v/>
      </c>
      <c r="G61" s="6">
        <f>IF($E61="","", DEGREES(ATAN((INDEX(Calc!$E:$E, MATCH("KminusZ_m", Calc!$C:$C, 0)) - $E61 + $B61) / INDEX(Calc!$E:$E, MATCH("L_ramp_m", Calc!$C:$C, 0)))))</f>
        <v/>
      </c>
      <c r="H61" s="3">
        <f>IF($E61="","", IF(AND($E61&gt;=INDEX(Calc!$E:$E, MATCH("min_fwd_draft_m", Calc!$C:$C, 0)), $E61&lt;=INDEX(Calc!$E:$E, MATCH("max_fwd_draft_m", Calc!$C:$C, 0)), $G61&lt;=INDEX(Calc!$E:$E, MATCH("theta_max_deg", Calc!$C:$C, 0))), "OK", "CHECK"))</f>
        <v/>
      </c>
      <c r="I61" s="6">
        <f>IF($E61="","", INDEX(Calc!$E:$E, MATCH("D_vessel_m", Calc!$C:$C, 0)) - $E61 + $B61)</f>
        <v/>
      </c>
      <c r="J61" s="6">
        <f>IF($F61="","", INDEX(Calc!$E:$E, MATCH("D_vessel_m", Calc!$C:$C, 0)) - $F61 + $B61)</f>
        <v/>
      </c>
      <c r="K61" s="3">
        <f>IF(D61=0, "Even Keel", "")</f>
        <v/>
      </c>
    </row>
    <row r="62">
      <c r="A62" s="3">
        <f>IF(December_Tide_2025!A62="","",December_Tide_2025!A62)</f>
        <v/>
      </c>
      <c r="B62" s="6">
        <f>IF(December_Tide_2025!B62="","",December_Tide_2025!B62)</f>
        <v/>
      </c>
      <c r="C62" s="6">
        <f>IF($A62="","", INDEX(Calc!$E:$E, MATCH("KminusZ_m", Calc!$C:$C, 0)) + $B62 - INDEX(Calc!$E:$E, MATCH("L_ramp_m", Calc!$C:$C, 0)) * TAN(RADIANS(INDEX(Calc!$E:$E, MATCH("theta_max_deg", Calc!$C:$C, 0)))))</f>
        <v/>
      </c>
      <c r="D62" s="6" t="n"/>
      <c r="E62" s="6">
        <f>IF($C62="","", IF($D62="", $C62, $C62 - $D62/2))</f>
        <v/>
      </c>
      <c r="F62" s="6">
        <f>IF($C62="","", IF($D62="", $C62, $C62 + $D62/2))</f>
        <v/>
      </c>
      <c r="G62" s="6">
        <f>IF($E62="","", DEGREES(ATAN((INDEX(Calc!$E:$E, MATCH("KminusZ_m", Calc!$C:$C, 0)) - $E62 + $B62) / INDEX(Calc!$E:$E, MATCH("L_ramp_m", Calc!$C:$C, 0)))))</f>
        <v/>
      </c>
      <c r="H62" s="3">
        <f>IF($E62="","", IF(AND($E62&gt;=INDEX(Calc!$E:$E, MATCH("min_fwd_draft_m", Calc!$C:$C, 0)), $E62&lt;=INDEX(Calc!$E:$E, MATCH("max_fwd_draft_m", Calc!$C:$C, 0)), $G62&lt;=INDEX(Calc!$E:$E, MATCH("theta_max_deg", Calc!$C:$C, 0))), "OK", "CHECK"))</f>
        <v/>
      </c>
      <c r="I62" s="6">
        <f>IF($E62="","", INDEX(Calc!$E:$E, MATCH("D_vessel_m", Calc!$C:$C, 0)) - $E62 + $B62)</f>
        <v/>
      </c>
      <c r="J62" s="6">
        <f>IF($F62="","", INDEX(Calc!$E:$E, MATCH("D_vessel_m", Calc!$C:$C, 0)) - $F62 + $B62)</f>
        <v/>
      </c>
      <c r="K62" s="3">
        <f>IF(D62=0, "Even Keel", "")</f>
        <v/>
      </c>
    </row>
    <row r="63">
      <c r="A63" s="3">
        <f>IF(December_Tide_2025!A63="","",December_Tide_2025!A63)</f>
        <v/>
      </c>
      <c r="B63" s="6">
        <f>IF(December_Tide_2025!B63="","",December_Tide_2025!B63)</f>
        <v/>
      </c>
      <c r="C63" s="6">
        <f>IF($A63="","", INDEX(Calc!$E:$E, MATCH("KminusZ_m", Calc!$C:$C, 0)) + $B63 - INDEX(Calc!$E:$E, MATCH("L_ramp_m", Calc!$C:$C, 0)) * TAN(RADIANS(INDEX(Calc!$E:$E, MATCH("theta_max_deg", Calc!$C:$C, 0)))))</f>
        <v/>
      </c>
      <c r="D63" s="6" t="n"/>
      <c r="E63" s="6">
        <f>IF($C63="","", IF($D63="", $C63, $C63 - $D63/2))</f>
        <v/>
      </c>
      <c r="F63" s="6">
        <f>IF($C63="","", IF($D63="", $C63, $C63 + $D63/2))</f>
        <v/>
      </c>
      <c r="G63" s="6">
        <f>IF($E63="","", DEGREES(ATAN((INDEX(Calc!$E:$E, MATCH("KminusZ_m", Calc!$C:$C, 0)) - $E63 + $B63) / INDEX(Calc!$E:$E, MATCH("L_ramp_m", Calc!$C:$C, 0)))))</f>
        <v/>
      </c>
      <c r="H63" s="3">
        <f>IF($E63="","", IF(AND($E63&gt;=INDEX(Calc!$E:$E, MATCH("min_fwd_draft_m", Calc!$C:$C, 0)), $E63&lt;=INDEX(Calc!$E:$E, MATCH("max_fwd_draft_m", Calc!$C:$C, 0)), $G63&lt;=INDEX(Calc!$E:$E, MATCH("theta_max_deg", Calc!$C:$C, 0))), "OK", "CHECK"))</f>
        <v/>
      </c>
      <c r="I63" s="6">
        <f>IF($E63="","", INDEX(Calc!$E:$E, MATCH("D_vessel_m", Calc!$C:$C, 0)) - $E63 + $B63)</f>
        <v/>
      </c>
      <c r="J63" s="6">
        <f>IF($F63="","", INDEX(Calc!$E:$E, MATCH("D_vessel_m", Calc!$C:$C, 0)) - $F63 + $B63)</f>
        <v/>
      </c>
      <c r="K63" s="3">
        <f>IF(D63=0, "Even Keel", "")</f>
        <v/>
      </c>
    </row>
    <row r="64">
      <c r="A64" s="3">
        <f>IF(December_Tide_2025!A64="","",December_Tide_2025!A64)</f>
        <v/>
      </c>
      <c r="B64" s="6">
        <f>IF(December_Tide_2025!B64="","",December_Tide_2025!B64)</f>
        <v/>
      </c>
      <c r="C64" s="6">
        <f>IF($A64="","", INDEX(Calc!$E:$E, MATCH("KminusZ_m", Calc!$C:$C, 0)) + $B64 - INDEX(Calc!$E:$E, MATCH("L_ramp_m", Calc!$C:$C, 0)) * TAN(RADIANS(INDEX(Calc!$E:$E, MATCH("theta_max_deg", Calc!$C:$C, 0)))))</f>
        <v/>
      </c>
      <c r="D64" s="6" t="n"/>
      <c r="E64" s="6">
        <f>IF($C64="","", IF($D64="", $C64, $C64 - $D64/2))</f>
        <v/>
      </c>
      <c r="F64" s="6">
        <f>IF($C64="","", IF($D64="", $C64, $C64 + $D64/2))</f>
        <v/>
      </c>
      <c r="G64" s="6">
        <f>IF($E64="","", DEGREES(ATAN((INDEX(Calc!$E:$E, MATCH("KminusZ_m", Calc!$C:$C, 0)) - $E64 + $B64) / INDEX(Calc!$E:$E, MATCH("L_ramp_m", Calc!$C:$C, 0)))))</f>
        <v/>
      </c>
      <c r="H64" s="3">
        <f>IF($E64="","", IF(AND($E64&gt;=INDEX(Calc!$E:$E, MATCH("min_fwd_draft_m", Calc!$C:$C, 0)), $E64&lt;=INDEX(Calc!$E:$E, MATCH("max_fwd_draft_m", Calc!$C:$C, 0)), $G64&lt;=INDEX(Calc!$E:$E, MATCH("theta_max_deg", Calc!$C:$C, 0))), "OK", "CHECK"))</f>
        <v/>
      </c>
      <c r="I64" s="6">
        <f>IF($E64="","", INDEX(Calc!$E:$E, MATCH("D_vessel_m", Calc!$C:$C, 0)) - $E64 + $B64)</f>
        <v/>
      </c>
      <c r="J64" s="6">
        <f>IF($F64="","", INDEX(Calc!$E:$E, MATCH("D_vessel_m", Calc!$C:$C, 0)) - $F64 + $B64)</f>
        <v/>
      </c>
      <c r="K64" s="3">
        <f>IF(D64=0, "Even Keel", "")</f>
        <v/>
      </c>
    </row>
    <row r="65">
      <c r="A65" s="3">
        <f>IF(December_Tide_2025!A65="","",December_Tide_2025!A65)</f>
        <v/>
      </c>
      <c r="B65" s="6">
        <f>IF(December_Tide_2025!B65="","",December_Tide_2025!B65)</f>
        <v/>
      </c>
      <c r="C65" s="6">
        <f>IF($A65="","", INDEX(Calc!$E:$E, MATCH("KminusZ_m", Calc!$C:$C, 0)) + $B65 - INDEX(Calc!$E:$E, MATCH("L_ramp_m", Calc!$C:$C, 0)) * TAN(RADIANS(INDEX(Calc!$E:$E, MATCH("theta_max_deg", Calc!$C:$C, 0)))))</f>
        <v/>
      </c>
      <c r="D65" s="6" t="n"/>
      <c r="E65" s="6">
        <f>IF($C65="","", IF($D65="", $C65, $C65 - $D65/2))</f>
        <v/>
      </c>
      <c r="F65" s="6">
        <f>IF($C65="","", IF($D65="", $C65, $C65 + $D65/2))</f>
        <v/>
      </c>
      <c r="G65" s="6">
        <f>IF($E65="","", DEGREES(ATAN((INDEX(Calc!$E:$E, MATCH("KminusZ_m", Calc!$C:$C, 0)) - $E65 + $B65) / INDEX(Calc!$E:$E, MATCH("L_ramp_m", Calc!$C:$C, 0)))))</f>
        <v/>
      </c>
      <c r="H65" s="3">
        <f>IF($E65="","", IF(AND($E65&gt;=INDEX(Calc!$E:$E, MATCH("min_fwd_draft_m", Calc!$C:$C, 0)), $E65&lt;=INDEX(Calc!$E:$E, MATCH("max_fwd_draft_m", Calc!$C:$C, 0)), $G65&lt;=INDEX(Calc!$E:$E, MATCH("theta_max_deg", Calc!$C:$C, 0))), "OK", "CHECK"))</f>
        <v/>
      </c>
      <c r="I65" s="6">
        <f>IF($E65="","", INDEX(Calc!$E:$E, MATCH("D_vessel_m", Calc!$C:$C, 0)) - $E65 + $B65)</f>
        <v/>
      </c>
      <c r="J65" s="6">
        <f>IF($F65="","", INDEX(Calc!$E:$E, MATCH("D_vessel_m", Calc!$C:$C, 0)) - $F65 + $B65)</f>
        <v/>
      </c>
      <c r="K65" s="3">
        <f>IF(D65=0, "Even Keel", "")</f>
        <v/>
      </c>
    </row>
    <row r="66">
      <c r="A66" s="3">
        <f>IF(December_Tide_2025!A66="","",December_Tide_2025!A66)</f>
        <v/>
      </c>
      <c r="B66" s="6">
        <f>IF(December_Tide_2025!B66="","",December_Tide_2025!B66)</f>
        <v/>
      </c>
      <c r="C66" s="6">
        <f>IF($A66="","", INDEX(Calc!$E:$E, MATCH("KminusZ_m", Calc!$C:$C, 0)) + $B66 - INDEX(Calc!$E:$E, MATCH("L_ramp_m", Calc!$C:$C, 0)) * TAN(RADIANS(INDEX(Calc!$E:$E, MATCH("theta_max_deg", Calc!$C:$C, 0)))))</f>
        <v/>
      </c>
      <c r="D66" s="6" t="n"/>
      <c r="E66" s="6">
        <f>IF($C66="","", IF($D66="", $C66, $C66 - $D66/2))</f>
        <v/>
      </c>
      <c r="F66" s="6">
        <f>IF($C66="","", IF($D66="", $C66, $C66 + $D66/2))</f>
        <v/>
      </c>
      <c r="G66" s="6">
        <f>IF($E66="","", DEGREES(ATAN((INDEX(Calc!$E:$E, MATCH("KminusZ_m", Calc!$C:$C, 0)) - $E66 + $B66) / INDEX(Calc!$E:$E, MATCH("L_ramp_m", Calc!$C:$C, 0)))))</f>
        <v/>
      </c>
      <c r="H66" s="3">
        <f>IF($E66="","", IF(AND($E66&gt;=INDEX(Calc!$E:$E, MATCH("min_fwd_draft_m", Calc!$C:$C, 0)), $E66&lt;=INDEX(Calc!$E:$E, MATCH("max_fwd_draft_m", Calc!$C:$C, 0)), $G66&lt;=INDEX(Calc!$E:$E, MATCH("theta_max_deg", Calc!$C:$C, 0))), "OK", "CHECK"))</f>
        <v/>
      </c>
      <c r="I66" s="6">
        <f>IF($E66="","", INDEX(Calc!$E:$E, MATCH("D_vessel_m", Calc!$C:$C, 0)) - $E66 + $B66)</f>
        <v/>
      </c>
      <c r="J66" s="6">
        <f>IF($F66="","", INDEX(Calc!$E:$E, MATCH("D_vessel_m", Calc!$C:$C, 0)) - $F66 + $B66)</f>
        <v/>
      </c>
      <c r="K66" s="3">
        <f>IF(D66=0, "Even Keel", "")</f>
        <v/>
      </c>
    </row>
    <row r="67">
      <c r="A67" s="3">
        <f>IF(December_Tide_2025!A67="","",December_Tide_2025!A67)</f>
        <v/>
      </c>
      <c r="B67" s="6">
        <f>IF(December_Tide_2025!B67="","",December_Tide_2025!B67)</f>
        <v/>
      </c>
      <c r="C67" s="6">
        <f>IF($A67="","", INDEX(Calc!$E:$E, MATCH("KminusZ_m", Calc!$C:$C, 0)) + $B67 - INDEX(Calc!$E:$E, MATCH("L_ramp_m", Calc!$C:$C, 0)) * TAN(RADIANS(INDEX(Calc!$E:$E, MATCH("theta_max_deg", Calc!$C:$C, 0)))))</f>
        <v/>
      </c>
      <c r="D67" s="6" t="n"/>
      <c r="E67" s="6">
        <f>IF($C67="","", IF($D67="", $C67, $C67 - $D67/2))</f>
        <v/>
      </c>
      <c r="F67" s="6">
        <f>IF($C67="","", IF($D67="", $C67, $C67 + $D67/2))</f>
        <v/>
      </c>
      <c r="G67" s="6">
        <f>IF($E67="","", DEGREES(ATAN((INDEX(Calc!$E:$E, MATCH("KminusZ_m", Calc!$C:$C, 0)) - $E67 + $B67) / INDEX(Calc!$E:$E, MATCH("L_ramp_m", Calc!$C:$C, 0)))))</f>
        <v/>
      </c>
      <c r="H67" s="3">
        <f>IF($E67="","", IF(AND($E67&gt;=INDEX(Calc!$E:$E, MATCH("min_fwd_draft_m", Calc!$C:$C, 0)), $E67&lt;=INDEX(Calc!$E:$E, MATCH("max_fwd_draft_m", Calc!$C:$C, 0)), $G67&lt;=INDEX(Calc!$E:$E, MATCH("theta_max_deg", Calc!$C:$C, 0))), "OK", "CHECK"))</f>
        <v/>
      </c>
      <c r="I67" s="6">
        <f>IF($E67="","", INDEX(Calc!$E:$E, MATCH("D_vessel_m", Calc!$C:$C, 0)) - $E67 + $B67)</f>
        <v/>
      </c>
      <c r="J67" s="6">
        <f>IF($F67="","", INDEX(Calc!$E:$E, MATCH("D_vessel_m", Calc!$C:$C, 0)) - $F67 + $B67)</f>
        <v/>
      </c>
      <c r="K67" s="3">
        <f>IF(D67=0, "Even Keel", "")</f>
        <v/>
      </c>
    </row>
    <row r="68">
      <c r="A68" s="3">
        <f>IF(December_Tide_2025!A68="","",December_Tide_2025!A68)</f>
        <v/>
      </c>
      <c r="B68" s="6">
        <f>IF(December_Tide_2025!B68="","",December_Tide_2025!B68)</f>
        <v/>
      </c>
      <c r="C68" s="6">
        <f>IF($A68="","", INDEX(Calc!$E:$E, MATCH("KminusZ_m", Calc!$C:$C, 0)) + $B68 - INDEX(Calc!$E:$E, MATCH("L_ramp_m", Calc!$C:$C, 0)) * TAN(RADIANS(INDEX(Calc!$E:$E, MATCH("theta_max_deg", Calc!$C:$C, 0)))))</f>
        <v/>
      </c>
      <c r="D68" s="6" t="n"/>
      <c r="E68" s="6">
        <f>IF($C68="","", IF($D68="", $C68, $C68 - $D68/2))</f>
        <v/>
      </c>
      <c r="F68" s="6">
        <f>IF($C68="","", IF($D68="", $C68, $C68 + $D68/2))</f>
        <v/>
      </c>
      <c r="G68" s="6">
        <f>IF($E68="","", DEGREES(ATAN((INDEX(Calc!$E:$E, MATCH("KminusZ_m", Calc!$C:$C, 0)) - $E68 + $B68) / INDEX(Calc!$E:$E, MATCH("L_ramp_m", Calc!$C:$C, 0)))))</f>
        <v/>
      </c>
      <c r="H68" s="3">
        <f>IF($E68="","", IF(AND($E68&gt;=INDEX(Calc!$E:$E, MATCH("min_fwd_draft_m", Calc!$C:$C, 0)), $E68&lt;=INDEX(Calc!$E:$E, MATCH("max_fwd_draft_m", Calc!$C:$C, 0)), $G68&lt;=INDEX(Calc!$E:$E, MATCH("theta_max_deg", Calc!$C:$C, 0))), "OK", "CHECK"))</f>
        <v/>
      </c>
      <c r="I68" s="6">
        <f>IF($E68="","", INDEX(Calc!$E:$E, MATCH("D_vessel_m", Calc!$C:$C, 0)) - $E68 + $B68)</f>
        <v/>
      </c>
      <c r="J68" s="6">
        <f>IF($F68="","", INDEX(Calc!$E:$E, MATCH("D_vessel_m", Calc!$C:$C, 0)) - $F68 + $B68)</f>
        <v/>
      </c>
      <c r="K68" s="3">
        <f>IF(D68=0, "Even Keel", "")</f>
        <v/>
      </c>
    </row>
    <row r="69">
      <c r="A69" s="3">
        <f>IF(December_Tide_2025!A69="","",December_Tide_2025!A69)</f>
        <v/>
      </c>
      <c r="B69" s="6">
        <f>IF(December_Tide_2025!B69="","",December_Tide_2025!B69)</f>
        <v/>
      </c>
      <c r="C69" s="6">
        <f>IF($A69="","", INDEX(Calc!$E:$E, MATCH("KminusZ_m", Calc!$C:$C, 0)) + $B69 - INDEX(Calc!$E:$E, MATCH("L_ramp_m", Calc!$C:$C, 0)) * TAN(RADIANS(INDEX(Calc!$E:$E, MATCH("theta_max_deg", Calc!$C:$C, 0)))))</f>
        <v/>
      </c>
      <c r="D69" s="6" t="n"/>
      <c r="E69" s="6">
        <f>IF($C69="","", IF($D69="", $C69, $C69 - $D69/2))</f>
        <v/>
      </c>
      <c r="F69" s="6">
        <f>IF($C69="","", IF($D69="", $C69, $C69 + $D69/2))</f>
        <v/>
      </c>
      <c r="G69" s="6">
        <f>IF($E69="","", DEGREES(ATAN((INDEX(Calc!$E:$E, MATCH("KminusZ_m", Calc!$C:$C, 0)) - $E69 + $B69) / INDEX(Calc!$E:$E, MATCH("L_ramp_m", Calc!$C:$C, 0)))))</f>
        <v/>
      </c>
      <c r="H69" s="3">
        <f>IF($E69="","", IF(AND($E69&gt;=INDEX(Calc!$E:$E, MATCH("min_fwd_draft_m", Calc!$C:$C, 0)), $E69&lt;=INDEX(Calc!$E:$E, MATCH("max_fwd_draft_m", Calc!$C:$C, 0)), $G69&lt;=INDEX(Calc!$E:$E, MATCH("theta_max_deg", Calc!$C:$C, 0))), "OK", "CHECK"))</f>
        <v/>
      </c>
      <c r="I69" s="6">
        <f>IF($E69="","", INDEX(Calc!$E:$E, MATCH("D_vessel_m", Calc!$C:$C, 0)) - $E69 + $B69)</f>
        <v/>
      </c>
      <c r="J69" s="6">
        <f>IF($F69="","", INDEX(Calc!$E:$E, MATCH("D_vessel_m", Calc!$C:$C, 0)) - $F69 + $B69)</f>
        <v/>
      </c>
      <c r="K69" s="3">
        <f>IF(D69=0, "Even Keel", "")</f>
        <v/>
      </c>
    </row>
    <row r="70">
      <c r="A70" s="3">
        <f>IF(December_Tide_2025!A70="","",December_Tide_2025!A70)</f>
        <v/>
      </c>
      <c r="B70" s="6">
        <f>IF(December_Tide_2025!B70="","",December_Tide_2025!B70)</f>
        <v/>
      </c>
      <c r="C70" s="6">
        <f>IF($A70="","", INDEX(Calc!$E:$E, MATCH("KminusZ_m", Calc!$C:$C, 0)) + $B70 - INDEX(Calc!$E:$E, MATCH("L_ramp_m", Calc!$C:$C, 0)) * TAN(RADIANS(INDEX(Calc!$E:$E, MATCH("theta_max_deg", Calc!$C:$C, 0)))))</f>
        <v/>
      </c>
      <c r="D70" s="6" t="n"/>
      <c r="E70" s="6">
        <f>IF($C70="","", IF($D70="", $C70, $C70 - $D70/2))</f>
        <v/>
      </c>
      <c r="F70" s="6">
        <f>IF($C70="","", IF($D70="", $C70, $C70 + $D70/2))</f>
        <v/>
      </c>
      <c r="G70" s="6">
        <f>IF($E70="","", DEGREES(ATAN((INDEX(Calc!$E:$E, MATCH("KminusZ_m", Calc!$C:$C, 0)) - $E70 + $B70) / INDEX(Calc!$E:$E, MATCH("L_ramp_m", Calc!$C:$C, 0)))))</f>
        <v/>
      </c>
      <c r="H70" s="3">
        <f>IF($E70="","", IF(AND($E70&gt;=INDEX(Calc!$E:$E, MATCH("min_fwd_draft_m", Calc!$C:$C, 0)), $E70&lt;=INDEX(Calc!$E:$E, MATCH("max_fwd_draft_m", Calc!$C:$C, 0)), $G70&lt;=INDEX(Calc!$E:$E, MATCH("theta_max_deg", Calc!$C:$C, 0))), "OK", "CHECK"))</f>
        <v/>
      </c>
      <c r="I70" s="6">
        <f>IF($E70="","", INDEX(Calc!$E:$E, MATCH("D_vessel_m", Calc!$C:$C, 0)) - $E70 + $B70)</f>
        <v/>
      </c>
      <c r="J70" s="6">
        <f>IF($F70="","", INDEX(Calc!$E:$E, MATCH("D_vessel_m", Calc!$C:$C, 0)) - $F70 + $B70)</f>
        <v/>
      </c>
      <c r="K70" s="3">
        <f>IF(D70=0, "Even Keel", "")</f>
        <v/>
      </c>
    </row>
    <row r="71">
      <c r="A71" s="3">
        <f>IF(December_Tide_2025!A71="","",December_Tide_2025!A71)</f>
        <v/>
      </c>
      <c r="B71" s="6">
        <f>IF(December_Tide_2025!B71="","",December_Tide_2025!B71)</f>
        <v/>
      </c>
      <c r="C71" s="6">
        <f>IF($A71="","", INDEX(Calc!$E:$E, MATCH("KminusZ_m", Calc!$C:$C, 0)) + $B71 - INDEX(Calc!$E:$E, MATCH("L_ramp_m", Calc!$C:$C, 0)) * TAN(RADIANS(INDEX(Calc!$E:$E, MATCH("theta_max_deg", Calc!$C:$C, 0)))))</f>
        <v/>
      </c>
      <c r="D71" s="6" t="n"/>
      <c r="E71" s="6">
        <f>IF($C71="","", IF($D71="", $C71, $C71 - $D71/2))</f>
        <v/>
      </c>
      <c r="F71" s="6">
        <f>IF($C71="","", IF($D71="", $C71, $C71 + $D71/2))</f>
        <v/>
      </c>
      <c r="G71" s="6">
        <f>IF($E71="","", DEGREES(ATAN((INDEX(Calc!$E:$E, MATCH("KminusZ_m", Calc!$C:$C, 0)) - $E71 + $B71) / INDEX(Calc!$E:$E, MATCH("L_ramp_m", Calc!$C:$C, 0)))))</f>
        <v/>
      </c>
      <c r="H71" s="3">
        <f>IF($E71="","", IF(AND($E71&gt;=INDEX(Calc!$E:$E, MATCH("min_fwd_draft_m", Calc!$C:$C, 0)), $E71&lt;=INDEX(Calc!$E:$E, MATCH("max_fwd_draft_m", Calc!$C:$C, 0)), $G71&lt;=INDEX(Calc!$E:$E, MATCH("theta_max_deg", Calc!$C:$C, 0))), "OK", "CHECK"))</f>
        <v/>
      </c>
      <c r="I71" s="6">
        <f>IF($E71="","", INDEX(Calc!$E:$E, MATCH("D_vessel_m", Calc!$C:$C, 0)) - $E71 + $B71)</f>
        <v/>
      </c>
      <c r="J71" s="6">
        <f>IF($F71="","", INDEX(Calc!$E:$E, MATCH("D_vessel_m", Calc!$C:$C, 0)) - $F71 + $B71)</f>
        <v/>
      </c>
      <c r="K71" s="3">
        <f>IF(D71=0, "Even Keel", "")</f>
        <v/>
      </c>
    </row>
    <row r="72">
      <c r="A72" s="3">
        <f>IF(December_Tide_2025!A72="","",December_Tide_2025!A72)</f>
        <v/>
      </c>
      <c r="B72" s="6">
        <f>IF(December_Tide_2025!B72="","",December_Tide_2025!B72)</f>
        <v/>
      </c>
      <c r="C72" s="6">
        <f>IF($A72="","", INDEX(Calc!$E:$E, MATCH("KminusZ_m", Calc!$C:$C, 0)) + $B72 - INDEX(Calc!$E:$E, MATCH("L_ramp_m", Calc!$C:$C, 0)) * TAN(RADIANS(INDEX(Calc!$E:$E, MATCH("theta_max_deg", Calc!$C:$C, 0)))))</f>
        <v/>
      </c>
      <c r="D72" s="6" t="n"/>
      <c r="E72" s="6">
        <f>IF($C72="","", IF($D72="", $C72, $C72 - $D72/2))</f>
        <v/>
      </c>
      <c r="F72" s="6">
        <f>IF($C72="","", IF($D72="", $C72, $C72 + $D72/2))</f>
        <v/>
      </c>
      <c r="G72" s="6">
        <f>IF($E72="","", DEGREES(ATAN((INDEX(Calc!$E:$E, MATCH("KminusZ_m", Calc!$C:$C, 0)) - $E72 + $B72) / INDEX(Calc!$E:$E, MATCH("L_ramp_m", Calc!$C:$C, 0)))))</f>
        <v/>
      </c>
      <c r="H72" s="3">
        <f>IF($E72="","", IF(AND($E72&gt;=INDEX(Calc!$E:$E, MATCH("min_fwd_draft_m", Calc!$C:$C, 0)), $E72&lt;=INDEX(Calc!$E:$E, MATCH("max_fwd_draft_m", Calc!$C:$C, 0)), $G72&lt;=INDEX(Calc!$E:$E, MATCH("theta_max_deg", Calc!$C:$C, 0))), "OK", "CHECK"))</f>
        <v/>
      </c>
      <c r="I72" s="6">
        <f>IF($E72="","", INDEX(Calc!$E:$E, MATCH("D_vessel_m", Calc!$C:$C, 0)) - $E72 + $B72)</f>
        <v/>
      </c>
      <c r="J72" s="6">
        <f>IF($F72="","", INDEX(Calc!$E:$E, MATCH("D_vessel_m", Calc!$C:$C, 0)) - $F72 + $B72)</f>
        <v/>
      </c>
      <c r="K72" s="3">
        <f>IF(D72=0, "Even Keel", "")</f>
        <v/>
      </c>
    </row>
    <row r="73">
      <c r="A73" s="3">
        <f>IF(December_Tide_2025!A73="","",December_Tide_2025!A73)</f>
        <v/>
      </c>
      <c r="B73" s="6">
        <f>IF(December_Tide_2025!B73="","",December_Tide_2025!B73)</f>
        <v/>
      </c>
      <c r="C73" s="6">
        <f>IF($A73="","", INDEX(Calc!$E:$E, MATCH("KminusZ_m", Calc!$C:$C, 0)) + $B73 - INDEX(Calc!$E:$E, MATCH("L_ramp_m", Calc!$C:$C, 0)) * TAN(RADIANS(INDEX(Calc!$E:$E, MATCH("theta_max_deg", Calc!$C:$C, 0)))))</f>
        <v/>
      </c>
      <c r="D73" s="6" t="n"/>
      <c r="E73" s="6">
        <f>IF($C73="","", IF($D73="", $C73, $C73 - $D73/2))</f>
        <v/>
      </c>
      <c r="F73" s="6">
        <f>IF($C73="","", IF($D73="", $C73, $C73 + $D73/2))</f>
        <v/>
      </c>
      <c r="G73" s="6">
        <f>IF($E73="","", DEGREES(ATAN((INDEX(Calc!$E:$E, MATCH("KminusZ_m", Calc!$C:$C, 0)) - $E73 + $B73) / INDEX(Calc!$E:$E, MATCH("L_ramp_m", Calc!$C:$C, 0)))))</f>
        <v/>
      </c>
      <c r="H73" s="3">
        <f>IF($E73="","", IF(AND($E73&gt;=INDEX(Calc!$E:$E, MATCH("min_fwd_draft_m", Calc!$C:$C, 0)), $E73&lt;=INDEX(Calc!$E:$E, MATCH("max_fwd_draft_m", Calc!$C:$C, 0)), $G73&lt;=INDEX(Calc!$E:$E, MATCH("theta_max_deg", Calc!$C:$C, 0))), "OK", "CHECK"))</f>
        <v/>
      </c>
      <c r="I73" s="6">
        <f>IF($E73="","", INDEX(Calc!$E:$E, MATCH("D_vessel_m", Calc!$C:$C, 0)) - $E73 + $B73)</f>
        <v/>
      </c>
      <c r="J73" s="6">
        <f>IF($F73="","", INDEX(Calc!$E:$E, MATCH("D_vessel_m", Calc!$C:$C, 0)) - $F73 + $B73)</f>
        <v/>
      </c>
      <c r="K73" s="3">
        <f>IF(D73=0, "Even Keel", "")</f>
        <v/>
      </c>
    </row>
    <row r="74">
      <c r="A74" s="3">
        <f>IF(December_Tide_2025!A74="","",December_Tide_2025!A74)</f>
        <v/>
      </c>
      <c r="B74" s="6">
        <f>IF(December_Tide_2025!B74="","",December_Tide_2025!B74)</f>
        <v/>
      </c>
      <c r="C74" s="6">
        <f>IF($A74="","", INDEX(Calc!$E:$E, MATCH("KminusZ_m", Calc!$C:$C, 0)) + $B74 - INDEX(Calc!$E:$E, MATCH("L_ramp_m", Calc!$C:$C, 0)) * TAN(RADIANS(INDEX(Calc!$E:$E, MATCH("theta_max_deg", Calc!$C:$C, 0)))))</f>
        <v/>
      </c>
      <c r="D74" s="6" t="n"/>
      <c r="E74" s="6">
        <f>IF($C74="","", IF($D74="", $C74, $C74 - $D74/2))</f>
        <v/>
      </c>
      <c r="F74" s="6">
        <f>IF($C74="","", IF($D74="", $C74, $C74 + $D74/2))</f>
        <v/>
      </c>
      <c r="G74" s="6">
        <f>IF($E74="","", DEGREES(ATAN((INDEX(Calc!$E:$E, MATCH("KminusZ_m", Calc!$C:$C, 0)) - $E74 + $B74) / INDEX(Calc!$E:$E, MATCH("L_ramp_m", Calc!$C:$C, 0)))))</f>
        <v/>
      </c>
      <c r="H74" s="3">
        <f>IF($E74="","", IF(AND($E74&gt;=INDEX(Calc!$E:$E, MATCH("min_fwd_draft_m", Calc!$C:$C, 0)), $E74&lt;=INDEX(Calc!$E:$E, MATCH("max_fwd_draft_m", Calc!$C:$C, 0)), $G74&lt;=INDEX(Calc!$E:$E, MATCH("theta_max_deg", Calc!$C:$C, 0))), "OK", "CHECK"))</f>
        <v/>
      </c>
      <c r="I74" s="6">
        <f>IF($E74="","", INDEX(Calc!$E:$E, MATCH("D_vessel_m", Calc!$C:$C, 0)) - $E74 + $B74)</f>
        <v/>
      </c>
      <c r="J74" s="6">
        <f>IF($F74="","", INDEX(Calc!$E:$E, MATCH("D_vessel_m", Calc!$C:$C, 0)) - $F74 + $B74)</f>
        <v/>
      </c>
      <c r="K74" s="3">
        <f>IF(D74=0, "Even Keel", "")</f>
        <v/>
      </c>
    </row>
    <row r="75">
      <c r="A75" s="3">
        <f>IF(December_Tide_2025!A75="","",December_Tide_2025!A75)</f>
        <v/>
      </c>
      <c r="B75" s="6">
        <f>IF(December_Tide_2025!B75="","",December_Tide_2025!B75)</f>
        <v/>
      </c>
      <c r="C75" s="6">
        <f>IF($A75="","", INDEX(Calc!$E:$E, MATCH("KminusZ_m", Calc!$C:$C, 0)) + $B75 - INDEX(Calc!$E:$E, MATCH("L_ramp_m", Calc!$C:$C, 0)) * TAN(RADIANS(INDEX(Calc!$E:$E, MATCH("theta_max_deg", Calc!$C:$C, 0)))))</f>
        <v/>
      </c>
      <c r="D75" s="6" t="n"/>
      <c r="E75" s="6">
        <f>IF($C75="","", IF($D75="", $C75, $C75 - $D75/2))</f>
        <v/>
      </c>
      <c r="F75" s="6">
        <f>IF($C75="","", IF($D75="", $C75, $C75 + $D75/2))</f>
        <v/>
      </c>
      <c r="G75" s="6">
        <f>IF($E75="","", DEGREES(ATAN((INDEX(Calc!$E:$E, MATCH("KminusZ_m", Calc!$C:$C, 0)) - $E75 + $B75) / INDEX(Calc!$E:$E, MATCH("L_ramp_m", Calc!$C:$C, 0)))))</f>
        <v/>
      </c>
      <c r="H75" s="3">
        <f>IF($E75="","", IF(AND($E75&gt;=INDEX(Calc!$E:$E, MATCH("min_fwd_draft_m", Calc!$C:$C, 0)), $E75&lt;=INDEX(Calc!$E:$E, MATCH("max_fwd_draft_m", Calc!$C:$C, 0)), $G75&lt;=INDEX(Calc!$E:$E, MATCH("theta_max_deg", Calc!$C:$C, 0))), "OK", "CHECK"))</f>
        <v/>
      </c>
      <c r="I75" s="6">
        <f>IF($E75="","", INDEX(Calc!$E:$E, MATCH("D_vessel_m", Calc!$C:$C, 0)) - $E75 + $B75)</f>
        <v/>
      </c>
      <c r="J75" s="6">
        <f>IF($F75="","", INDEX(Calc!$E:$E, MATCH("D_vessel_m", Calc!$C:$C, 0)) - $F75 + $B75)</f>
        <v/>
      </c>
      <c r="K75" s="3">
        <f>IF(D75=0, "Even Keel", "")</f>
        <v/>
      </c>
    </row>
    <row r="76">
      <c r="A76" s="3">
        <f>IF(December_Tide_2025!A76="","",December_Tide_2025!A76)</f>
        <v/>
      </c>
      <c r="B76" s="6">
        <f>IF(December_Tide_2025!B76="","",December_Tide_2025!B76)</f>
        <v/>
      </c>
      <c r="C76" s="6">
        <f>IF($A76="","", INDEX(Calc!$E:$E, MATCH("KminusZ_m", Calc!$C:$C, 0)) + $B76 - INDEX(Calc!$E:$E, MATCH("L_ramp_m", Calc!$C:$C, 0)) * TAN(RADIANS(INDEX(Calc!$E:$E, MATCH("theta_max_deg", Calc!$C:$C, 0)))))</f>
        <v/>
      </c>
      <c r="D76" s="6" t="n"/>
      <c r="E76" s="6">
        <f>IF($C76="","", IF($D76="", $C76, $C76 - $D76/2))</f>
        <v/>
      </c>
      <c r="F76" s="6">
        <f>IF($C76="","", IF($D76="", $C76, $C76 + $D76/2))</f>
        <v/>
      </c>
      <c r="G76" s="6">
        <f>IF($E76="","", DEGREES(ATAN((INDEX(Calc!$E:$E, MATCH("KminusZ_m", Calc!$C:$C, 0)) - $E76 + $B76) / INDEX(Calc!$E:$E, MATCH("L_ramp_m", Calc!$C:$C, 0)))))</f>
        <v/>
      </c>
      <c r="H76" s="3">
        <f>IF($E76="","", IF(AND($E76&gt;=INDEX(Calc!$E:$E, MATCH("min_fwd_draft_m", Calc!$C:$C, 0)), $E76&lt;=INDEX(Calc!$E:$E, MATCH("max_fwd_draft_m", Calc!$C:$C, 0)), $G76&lt;=INDEX(Calc!$E:$E, MATCH("theta_max_deg", Calc!$C:$C, 0))), "OK", "CHECK"))</f>
        <v/>
      </c>
      <c r="I76" s="6">
        <f>IF($E76="","", INDEX(Calc!$E:$E, MATCH("D_vessel_m", Calc!$C:$C, 0)) - $E76 + $B76)</f>
        <v/>
      </c>
      <c r="J76" s="6">
        <f>IF($F76="","", INDEX(Calc!$E:$E, MATCH("D_vessel_m", Calc!$C:$C, 0)) - $F76 + $B76)</f>
        <v/>
      </c>
      <c r="K76" s="3">
        <f>IF(D76=0, "Even Keel", "")</f>
        <v/>
      </c>
    </row>
    <row r="77">
      <c r="A77" s="3">
        <f>IF(December_Tide_2025!A77="","",December_Tide_2025!A77)</f>
        <v/>
      </c>
      <c r="B77" s="6">
        <f>IF(December_Tide_2025!B77="","",December_Tide_2025!B77)</f>
        <v/>
      </c>
      <c r="C77" s="6">
        <f>IF($A77="","", INDEX(Calc!$E:$E, MATCH("KminusZ_m", Calc!$C:$C, 0)) + $B77 - INDEX(Calc!$E:$E, MATCH("L_ramp_m", Calc!$C:$C, 0)) * TAN(RADIANS(INDEX(Calc!$E:$E, MATCH("theta_max_deg", Calc!$C:$C, 0)))))</f>
        <v/>
      </c>
      <c r="D77" s="6" t="n"/>
      <c r="E77" s="6">
        <f>IF($C77="","", IF($D77="", $C77, $C77 - $D77/2))</f>
        <v/>
      </c>
      <c r="F77" s="6">
        <f>IF($C77="","", IF($D77="", $C77, $C77 + $D77/2))</f>
        <v/>
      </c>
      <c r="G77" s="6">
        <f>IF($E77="","", DEGREES(ATAN((INDEX(Calc!$E:$E, MATCH("KminusZ_m", Calc!$C:$C, 0)) - $E77 + $B77) / INDEX(Calc!$E:$E, MATCH("L_ramp_m", Calc!$C:$C, 0)))))</f>
        <v/>
      </c>
      <c r="H77" s="3">
        <f>IF($E77="","", IF(AND($E77&gt;=INDEX(Calc!$E:$E, MATCH("min_fwd_draft_m", Calc!$C:$C, 0)), $E77&lt;=INDEX(Calc!$E:$E, MATCH("max_fwd_draft_m", Calc!$C:$C, 0)), $G77&lt;=INDEX(Calc!$E:$E, MATCH("theta_max_deg", Calc!$C:$C, 0))), "OK", "CHECK"))</f>
        <v/>
      </c>
      <c r="I77" s="6">
        <f>IF($E77="","", INDEX(Calc!$E:$E, MATCH("D_vessel_m", Calc!$C:$C, 0)) - $E77 + $B77)</f>
        <v/>
      </c>
      <c r="J77" s="6">
        <f>IF($F77="","", INDEX(Calc!$E:$E, MATCH("D_vessel_m", Calc!$C:$C, 0)) - $F77 + $B77)</f>
        <v/>
      </c>
      <c r="K77" s="3">
        <f>IF(D77=0, "Even Keel", "")</f>
        <v/>
      </c>
    </row>
    <row r="78">
      <c r="A78" s="3">
        <f>IF(December_Tide_2025!A78="","",December_Tide_2025!A78)</f>
        <v/>
      </c>
      <c r="B78" s="6">
        <f>IF(December_Tide_2025!B78="","",December_Tide_2025!B78)</f>
        <v/>
      </c>
      <c r="C78" s="6">
        <f>IF($A78="","", INDEX(Calc!$E:$E, MATCH("KminusZ_m", Calc!$C:$C, 0)) + $B78 - INDEX(Calc!$E:$E, MATCH("L_ramp_m", Calc!$C:$C, 0)) * TAN(RADIANS(INDEX(Calc!$E:$E, MATCH("theta_max_deg", Calc!$C:$C, 0)))))</f>
        <v/>
      </c>
      <c r="D78" s="6" t="n"/>
      <c r="E78" s="6">
        <f>IF($C78="","", IF($D78="", $C78, $C78 - $D78/2))</f>
        <v/>
      </c>
      <c r="F78" s="6">
        <f>IF($C78="","", IF($D78="", $C78, $C78 + $D78/2))</f>
        <v/>
      </c>
      <c r="G78" s="6">
        <f>IF($E78="","", DEGREES(ATAN((INDEX(Calc!$E:$E, MATCH("KminusZ_m", Calc!$C:$C, 0)) - $E78 + $B78) / INDEX(Calc!$E:$E, MATCH("L_ramp_m", Calc!$C:$C, 0)))))</f>
        <v/>
      </c>
      <c r="H78" s="3">
        <f>IF($E78="","", IF(AND($E78&gt;=INDEX(Calc!$E:$E, MATCH("min_fwd_draft_m", Calc!$C:$C, 0)), $E78&lt;=INDEX(Calc!$E:$E, MATCH("max_fwd_draft_m", Calc!$C:$C, 0)), $G78&lt;=INDEX(Calc!$E:$E, MATCH("theta_max_deg", Calc!$C:$C, 0))), "OK", "CHECK"))</f>
        <v/>
      </c>
      <c r="I78" s="6">
        <f>IF($E78="","", INDEX(Calc!$E:$E, MATCH("D_vessel_m", Calc!$C:$C, 0)) - $E78 + $B78)</f>
        <v/>
      </c>
      <c r="J78" s="6">
        <f>IF($F78="","", INDEX(Calc!$E:$E, MATCH("D_vessel_m", Calc!$C:$C, 0)) - $F78 + $B78)</f>
        <v/>
      </c>
      <c r="K78" s="3">
        <f>IF(D78=0, "Even Keel", "")</f>
        <v/>
      </c>
    </row>
    <row r="79">
      <c r="A79" s="3">
        <f>IF(December_Tide_2025!A79="","",December_Tide_2025!A79)</f>
        <v/>
      </c>
      <c r="B79" s="6">
        <f>IF(December_Tide_2025!B79="","",December_Tide_2025!B79)</f>
        <v/>
      </c>
      <c r="C79" s="6">
        <f>IF($A79="","", INDEX(Calc!$E:$E, MATCH("KminusZ_m", Calc!$C:$C, 0)) + $B79 - INDEX(Calc!$E:$E, MATCH("L_ramp_m", Calc!$C:$C, 0)) * TAN(RADIANS(INDEX(Calc!$E:$E, MATCH("theta_max_deg", Calc!$C:$C, 0)))))</f>
        <v/>
      </c>
      <c r="D79" s="6" t="n"/>
      <c r="E79" s="6">
        <f>IF($C79="","", IF($D79="", $C79, $C79 - $D79/2))</f>
        <v/>
      </c>
      <c r="F79" s="6">
        <f>IF($C79="","", IF($D79="", $C79, $C79 + $D79/2))</f>
        <v/>
      </c>
      <c r="G79" s="6">
        <f>IF($E79="","", DEGREES(ATAN((INDEX(Calc!$E:$E, MATCH("KminusZ_m", Calc!$C:$C, 0)) - $E79 + $B79) / INDEX(Calc!$E:$E, MATCH("L_ramp_m", Calc!$C:$C, 0)))))</f>
        <v/>
      </c>
      <c r="H79" s="3">
        <f>IF($E79="","", IF(AND($E79&gt;=INDEX(Calc!$E:$E, MATCH("min_fwd_draft_m", Calc!$C:$C, 0)), $E79&lt;=INDEX(Calc!$E:$E, MATCH("max_fwd_draft_m", Calc!$C:$C, 0)), $G79&lt;=INDEX(Calc!$E:$E, MATCH("theta_max_deg", Calc!$C:$C, 0))), "OK", "CHECK"))</f>
        <v/>
      </c>
      <c r="I79" s="6">
        <f>IF($E79="","", INDEX(Calc!$E:$E, MATCH("D_vessel_m", Calc!$C:$C, 0)) - $E79 + $B79)</f>
        <v/>
      </c>
      <c r="J79" s="6">
        <f>IF($F79="","", INDEX(Calc!$E:$E, MATCH("D_vessel_m", Calc!$C:$C, 0)) - $F79 + $B79)</f>
        <v/>
      </c>
      <c r="K79" s="3">
        <f>IF(D79=0, "Even Keel", "")</f>
        <v/>
      </c>
    </row>
    <row r="80">
      <c r="A80" s="3">
        <f>IF(December_Tide_2025!A80="","",December_Tide_2025!A80)</f>
        <v/>
      </c>
      <c r="B80" s="6">
        <f>IF(December_Tide_2025!B80="","",December_Tide_2025!B80)</f>
        <v/>
      </c>
      <c r="C80" s="6">
        <f>IF($A80="","", INDEX(Calc!$E:$E, MATCH("KminusZ_m", Calc!$C:$C, 0)) + $B80 - INDEX(Calc!$E:$E, MATCH("L_ramp_m", Calc!$C:$C, 0)) * TAN(RADIANS(INDEX(Calc!$E:$E, MATCH("theta_max_deg", Calc!$C:$C, 0)))))</f>
        <v/>
      </c>
      <c r="D80" s="6" t="n"/>
      <c r="E80" s="6">
        <f>IF($C80="","", IF($D80="", $C80, $C80 - $D80/2))</f>
        <v/>
      </c>
      <c r="F80" s="6">
        <f>IF($C80="","", IF($D80="", $C80, $C80 + $D80/2))</f>
        <v/>
      </c>
      <c r="G80" s="6">
        <f>IF($E80="","", DEGREES(ATAN((INDEX(Calc!$E:$E, MATCH("KminusZ_m", Calc!$C:$C, 0)) - $E80 + $B80) / INDEX(Calc!$E:$E, MATCH("L_ramp_m", Calc!$C:$C, 0)))))</f>
        <v/>
      </c>
      <c r="H80" s="3">
        <f>IF($E80="","", IF(AND($E80&gt;=INDEX(Calc!$E:$E, MATCH("min_fwd_draft_m", Calc!$C:$C, 0)), $E80&lt;=INDEX(Calc!$E:$E, MATCH("max_fwd_draft_m", Calc!$C:$C, 0)), $G80&lt;=INDEX(Calc!$E:$E, MATCH("theta_max_deg", Calc!$C:$C, 0))), "OK", "CHECK"))</f>
        <v/>
      </c>
      <c r="I80" s="6">
        <f>IF($E80="","", INDEX(Calc!$E:$E, MATCH("D_vessel_m", Calc!$C:$C, 0)) - $E80 + $B80)</f>
        <v/>
      </c>
      <c r="J80" s="6">
        <f>IF($F80="","", INDEX(Calc!$E:$E, MATCH("D_vessel_m", Calc!$C:$C, 0)) - $F80 + $B80)</f>
        <v/>
      </c>
      <c r="K80" s="3">
        <f>IF(D80=0, "Even Keel", "")</f>
        <v/>
      </c>
    </row>
    <row r="81">
      <c r="A81" s="3">
        <f>IF(December_Tide_2025!A81="","",December_Tide_2025!A81)</f>
        <v/>
      </c>
      <c r="B81" s="6">
        <f>IF(December_Tide_2025!B81="","",December_Tide_2025!B81)</f>
        <v/>
      </c>
      <c r="C81" s="6">
        <f>IF($A81="","", INDEX(Calc!$E:$E, MATCH("KminusZ_m", Calc!$C:$C, 0)) + $B81 - INDEX(Calc!$E:$E, MATCH("L_ramp_m", Calc!$C:$C, 0)) * TAN(RADIANS(INDEX(Calc!$E:$E, MATCH("theta_max_deg", Calc!$C:$C, 0)))))</f>
        <v/>
      </c>
      <c r="D81" s="6" t="n"/>
      <c r="E81" s="6">
        <f>IF($C81="","", IF($D81="", $C81, $C81 - $D81/2))</f>
        <v/>
      </c>
      <c r="F81" s="6">
        <f>IF($C81="","", IF($D81="", $C81, $C81 + $D81/2))</f>
        <v/>
      </c>
      <c r="G81" s="6">
        <f>IF($E81="","", DEGREES(ATAN((INDEX(Calc!$E:$E, MATCH("KminusZ_m", Calc!$C:$C, 0)) - $E81 + $B81) / INDEX(Calc!$E:$E, MATCH("L_ramp_m", Calc!$C:$C, 0)))))</f>
        <v/>
      </c>
      <c r="H81" s="3">
        <f>IF($E81="","", IF(AND($E81&gt;=INDEX(Calc!$E:$E, MATCH("min_fwd_draft_m", Calc!$C:$C, 0)), $E81&lt;=INDEX(Calc!$E:$E, MATCH("max_fwd_draft_m", Calc!$C:$C, 0)), $G81&lt;=INDEX(Calc!$E:$E, MATCH("theta_max_deg", Calc!$C:$C, 0))), "OK", "CHECK"))</f>
        <v/>
      </c>
      <c r="I81" s="6">
        <f>IF($E81="","", INDEX(Calc!$E:$E, MATCH("D_vessel_m", Calc!$C:$C, 0)) - $E81 + $B81)</f>
        <v/>
      </c>
      <c r="J81" s="6">
        <f>IF($F81="","", INDEX(Calc!$E:$E, MATCH("D_vessel_m", Calc!$C:$C, 0)) - $F81 + $B81)</f>
        <v/>
      </c>
      <c r="K81" s="3">
        <f>IF(D81=0, "Even Keel", "")</f>
        <v/>
      </c>
    </row>
    <row r="82">
      <c r="A82" s="3">
        <f>IF(December_Tide_2025!A82="","",December_Tide_2025!A82)</f>
        <v/>
      </c>
      <c r="B82" s="6">
        <f>IF(December_Tide_2025!B82="","",December_Tide_2025!B82)</f>
        <v/>
      </c>
      <c r="C82" s="6">
        <f>IF($A82="","", INDEX(Calc!$E:$E, MATCH("KminusZ_m", Calc!$C:$C, 0)) + $B82 - INDEX(Calc!$E:$E, MATCH("L_ramp_m", Calc!$C:$C, 0)) * TAN(RADIANS(INDEX(Calc!$E:$E, MATCH("theta_max_deg", Calc!$C:$C, 0)))))</f>
        <v/>
      </c>
      <c r="D82" s="6" t="n"/>
      <c r="E82" s="6">
        <f>IF($C82="","", IF($D82="", $C82, $C82 - $D82/2))</f>
        <v/>
      </c>
      <c r="F82" s="6">
        <f>IF($C82="","", IF($D82="", $C82, $C82 + $D82/2))</f>
        <v/>
      </c>
      <c r="G82" s="6">
        <f>IF($E82="","", DEGREES(ATAN((INDEX(Calc!$E:$E, MATCH("KminusZ_m", Calc!$C:$C, 0)) - $E82 + $B82) / INDEX(Calc!$E:$E, MATCH("L_ramp_m", Calc!$C:$C, 0)))))</f>
        <v/>
      </c>
      <c r="H82" s="3">
        <f>IF($E82="","", IF(AND($E82&gt;=INDEX(Calc!$E:$E, MATCH("min_fwd_draft_m", Calc!$C:$C, 0)), $E82&lt;=INDEX(Calc!$E:$E, MATCH("max_fwd_draft_m", Calc!$C:$C, 0)), $G82&lt;=INDEX(Calc!$E:$E, MATCH("theta_max_deg", Calc!$C:$C, 0))), "OK", "CHECK"))</f>
        <v/>
      </c>
      <c r="I82" s="6">
        <f>IF($E82="","", INDEX(Calc!$E:$E, MATCH("D_vessel_m", Calc!$C:$C, 0)) - $E82 + $B82)</f>
        <v/>
      </c>
      <c r="J82" s="6">
        <f>IF($F82="","", INDEX(Calc!$E:$E, MATCH("D_vessel_m", Calc!$C:$C, 0)) - $F82 + $B82)</f>
        <v/>
      </c>
      <c r="K82" s="3">
        <f>IF(D82=0, "Even Keel", "")</f>
        <v/>
      </c>
    </row>
    <row r="83">
      <c r="A83" s="3">
        <f>IF(December_Tide_2025!A83="","",December_Tide_2025!A83)</f>
        <v/>
      </c>
      <c r="B83" s="6">
        <f>IF(December_Tide_2025!B83="","",December_Tide_2025!B83)</f>
        <v/>
      </c>
      <c r="C83" s="6">
        <f>IF($A83="","", INDEX(Calc!$E:$E, MATCH("KminusZ_m", Calc!$C:$C, 0)) + $B83 - INDEX(Calc!$E:$E, MATCH("L_ramp_m", Calc!$C:$C, 0)) * TAN(RADIANS(INDEX(Calc!$E:$E, MATCH("theta_max_deg", Calc!$C:$C, 0)))))</f>
        <v/>
      </c>
      <c r="D83" s="6" t="n"/>
      <c r="E83" s="6">
        <f>IF($C83="","", IF($D83="", $C83, $C83 - $D83/2))</f>
        <v/>
      </c>
      <c r="F83" s="6">
        <f>IF($C83="","", IF($D83="", $C83, $C83 + $D83/2))</f>
        <v/>
      </c>
      <c r="G83" s="6">
        <f>IF($E83="","", DEGREES(ATAN((INDEX(Calc!$E:$E, MATCH("KminusZ_m", Calc!$C:$C, 0)) - $E83 + $B83) / INDEX(Calc!$E:$E, MATCH("L_ramp_m", Calc!$C:$C, 0)))))</f>
        <v/>
      </c>
      <c r="H83" s="3">
        <f>IF($E83="","", IF(AND($E83&gt;=INDEX(Calc!$E:$E, MATCH("min_fwd_draft_m", Calc!$C:$C, 0)), $E83&lt;=INDEX(Calc!$E:$E, MATCH("max_fwd_draft_m", Calc!$C:$C, 0)), $G83&lt;=INDEX(Calc!$E:$E, MATCH("theta_max_deg", Calc!$C:$C, 0))), "OK", "CHECK"))</f>
        <v/>
      </c>
      <c r="I83" s="6">
        <f>IF($E83="","", INDEX(Calc!$E:$E, MATCH("D_vessel_m", Calc!$C:$C, 0)) - $E83 + $B83)</f>
        <v/>
      </c>
      <c r="J83" s="6">
        <f>IF($F83="","", INDEX(Calc!$E:$E, MATCH("D_vessel_m", Calc!$C:$C, 0)) - $F83 + $B83)</f>
        <v/>
      </c>
      <c r="K83" s="3">
        <f>IF(D83=0, "Even Keel", "")</f>
        <v/>
      </c>
    </row>
    <row r="84">
      <c r="A84" s="3">
        <f>IF(December_Tide_2025!A84="","",December_Tide_2025!A84)</f>
        <v/>
      </c>
      <c r="B84" s="6">
        <f>IF(December_Tide_2025!B84="","",December_Tide_2025!B84)</f>
        <v/>
      </c>
      <c r="C84" s="6">
        <f>IF($A84="","", INDEX(Calc!$E:$E, MATCH("KminusZ_m", Calc!$C:$C, 0)) + $B84 - INDEX(Calc!$E:$E, MATCH("L_ramp_m", Calc!$C:$C, 0)) * TAN(RADIANS(INDEX(Calc!$E:$E, MATCH("theta_max_deg", Calc!$C:$C, 0)))))</f>
        <v/>
      </c>
      <c r="D84" s="6" t="n"/>
      <c r="E84" s="6">
        <f>IF($C84="","", IF($D84="", $C84, $C84 - $D84/2))</f>
        <v/>
      </c>
      <c r="F84" s="6">
        <f>IF($C84="","", IF($D84="", $C84, $C84 + $D84/2))</f>
        <v/>
      </c>
      <c r="G84" s="6">
        <f>IF($E84="","", DEGREES(ATAN((INDEX(Calc!$E:$E, MATCH("KminusZ_m", Calc!$C:$C, 0)) - $E84 + $B84) / INDEX(Calc!$E:$E, MATCH("L_ramp_m", Calc!$C:$C, 0)))))</f>
        <v/>
      </c>
      <c r="H84" s="3">
        <f>IF($E84="","", IF(AND($E84&gt;=INDEX(Calc!$E:$E, MATCH("min_fwd_draft_m", Calc!$C:$C, 0)), $E84&lt;=INDEX(Calc!$E:$E, MATCH("max_fwd_draft_m", Calc!$C:$C, 0)), $G84&lt;=INDEX(Calc!$E:$E, MATCH("theta_max_deg", Calc!$C:$C, 0))), "OK", "CHECK"))</f>
        <v/>
      </c>
      <c r="I84" s="6">
        <f>IF($E84="","", INDEX(Calc!$E:$E, MATCH("D_vessel_m", Calc!$C:$C, 0)) - $E84 + $B84)</f>
        <v/>
      </c>
      <c r="J84" s="6">
        <f>IF($F84="","", INDEX(Calc!$E:$E, MATCH("D_vessel_m", Calc!$C:$C, 0)) - $F84 + $B84)</f>
        <v/>
      </c>
      <c r="K84" s="3">
        <f>IF(D84=0, "Even Keel", "")</f>
        <v/>
      </c>
    </row>
    <row r="85">
      <c r="A85" s="3">
        <f>IF(December_Tide_2025!A85="","",December_Tide_2025!A85)</f>
        <v/>
      </c>
      <c r="B85" s="6">
        <f>IF(December_Tide_2025!B85="","",December_Tide_2025!B85)</f>
        <v/>
      </c>
      <c r="C85" s="6">
        <f>IF($A85="","", INDEX(Calc!$E:$E, MATCH("KminusZ_m", Calc!$C:$C, 0)) + $B85 - INDEX(Calc!$E:$E, MATCH("L_ramp_m", Calc!$C:$C, 0)) * TAN(RADIANS(INDEX(Calc!$E:$E, MATCH("theta_max_deg", Calc!$C:$C, 0)))))</f>
        <v/>
      </c>
      <c r="D85" s="6" t="n"/>
      <c r="E85" s="6">
        <f>IF($C85="","", IF($D85="", $C85, $C85 - $D85/2))</f>
        <v/>
      </c>
      <c r="F85" s="6">
        <f>IF($C85="","", IF($D85="", $C85, $C85 + $D85/2))</f>
        <v/>
      </c>
      <c r="G85" s="6">
        <f>IF($E85="","", DEGREES(ATAN((INDEX(Calc!$E:$E, MATCH("KminusZ_m", Calc!$C:$C, 0)) - $E85 + $B85) / INDEX(Calc!$E:$E, MATCH("L_ramp_m", Calc!$C:$C, 0)))))</f>
        <v/>
      </c>
      <c r="H85" s="3">
        <f>IF($E85="","", IF(AND($E85&gt;=INDEX(Calc!$E:$E, MATCH("min_fwd_draft_m", Calc!$C:$C, 0)), $E85&lt;=INDEX(Calc!$E:$E, MATCH("max_fwd_draft_m", Calc!$C:$C, 0)), $G85&lt;=INDEX(Calc!$E:$E, MATCH("theta_max_deg", Calc!$C:$C, 0))), "OK", "CHECK"))</f>
        <v/>
      </c>
      <c r="I85" s="6">
        <f>IF($E85="","", INDEX(Calc!$E:$E, MATCH("D_vessel_m", Calc!$C:$C, 0)) - $E85 + $B85)</f>
        <v/>
      </c>
      <c r="J85" s="6">
        <f>IF($F85="","", INDEX(Calc!$E:$E, MATCH("D_vessel_m", Calc!$C:$C, 0)) - $F85 + $B85)</f>
        <v/>
      </c>
      <c r="K85" s="3">
        <f>IF(D85=0, "Even Keel", "")</f>
        <v/>
      </c>
    </row>
    <row r="86">
      <c r="A86" s="3">
        <f>IF(December_Tide_2025!A86="","",December_Tide_2025!A86)</f>
        <v/>
      </c>
      <c r="B86" s="6">
        <f>IF(December_Tide_2025!B86="","",December_Tide_2025!B86)</f>
        <v/>
      </c>
      <c r="C86" s="6">
        <f>IF($A86="","", INDEX(Calc!$E:$E, MATCH("KminusZ_m", Calc!$C:$C, 0)) + $B86 - INDEX(Calc!$E:$E, MATCH("L_ramp_m", Calc!$C:$C, 0)) * TAN(RADIANS(INDEX(Calc!$E:$E, MATCH("theta_max_deg", Calc!$C:$C, 0)))))</f>
        <v/>
      </c>
      <c r="D86" s="6" t="n"/>
      <c r="E86" s="6">
        <f>IF($C86="","", IF($D86="", $C86, $C86 - $D86/2))</f>
        <v/>
      </c>
      <c r="F86" s="6">
        <f>IF($C86="","", IF($D86="", $C86, $C86 + $D86/2))</f>
        <v/>
      </c>
      <c r="G86" s="6">
        <f>IF($E86="","", DEGREES(ATAN((INDEX(Calc!$E:$E, MATCH("KminusZ_m", Calc!$C:$C, 0)) - $E86 + $B86) / INDEX(Calc!$E:$E, MATCH("L_ramp_m", Calc!$C:$C, 0)))))</f>
        <v/>
      </c>
      <c r="H86" s="3">
        <f>IF($E86="","", IF(AND($E86&gt;=INDEX(Calc!$E:$E, MATCH("min_fwd_draft_m", Calc!$C:$C, 0)), $E86&lt;=INDEX(Calc!$E:$E, MATCH("max_fwd_draft_m", Calc!$C:$C, 0)), $G86&lt;=INDEX(Calc!$E:$E, MATCH("theta_max_deg", Calc!$C:$C, 0))), "OK", "CHECK"))</f>
        <v/>
      </c>
      <c r="I86" s="6">
        <f>IF($E86="","", INDEX(Calc!$E:$E, MATCH("D_vessel_m", Calc!$C:$C, 0)) - $E86 + $B86)</f>
        <v/>
      </c>
      <c r="J86" s="6">
        <f>IF($F86="","", INDEX(Calc!$E:$E, MATCH("D_vessel_m", Calc!$C:$C, 0)) - $F86 + $B86)</f>
        <v/>
      </c>
      <c r="K86" s="3">
        <f>IF(D86=0, "Even Keel", "")</f>
        <v/>
      </c>
    </row>
    <row r="87">
      <c r="A87" s="3">
        <f>IF(December_Tide_2025!A87="","",December_Tide_2025!A87)</f>
        <v/>
      </c>
      <c r="B87" s="6">
        <f>IF(December_Tide_2025!B87="","",December_Tide_2025!B87)</f>
        <v/>
      </c>
      <c r="C87" s="6">
        <f>IF($A87="","", INDEX(Calc!$E:$E, MATCH("KminusZ_m", Calc!$C:$C, 0)) + $B87 - INDEX(Calc!$E:$E, MATCH("L_ramp_m", Calc!$C:$C, 0)) * TAN(RADIANS(INDEX(Calc!$E:$E, MATCH("theta_max_deg", Calc!$C:$C, 0)))))</f>
        <v/>
      </c>
      <c r="D87" s="6" t="n"/>
      <c r="E87" s="6">
        <f>IF($C87="","", IF($D87="", $C87, $C87 - $D87/2))</f>
        <v/>
      </c>
      <c r="F87" s="6">
        <f>IF($C87="","", IF($D87="", $C87, $C87 + $D87/2))</f>
        <v/>
      </c>
      <c r="G87" s="6">
        <f>IF($E87="","", DEGREES(ATAN((INDEX(Calc!$E:$E, MATCH("KminusZ_m", Calc!$C:$C, 0)) - $E87 + $B87) / INDEX(Calc!$E:$E, MATCH("L_ramp_m", Calc!$C:$C, 0)))))</f>
        <v/>
      </c>
      <c r="H87" s="3">
        <f>IF($E87="","", IF(AND($E87&gt;=INDEX(Calc!$E:$E, MATCH("min_fwd_draft_m", Calc!$C:$C, 0)), $E87&lt;=INDEX(Calc!$E:$E, MATCH("max_fwd_draft_m", Calc!$C:$C, 0)), $G87&lt;=INDEX(Calc!$E:$E, MATCH("theta_max_deg", Calc!$C:$C, 0))), "OK", "CHECK"))</f>
        <v/>
      </c>
      <c r="I87" s="6">
        <f>IF($E87="","", INDEX(Calc!$E:$E, MATCH("D_vessel_m", Calc!$C:$C, 0)) - $E87 + $B87)</f>
        <v/>
      </c>
      <c r="J87" s="6">
        <f>IF($F87="","", INDEX(Calc!$E:$E, MATCH("D_vessel_m", Calc!$C:$C, 0)) - $F87 + $B87)</f>
        <v/>
      </c>
      <c r="K87" s="3">
        <f>IF(D87=0, "Even Keel", "")</f>
        <v/>
      </c>
    </row>
    <row r="88">
      <c r="A88" s="3">
        <f>IF(December_Tide_2025!A88="","",December_Tide_2025!A88)</f>
        <v/>
      </c>
      <c r="B88" s="6">
        <f>IF(December_Tide_2025!B88="","",December_Tide_2025!B88)</f>
        <v/>
      </c>
      <c r="C88" s="6">
        <f>IF($A88="","", INDEX(Calc!$E:$E, MATCH("KminusZ_m", Calc!$C:$C, 0)) + $B88 - INDEX(Calc!$E:$E, MATCH("L_ramp_m", Calc!$C:$C, 0)) * TAN(RADIANS(INDEX(Calc!$E:$E, MATCH("theta_max_deg", Calc!$C:$C, 0)))))</f>
        <v/>
      </c>
      <c r="D88" s="6" t="n"/>
      <c r="E88" s="6">
        <f>IF($C88="","", IF($D88="", $C88, $C88 - $D88/2))</f>
        <v/>
      </c>
      <c r="F88" s="6">
        <f>IF($C88="","", IF($D88="", $C88, $C88 + $D88/2))</f>
        <v/>
      </c>
      <c r="G88" s="6">
        <f>IF($E88="","", DEGREES(ATAN((INDEX(Calc!$E:$E, MATCH("KminusZ_m", Calc!$C:$C, 0)) - $E88 + $B88) / INDEX(Calc!$E:$E, MATCH("L_ramp_m", Calc!$C:$C, 0)))))</f>
        <v/>
      </c>
      <c r="H88" s="3">
        <f>IF($E88="","", IF(AND($E88&gt;=INDEX(Calc!$E:$E, MATCH("min_fwd_draft_m", Calc!$C:$C, 0)), $E88&lt;=INDEX(Calc!$E:$E, MATCH("max_fwd_draft_m", Calc!$C:$C, 0)), $G88&lt;=INDEX(Calc!$E:$E, MATCH("theta_max_deg", Calc!$C:$C, 0))), "OK", "CHECK"))</f>
        <v/>
      </c>
      <c r="I88" s="6">
        <f>IF($E88="","", INDEX(Calc!$E:$E, MATCH("D_vessel_m", Calc!$C:$C, 0)) - $E88 + $B88)</f>
        <v/>
      </c>
      <c r="J88" s="6">
        <f>IF($F88="","", INDEX(Calc!$E:$E, MATCH("D_vessel_m", Calc!$C:$C, 0)) - $F88 + $B88)</f>
        <v/>
      </c>
      <c r="K88" s="3">
        <f>IF(D88=0, "Even Keel", "")</f>
        <v/>
      </c>
    </row>
    <row r="89">
      <c r="A89" s="3">
        <f>IF(December_Tide_2025!A89="","",December_Tide_2025!A89)</f>
        <v/>
      </c>
      <c r="B89" s="6">
        <f>IF(December_Tide_2025!B89="","",December_Tide_2025!B89)</f>
        <v/>
      </c>
      <c r="C89" s="6">
        <f>IF($A89="","", INDEX(Calc!$E:$E, MATCH("KminusZ_m", Calc!$C:$C, 0)) + $B89 - INDEX(Calc!$E:$E, MATCH("L_ramp_m", Calc!$C:$C, 0)) * TAN(RADIANS(INDEX(Calc!$E:$E, MATCH("theta_max_deg", Calc!$C:$C, 0)))))</f>
        <v/>
      </c>
      <c r="D89" s="6" t="n"/>
      <c r="E89" s="6">
        <f>IF($C89="","", IF($D89="", $C89, $C89 - $D89/2))</f>
        <v/>
      </c>
      <c r="F89" s="6">
        <f>IF($C89="","", IF($D89="", $C89, $C89 + $D89/2))</f>
        <v/>
      </c>
      <c r="G89" s="6">
        <f>IF($E89="","", DEGREES(ATAN((INDEX(Calc!$E:$E, MATCH("KminusZ_m", Calc!$C:$C, 0)) - $E89 + $B89) / INDEX(Calc!$E:$E, MATCH("L_ramp_m", Calc!$C:$C, 0)))))</f>
        <v/>
      </c>
      <c r="H89" s="3">
        <f>IF($E89="","", IF(AND($E89&gt;=INDEX(Calc!$E:$E, MATCH("min_fwd_draft_m", Calc!$C:$C, 0)), $E89&lt;=INDEX(Calc!$E:$E, MATCH("max_fwd_draft_m", Calc!$C:$C, 0)), $G89&lt;=INDEX(Calc!$E:$E, MATCH("theta_max_deg", Calc!$C:$C, 0))), "OK", "CHECK"))</f>
        <v/>
      </c>
      <c r="I89" s="6">
        <f>IF($E89="","", INDEX(Calc!$E:$E, MATCH("D_vessel_m", Calc!$C:$C, 0)) - $E89 + $B89)</f>
        <v/>
      </c>
      <c r="J89" s="6">
        <f>IF($F89="","", INDEX(Calc!$E:$E, MATCH("D_vessel_m", Calc!$C:$C, 0)) - $F89 + $B89)</f>
        <v/>
      </c>
      <c r="K89" s="3">
        <f>IF(D89=0, "Even Keel", "")</f>
        <v/>
      </c>
    </row>
    <row r="90">
      <c r="A90" s="3">
        <f>IF(December_Tide_2025!A90="","",December_Tide_2025!A90)</f>
        <v/>
      </c>
      <c r="B90" s="6">
        <f>IF(December_Tide_2025!B90="","",December_Tide_2025!B90)</f>
        <v/>
      </c>
      <c r="C90" s="6">
        <f>IF($A90="","", INDEX(Calc!$E:$E, MATCH("KminusZ_m", Calc!$C:$C, 0)) + $B90 - INDEX(Calc!$E:$E, MATCH("L_ramp_m", Calc!$C:$C, 0)) * TAN(RADIANS(INDEX(Calc!$E:$E, MATCH("theta_max_deg", Calc!$C:$C, 0)))))</f>
        <v/>
      </c>
      <c r="D90" s="6" t="n"/>
      <c r="E90" s="6">
        <f>IF($C90="","", IF($D90="", $C90, $C90 - $D90/2))</f>
        <v/>
      </c>
      <c r="F90" s="6">
        <f>IF($C90="","", IF($D90="", $C90, $C90 + $D90/2))</f>
        <v/>
      </c>
      <c r="G90" s="6">
        <f>IF($E90="","", DEGREES(ATAN((INDEX(Calc!$E:$E, MATCH("KminusZ_m", Calc!$C:$C, 0)) - $E90 + $B90) / INDEX(Calc!$E:$E, MATCH("L_ramp_m", Calc!$C:$C, 0)))))</f>
        <v/>
      </c>
      <c r="H90" s="3">
        <f>IF($E90="","", IF(AND($E90&gt;=INDEX(Calc!$E:$E, MATCH("min_fwd_draft_m", Calc!$C:$C, 0)), $E90&lt;=INDEX(Calc!$E:$E, MATCH("max_fwd_draft_m", Calc!$C:$C, 0)), $G90&lt;=INDEX(Calc!$E:$E, MATCH("theta_max_deg", Calc!$C:$C, 0))), "OK", "CHECK"))</f>
        <v/>
      </c>
      <c r="I90" s="6">
        <f>IF($E90="","", INDEX(Calc!$E:$E, MATCH("D_vessel_m", Calc!$C:$C, 0)) - $E90 + $B90)</f>
        <v/>
      </c>
      <c r="J90" s="6">
        <f>IF($F90="","", INDEX(Calc!$E:$E, MATCH("D_vessel_m", Calc!$C:$C, 0)) - $F90 + $B90)</f>
        <v/>
      </c>
      <c r="K90" s="3">
        <f>IF(D90=0, "Even Keel", "")</f>
        <v/>
      </c>
    </row>
    <row r="91">
      <c r="A91" s="3">
        <f>IF(December_Tide_2025!A91="","",December_Tide_2025!A91)</f>
        <v/>
      </c>
      <c r="B91" s="6">
        <f>IF(December_Tide_2025!B91="","",December_Tide_2025!B91)</f>
        <v/>
      </c>
      <c r="C91" s="6">
        <f>IF($A91="","", INDEX(Calc!$E:$E, MATCH("KminusZ_m", Calc!$C:$C, 0)) + $B91 - INDEX(Calc!$E:$E, MATCH("L_ramp_m", Calc!$C:$C, 0)) * TAN(RADIANS(INDEX(Calc!$E:$E, MATCH("theta_max_deg", Calc!$C:$C, 0)))))</f>
        <v/>
      </c>
      <c r="D91" s="6" t="n"/>
      <c r="E91" s="6">
        <f>IF($C91="","", IF($D91="", $C91, $C91 - $D91/2))</f>
        <v/>
      </c>
      <c r="F91" s="6">
        <f>IF($C91="","", IF($D91="", $C91, $C91 + $D91/2))</f>
        <v/>
      </c>
      <c r="G91" s="6">
        <f>IF($E91="","", DEGREES(ATAN((INDEX(Calc!$E:$E, MATCH("KminusZ_m", Calc!$C:$C, 0)) - $E91 + $B91) / INDEX(Calc!$E:$E, MATCH("L_ramp_m", Calc!$C:$C, 0)))))</f>
        <v/>
      </c>
      <c r="H91" s="3">
        <f>IF($E91="","", IF(AND($E91&gt;=INDEX(Calc!$E:$E, MATCH("min_fwd_draft_m", Calc!$C:$C, 0)), $E91&lt;=INDEX(Calc!$E:$E, MATCH("max_fwd_draft_m", Calc!$C:$C, 0)), $G91&lt;=INDEX(Calc!$E:$E, MATCH("theta_max_deg", Calc!$C:$C, 0))), "OK", "CHECK"))</f>
        <v/>
      </c>
      <c r="I91" s="6">
        <f>IF($E91="","", INDEX(Calc!$E:$E, MATCH("D_vessel_m", Calc!$C:$C, 0)) - $E91 + $B91)</f>
        <v/>
      </c>
      <c r="J91" s="6">
        <f>IF($F91="","", INDEX(Calc!$E:$E, MATCH("D_vessel_m", Calc!$C:$C, 0)) - $F91 + $B91)</f>
        <v/>
      </c>
      <c r="K91" s="3">
        <f>IF(D91=0, "Even Keel", "")</f>
        <v/>
      </c>
    </row>
    <row r="92">
      <c r="A92" s="3">
        <f>IF(December_Tide_2025!A92="","",December_Tide_2025!A92)</f>
        <v/>
      </c>
      <c r="B92" s="6">
        <f>IF(December_Tide_2025!B92="","",December_Tide_2025!B92)</f>
        <v/>
      </c>
      <c r="C92" s="6">
        <f>IF($A92="","", INDEX(Calc!$E:$E, MATCH("KminusZ_m", Calc!$C:$C, 0)) + $B92 - INDEX(Calc!$E:$E, MATCH("L_ramp_m", Calc!$C:$C, 0)) * TAN(RADIANS(INDEX(Calc!$E:$E, MATCH("theta_max_deg", Calc!$C:$C, 0)))))</f>
        <v/>
      </c>
      <c r="D92" s="6" t="n"/>
      <c r="E92" s="6">
        <f>IF($C92="","", IF($D92="", $C92, $C92 - $D92/2))</f>
        <v/>
      </c>
      <c r="F92" s="6">
        <f>IF($C92="","", IF($D92="", $C92, $C92 + $D92/2))</f>
        <v/>
      </c>
      <c r="G92" s="6">
        <f>IF($E92="","", DEGREES(ATAN((INDEX(Calc!$E:$E, MATCH("KminusZ_m", Calc!$C:$C, 0)) - $E92 + $B92) / INDEX(Calc!$E:$E, MATCH("L_ramp_m", Calc!$C:$C, 0)))))</f>
        <v/>
      </c>
      <c r="H92" s="3">
        <f>IF($E92="","", IF(AND($E92&gt;=INDEX(Calc!$E:$E, MATCH("min_fwd_draft_m", Calc!$C:$C, 0)), $E92&lt;=INDEX(Calc!$E:$E, MATCH("max_fwd_draft_m", Calc!$C:$C, 0)), $G92&lt;=INDEX(Calc!$E:$E, MATCH("theta_max_deg", Calc!$C:$C, 0))), "OK", "CHECK"))</f>
        <v/>
      </c>
      <c r="I92" s="6">
        <f>IF($E92="","", INDEX(Calc!$E:$E, MATCH("D_vessel_m", Calc!$C:$C, 0)) - $E92 + $B92)</f>
        <v/>
      </c>
      <c r="J92" s="6">
        <f>IF($F92="","", INDEX(Calc!$E:$E, MATCH("D_vessel_m", Calc!$C:$C, 0)) - $F92 + $B92)</f>
        <v/>
      </c>
      <c r="K92" s="3">
        <f>IF(D92=0, "Even Keel", "")</f>
        <v/>
      </c>
    </row>
    <row r="93">
      <c r="A93" s="3">
        <f>IF(December_Tide_2025!A93="","",December_Tide_2025!A93)</f>
        <v/>
      </c>
      <c r="B93" s="6">
        <f>IF(December_Tide_2025!B93="","",December_Tide_2025!B93)</f>
        <v/>
      </c>
      <c r="C93" s="6">
        <f>IF($A93="","", INDEX(Calc!$E:$E, MATCH("KminusZ_m", Calc!$C:$C, 0)) + $B93 - INDEX(Calc!$E:$E, MATCH("L_ramp_m", Calc!$C:$C, 0)) * TAN(RADIANS(INDEX(Calc!$E:$E, MATCH("theta_max_deg", Calc!$C:$C, 0)))))</f>
        <v/>
      </c>
      <c r="D93" s="6" t="n"/>
      <c r="E93" s="6">
        <f>IF($C93="","", IF($D93="", $C93, $C93 - $D93/2))</f>
        <v/>
      </c>
      <c r="F93" s="6">
        <f>IF($C93="","", IF($D93="", $C93, $C93 + $D93/2))</f>
        <v/>
      </c>
      <c r="G93" s="6">
        <f>IF($E93="","", DEGREES(ATAN((INDEX(Calc!$E:$E, MATCH("KminusZ_m", Calc!$C:$C, 0)) - $E93 + $B93) / INDEX(Calc!$E:$E, MATCH("L_ramp_m", Calc!$C:$C, 0)))))</f>
        <v/>
      </c>
      <c r="H93" s="3">
        <f>IF($E93="","", IF(AND($E93&gt;=INDEX(Calc!$E:$E, MATCH("min_fwd_draft_m", Calc!$C:$C, 0)), $E93&lt;=INDEX(Calc!$E:$E, MATCH("max_fwd_draft_m", Calc!$C:$C, 0)), $G93&lt;=INDEX(Calc!$E:$E, MATCH("theta_max_deg", Calc!$C:$C, 0))), "OK", "CHECK"))</f>
        <v/>
      </c>
      <c r="I93" s="6">
        <f>IF($E93="","", INDEX(Calc!$E:$E, MATCH("D_vessel_m", Calc!$C:$C, 0)) - $E93 + $B93)</f>
        <v/>
      </c>
      <c r="J93" s="6">
        <f>IF($F93="","", INDEX(Calc!$E:$E, MATCH("D_vessel_m", Calc!$C:$C, 0)) - $F93 + $B93)</f>
        <v/>
      </c>
      <c r="K93" s="3">
        <f>IF(D93=0, "Even Keel", "")</f>
        <v/>
      </c>
    </row>
    <row r="94">
      <c r="A94" s="3">
        <f>IF(December_Tide_2025!A94="","",December_Tide_2025!A94)</f>
        <v/>
      </c>
      <c r="B94" s="6">
        <f>IF(December_Tide_2025!B94="","",December_Tide_2025!B94)</f>
        <v/>
      </c>
      <c r="C94" s="6">
        <f>IF($A94="","", INDEX(Calc!$E:$E, MATCH("KminusZ_m", Calc!$C:$C, 0)) + $B94 - INDEX(Calc!$E:$E, MATCH("L_ramp_m", Calc!$C:$C, 0)) * TAN(RADIANS(INDEX(Calc!$E:$E, MATCH("theta_max_deg", Calc!$C:$C, 0)))))</f>
        <v/>
      </c>
      <c r="D94" s="6" t="n"/>
      <c r="E94" s="6">
        <f>IF($C94="","", IF($D94="", $C94, $C94 - $D94/2))</f>
        <v/>
      </c>
      <c r="F94" s="6">
        <f>IF($C94="","", IF($D94="", $C94, $C94 + $D94/2))</f>
        <v/>
      </c>
      <c r="G94" s="6">
        <f>IF($E94="","", DEGREES(ATAN((INDEX(Calc!$E:$E, MATCH("KminusZ_m", Calc!$C:$C, 0)) - $E94 + $B94) / INDEX(Calc!$E:$E, MATCH("L_ramp_m", Calc!$C:$C, 0)))))</f>
        <v/>
      </c>
      <c r="H94" s="3">
        <f>IF($E94="","", IF(AND($E94&gt;=INDEX(Calc!$E:$E, MATCH("min_fwd_draft_m", Calc!$C:$C, 0)), $E94&lt;=INDEX(Calc!$E:$E, MATCH("max_fwd_draft_m", Calc!$C:$C, 0)), $G94&lt;=INDEX(Calc!$E:$E, MATCH("theta_max_deg", Calc!$C:$C, 0))), "OK", "CHECK"))</f>
        <v/>
      </c>
      <c r="I94" s="6">
        <f>IF($E94="","", INDEX(Calc!$E:$E, MATCH("D_vessel_m", Calc!$C:$C, 0)) - $E94 + $B94)</f>
        <v/>
      </c>
      <c r="J94" s="6">
        <f>IF($F94="","", INDEX(Calc!$E:$E, MATCH("D_vessel_m", Calc!$C:$C, 0)) - $F94 + $B94)</f>
        <v/>
      </c>
      <c r="K94" s="3">
        <f>IF(D94=0, "Even Keel", "")</f>
        <v/>
      </c>
    </row>
    <row r="95">
      <c r="A95" s="3">
        <f>IF(December_Tide_2025!A95="","",December_Tide_2025!A95)</f>
        <v/>
      </c>
      <c r="B95" s="6">
        <f>IF(December_Tide_2025!B95="","",December_Tide_2025!B95)</f>
        <v/>
      </c>
      <c r="C95" s="6">
        <f>IF($A95="","", INDEX(Calc!$E:$E, MATCH("KminusZ_m", Calc!$C:$C, 0)) + $B95 - INDEX(Calc!$E:$E, MATCH("L_ramp_m", Calc!$C:$C, 0)) * TAN(RADIANS(INDEX(Calc!$E:$E, MATCH("theta_max_deg", Calc!$C:$C, 0)))))</f>
        <v/>
      </c>
      <c r="D95" s="6" t="n"/>
      <c r="E95" s="6">
        <f>IF($C95="","", IF($D95="", $C95, $C95 - $D95/2))</f>
        <v/>
      </c>
      <c r="F95" s="6">
        <f>IF($C95="","", IF($D95="", $C95, $C95 + $D95/2))</f>
        <v/>
      </c>
      <c r="G95" s="6">
        <f>IF($E95="","", DEGREES(ATAN((INDEX(Calc!$E:$E, MATCH("KminusZ_m", Calc!$C:$C, 0)) - $E95 + $B95) / INDEX(Calc!$E:$E, MATCH("L_ramp_m", Calc!$C:$C, 0)))))</f>
        <v/>
      </c>
      <c r="H95" s="3">
        <f>IF($E95="","", IF(AND($E95&gt;=INDEX(Calc!$E:$E, MATCH("min_fwd_draft_m", Calc!$C:$C, 0)), $E95&lt;=INDEX(Calc!$E:$E, MATCH("max_fwd_draft_m", Calc!$C:$C, 0)), $G95&lt;=INDEX(Calc!$E:$E, MATCH("theta_max_deg", Calc!$C:$C, 0))), "OK", "CHECK"))</f>
        <v/>
      </c>
      <c r="I95" s="6">
        <f>IF($E95="","", INDEX(Calc!$E:$E, MATCH("D_vessel_m", Calc!$C:$C, 0)) - $E95 + $B95)</f>
        <v/>
      </c>
      <c r="J95" s="6">
        <f>IF($F95="","", INDEX(Calc!$E:$E, MATCH("D_vessel_m", Calc!$C:$C, 0)) - $F95 + $B95)</f>
        <v/>
      </c>
      <c r="K95" s="3">
        <f>IF(D95=0, "Even Keel", "")</f>
        <v/>
      </c>
    </row>
    <row r="96">
      <c r="A96" s="3">
        <f>IF(December_Tide_2025!A96="","",December_Tide_2025!A96)</f>
        <v/>
      </c>
      <c r="B96" s="6">
        <f>IF(December_Tide_2025!B96="","",December_Tide_2025!B96)</f>
        <v/>
      </c>
      <c r="C96" s="6">
        <f>IF($A96="","", INDEX(Calc!$E:$E, MATCH("KminusZ_m", Calc!$C:$C, 0)) + $B96 - INDEX(Calc!$E:$E, MATCH("L_ramp_m", Calc!$C:$C, 0)) * TAN(RADIANS(INDEX(Calc!$E:$E, MATCH("theta_max_deg", Calc!$C:$C, 0)))))</f>
        <v/>
      </c>
      <c r="D96" s="6" t="n"/>
      <c r="E96" s="6">
        <f>IF($C96="","", IF($D96="", $C96, $C96 - $D96/2))</f>
        <v/>
      </c>
      <c r="F96" s="6">
        <f>IF($C96="","", IF($D96="", $C96, $C96 + $D96/2))</f>
        <v/>
      </c>
      <c r="G96" s="6">
        <f>IF($E96="","", DEGREES(ATAN((INDEX(Calc!$E:$E, MATCH("KminusZ_m", Calc!$C:$C, 0)) - $E96 + $B96) / INDEX(Calc!$E:$E, MATCH("L_ramp_m", Calc!$C:$C, 0)))))</f>
        <v/>
      </c>
      <c r="H96" s="3">
        <f>IF($E96="","", IF(AND($E96&gt;=INDEX(Calc!$E:$E, MATCH("min_fwd_draft_m", Calc!$C:$C, 0)), $E96&lt;=INDEX(Calc!$E:$E, MATCH("max_fwd_draft_m", Calc!$C:$C, 0)), $G96&lt;=INDEX(Calc!$E:$E, MATCH("theta_max_deg", Calc!$C:$C, 0))), "OK", "CHECK"))</f>
        <v/>
      </c>
      <c r="I96" s="6">
        <f>IF($E96="","", INDEX(Calc!$E:$E, MATCH("D_vessel_m", Calc!$C:$C, 0)) - $E96 + $B96)</f>
        <v/>
      </c>
      <c r="J96" s="6">
        <f>IF($F96="","", INDEX(Calc!$E:$E, MATCH("D_vessel_m", Calc!$C:$C, 0)) - $F96 + $B96)</f>
        <v/>
      </c>
      <c r="K96" s="3">
        <f>IF(D96=0, "Even Keel", "")</f>
        <v/>
      </c>
    </row>
    <row r="97">
      <c r="A97" s="3">
        <f>IF(December_Tide_2025!A97="","",December_Tide_2025!A97)</f>
        <v/>
      </c>
      <c r="B97" s="6">
        <f>IF(December_Tide_2025!B97="","",December_Tide_2025!B97)</f>
        <v/>
      </c>
      <c r="C97" s="6">
        <f>IF($A97="","", INDEX(Calc!$E:$E, MATCH("KminusZ_m", Calc!$C:$C, 0)) + $B97 - INDEX(Calc!$E:$E, MATCH("L_ramp_m", Calc!$C:$C, 0)) * TAN(RADIANS(INDEX(Calc!$E:$E, MATCH("theta_max_deg", Calc!$C:$C, 0)))))</f>
        <v/>
      </c>
      <c r="D97" s="6" t="n"/>
      <c r="E97" s="6">
        <f>IF($C97="","", IF($D97="", $C97, $C97 - $D97/2))</f>
        <v/>
      </c>
      <c r="F97" s="6">
        <f>IF($C97="","", IF($D97="", $C97, $C97 + $D97/2))</f>
        <v/>
      </c>
      <c r="G97" s="6">
        <f>IF($E97="","", DEGREES(ATAN((INDEX(Calc!$E:$E, MATCH("KminusZ_m", Calc!$C:$C, 0)) - $E97 + $B97) / INDEX(Calc!$E:$E, MATCH("L_ramp_m", Calc!$C:$C, 0)))))</f>
        <v/>
      </c>
      <c r="H97" s="3">
        <f>IF($E97="","", IF(AND($E97&gt;=INDEX(Calc!$E:$E, MATCH("min_fwd_draft_m", Calc!$C:$C, 0)), $E97&lt;=INDEX(Calc!$E:$E, MATCH("max_fwd_draft_m", Calc!$C:$C, 0)), $G97&lt;=INDEX(Calc!$E:$E, MATCH("theta_max_deg", Calc!$C:$C, 0))), "OK", "CHECK"))</f>
        <v/>
      </c>
      <c r="I97" s="6">
        <f>IF($E97="","", INDEX(Calc!$E:$E, MATCH("D_vessel_m", Calc!$C:$C, 0)) - $E97 + $B97)</f>
        <v/>
      </c>
      <c r="J97" s="6">
        <f>IF($F97="","", INDEX(Calc!$E:$E, MATCH("D_vessel_m", Calc!$C:$C, 0)) - $F97 + $B97)</f>
        <v/>
      </c>
      <c r="K97" s="3">
        <f>IF(D97=0, "Even Keel", "")</f>
        <v/>
      </c>
    </row>
    <row r="98">
      <c r="A98" s="3">
        <f>IF(December_Tide_2025!A98="","",December_Tide_2025!A98)</f>
        <v/>
      </c>
      <c r="B98" s="6">
        <f>IF(December_Tide_2025!B98="","",December_Tide_2025!B98)</f>
        <v/>
      </c>
      <c r="C98" s="6">
        <f>IF($A98="","", INDEX(Calc!$E:$E, MATCH("KminusZ_m", Calc!$C:$C, 0)) + $B98 - INDEX(Calc!$E:$E, MATCH("L_ramp_m", Calc!$C:$C, 0)) * TAN(RADIANS(INDEX(Calc!$E:$E, MATCH("theta_max_deg", Calc!$C:$C, 0)))))</f>
        <v/>
      </c>
      <c r="D98" s="6" t="n"/>
      <c r="E98" s="6">
        <f>IF($C98="","", IF($D98="", $C98, $C98 - $D98/2))</f>
        <v/>
      </c>
      <c r="F98" s="6">
        <f>IF($C98="","", IF($D98="", $C98, $C98 + $D98/2))</f>
        <v/>
      </c>
      <c r="G98" s="6">
        <f>IF($E98="","", DEGREES(ATAN((INDEX(Calc!$E:$E, MATCH("KminusZ_m", Calc!$C:$C, 0)) - $E98 + $B98) / INDEX(Calc!$E:$E, MATCH("L_ramp_m", Calc!$C:$C, 0)))))</f>
        <v/>
      </c>
      <c r="H98" s="3">
        <f>IF($E98="","", IF(AND($E98&gt;=INDEX(Calc!$E:$E, MATCH("min_fwd_draft_m", Calc!$C:$C, 0)), $E98&lt;=INDEX(Calc!$E:$E, MATCH("max_fwd_draft_m", Calc!$C:$C, 0)), $G98&lt;=INDEX(Calc!$E:$E, MATCH("theta_max_deg", Calc!$C:$C, 0))), "OK", "CHECK"))</f>
        <v/>
      </c>
      <c r="I98" s="6">
        <f>IF($E98="","", INDEX(Calc!$E:$E, MATCH("D_vessel_m", Calc!$C:$C, 0)) - $E98 + $B98)</f>
        <v/>
      </c>
      <c r="J98" s="6">
        <f>IF($F98="","", INDEX(Calc!$E:$E, MATCH("D_vessel_m", Calc!$C:$C, 0)) - $F98 + $B98)</f>
        <v/>
      </c>
      <c r="K98" s="3">
        <f>IF(D98=0, "Even Keel", "")</f>
        <v/>
      </c>
    </row>
    <row r="99">
      <c r="A99" s="3">
        <f>IF(December_Tide_2025!A99="","",December_Tide_2025!A99)</f>
        <v/>
      </c>
      <c r="B99" s="6">
        <f>IF(December_Tide_2025!B99="","",December_Tide_2025!B99)</f>
        <v/>
      </c>
      <c r="C99" s="6">
        <f>IF($A99="","", INDEX(Calc!$E:$E, MATCH("KminusZ_m", Calc!$C:$C, 0)) + $B99 - INDEX(Calc!$E:$E, MATCH("L_ramp_m", Calc!$C:$C, 0)) * TAN(RADIANS(INDEX(Calc!$E:$E, MATCH("theta_max_deg", Calc!$C:$C, 0)))))</f>
        <v/>
      </c>
      <c r="D99" s="6" t="n"/>
      <c r="E99" s="6">
        <f>IF($C99="","", IF($D99="", $C99, $C99 - $D99/2))</f>
        <v/>
      </c>
      <c r="F99" s="6">
        <f>IF($C99="","", IF($D99="", $C99, $C99 + $D99/2))</f>
        <v/>
      </c>
      <c r="G99" s="6">
        <f>IF($E99="","", DEGREES(ATAN((INDEX(Calc!$E:$E, MATCH("KminusZ_m", Calc!$C:$C, 0)) - $E99 + $B99) / INDEX(Calc!$E:$E, MATCH("L_ramp_m", Calc!$C:$C, 0)))))</f>
        <v/>
      </c>
      <c r="H99" s="3">
        <f>IF($E99="","", IF(AND($E99&gt;=INDEX(Calc!$E:$E, MATCH("min_fwd_draft_m", Calc!$C:$C, 0)), $E99&lt;=INDEX(Calc!$E:$E, MATCH("max_fwd_draft_m", Calc!$C:$C, 0)), $G99&lt;=INDEX(Calc!$E:$E, MATCH("theta_max_deg", Calc!$C:$C, 0))), "OK", "CHECK"))</f>
        <v/>
      </c>
      <c r="I99" s="6">
        <f>IF($E99="","", INDEX(Calc!$E:$E, MATCH("D_vessel_m", Calc!$C:$C, 0)) - $E99 + $B99)</f>
        <v/>
      </c>
      <c r="J99" s="6">
        <f>IF($F99="","", INDEX(Calc!$E:$E, MATCH("D_vessel_m", Calc!$C:$C, 0)) - $F99 + $B99)</f>
        <v/>
      </c>
      <c r="K99" s="3">
        <f>IF(D99=0, "Even Keel", "")</f>
        <v/>
      </c>
    </row>
    <row r="100">
      <c r="A100" s="3">
        <f>IF(December_Tide_2025!A100="","",December_Tide_2025!A100)</f>
        <v/>
      </c>
      <c r="B100" s="6">
        <f>IF(December_Tide_2025!B100="","",December_Tide_2025!B100)</f>
        <v/>
      </c>
      <c r="C100" s="6">
        <f>IF($A100="","", INDEX(Calc!$E:$E, MATCH("KminusZ_m", Calc!$C:$C, 0)) + $B100 - INDEX(Calc!$E:$E, MATCH("L_ramp_m", Calc!$C:$C, 0)) * TAN(RADIANS(INDEX(Calc!$E:$E, MATCH("theta_max_deg", Calc!$C:$C, 0)))))</f>
        <v/>
      </c>
      <c r="D100" s="6" t="n"/>
      <c r="E100" s="6">
        <f>IF($C100="","", IF($D100="", $C100, $C100 - $D100/2))</f>
        <v/>
      </c>
      <c r="F100" s="6">
        <f>IF($C100="","", IF($D100="", $C100, $C100 + $D100/2))</f>
        <v/>
      </c>
      <c r="G100" s="6">
        <f>IF($E100="","", DEGREES(ATAN((INDEX(Calc!$E:$E, MATCH("KminusZ_m", Calc!$C:$C, 0)) - $E100 + $B100) / INDEX(Calc!$E:$E, MATCH("L_ramp_m", Calc!$C:$C, 0)))))</f>
        <v/>
      </c>
      <c r="H100" s="3">
        <f>IF($E100="","", IF(AND($E100&gt;=INDEX(Calc!$E:$E, MATCH("min_fwd_draft_m", Calc!$C:$C, 0)), $E100&lt;=INDEX(Calc!$E:$E, MATCH("max_fwd_draft_m", Calc!$C:$C, 0)), $G100&lt;=INDEX(Calc!$E:$E, MATCH("theta_max_deg", Calc!$C:$C, 0))), "OK", "CHECK"))</f>
        <v/>
      </c>
      <c r="I100" s="6">
        <f>IF($E100="","", INDEX(Calc!$E:$E, MATCH("D_vessel_m", Calc!$C:$C, 0)) - $E100 + $B100)</f>
        <v/>
      </c>
      <c r="J100" s="6">
        <f>IF($F100="","", INDEX(Calc!$E:$E, MATCH("D_vessel_m", Calc!$C:$C, 0)) - $F100 + $B100)</f>
        <v/>
      </c>
      <c r="K100" s="3">
        <f>IF(D100=0, "Even Keel", "")</f>
        <v/>
      </c>
    </row>
    <row r="101">
      <c r="A101" s="3">
        <f>IF(December_Tide_2025!A101="","",December_Tide_2025!A101)</f>
        <v/>
      </c>
      <c r="B101" s="6">
        <f>IF(December_Tide_2025!B101="","",December_Tide_2025!B101)</f>
        <v/>
      </c>
      <c r="C101" s="6">
        <f>IF($A101="","", INDEX(Calc!$E:$E, MATCH("KminusZ_m", Calc!$C:$C, 0)) + $B101 - INDEX(Calc!$E:$E, MATCH("L_ramp_m", Calc!$C:$C, 0)) * TAN(RADIANS(INDEX(Calc!$E:$E, MATCH("theta_max_deg", Calc!$C:$C, 0)))))</f>
        <v/>
      </c>
      <c r="D101" s="6" t="n"/>
      <c r="E101" s="6">
        <f>IF($C101="","", IF($D101="", $C101, $C101 - $D101/2))</f>
        <v/>
      </c>
      <c r="F101" s="6">
        <f>IF($C101="","", IF($D101="", $C101, $C101 + $D101/2))</f>
        <v/>
      </c>
      <c r="G101" s="6">
        <f>IF($E101="","", DEGREES(ATAN((INDEX(Calc!$E:$E, MATCH("KminusZ_m", Calc!$C:$C, 0)) - $E101 + $B101) / INDEX(Calc!$E:$E, MATCH("L_ramp_m", Calc!$C:$C, 0)))))</f>
        <v/>
      </c>
      <c r="H101" s="3">
        <f>IF($E101="","", IF(AND($E101&gt;=INDEX(Calc!$E:$E, MATCH("min_fwd_draft_m", Calc!$C:$C, 0)), $E101&lt;=INDEX(Calc!$E:$E, MATCH("max_fwd_draft_m", Calc!$C:$C, 0)), $G101&lt;=INDEX(Calc!$E:$E, MATCH("theta_max_deg", Calc!$C:$C, 0))), "OK", "CHECK"))</f>
        <v/>
      </c>
      <c r="I101" s="6">
        <f>IF($E101="","", INDEX(Calc!$E:$E, MATCH("D_vessel_m", Calc!$C:$C, 0)) - $E101 + $B101)</f>
        <v/>
      </c>
      <c r="J101" s="6">
        <f>IF($F101="","", INDEX(Calc!$E:$E, MATCH("D_vessel_m", Calc!$C:$C, 0)) - $F101 + $B101)</f>
        <v/>
      </c>
      <c r="K101" s="3">
        <f>IF(D101=0, "Even Keel", "")</f>
        <v/>
      </c>
    </row>
    <row r="102">
      <c r="A102" s="3">
        <f>IF(December_Tide_2025!A102="","",December_Tide_2025!A102)</f>
        <v/>
      </c>
      <c r="B102" s="6">
        <f>IF(December_Tide_2025!B102="","",December_Tide_2025!B102)</f>
        <v/>
      </c>
      <c r="C102" s="6">
        <f>IF($A102="","", INDEX(Calc!$E:$E, MATCH("KminusZ_m", Calc!$C:$C, 0)) + $B102 - INDEX(Calc!$E:$E, MATCH("L_ramp_m", Calc!$C:$C, 0)) * TAN(RADIANS(INDEX(Calc!$E:$E, MATCH("theta_max_deg", Calc!$C:$C, 0)))))</f>
        <v/>
      </c>
      <c r="D102" s="6" t="n"/>
      <c r="E102" s="6">
        <f>IF($C102="","", IF($D102="", $C102, $C102 - $D102/2))</f>
        <v/>
      </c>
      <c r="F102" s="6">
        <f>IF($C102="","", IF($D102="", $C102, $C102 + $D102/2))</f>
        <v/>
      </c>
      <c r="G102" s="6">
        <f>IF($E102="","", DEGREES(ATAN((INDEX(Calc!$E:$E, MATCH("KminusZ_m", Calc!$C:$C, 0)) - $E102 + $B102) / INDEX(Calc!$E:$E, MATCH("L_ramp_m", Calc!$C:$C, 0)))))</f>
        <v/>
      </c>
      <c r="H102" s="3">
        <f>IF($E102="","", IF(AND($E102&gt;=INDEX(Calc!$E:$E, MATCH("min_fwd_draft_m", Calc!$C:$C, 0)), $E102&lt;=INDEX(Calc!$E:$E, MATCH("max_fwd_draft_m", Calc!$C:$C, 0)), $G102&lt;=INDEX(Calc!$E:$E, MATCH("theta_max_deg", Calc!$C:$C, 0))), "OK", "CHECK"))</f>
        <v/>
      </c>
      <c r="I102" s="6">
        <f>IF($E102="","", INDEX(Calc!$E:$E, MATCH("D_vessel_m", Calc!$C:$C, 0)) - $E102 + $B102)</f>
        <v/>
      </c>
      <c r="J102" s="6">
        <f>IF($F102="","", INDEX(Calc!$E:$E, MATCH("D_vessel_m", Calc!$C:$C, 0)) - $F102 + $B102)</f>
        <v/>
      </c>
      <c r="K102" s="3">
        <f>IF(D102=0, "Even Keel", "")</f>
        <v/>
      </c>
    </row>
    <row r="103">
      <c r="A103" s="3">
        <f>IF(December_Tide_2025!A103="","",December_Tide_2025!A103)</f>
        <v/>
      </c>
      <c r="B103" s="6">
        <f>IF(December_Tide_2025!B103="","",December_Tide_2025!B103)</f>
        <v/>
      </c>
      <c r="C103" s="6">
        <f>IF($A103="","", INDEX(Calc!$E:$E, MATCH("KminusZ_m", Calc!$C:$C, 0)) + $B103 - INDEX(Calc!$E:$E, MATCH("L_ramp_m", Calc!$C:$C, 0)) * TAN(RADIANS(INDEX(Calc!$E:$E, MATCH("theta_max_deg", Calc!$C:$C, 0)))))</f>
        <v/>
      </c>
      <c r="D103" s="6" t="n"/>
      <c r="E103" s="6">
        <f>IF($C103="","", IF($D103="", $C103, $C103 - $D103/2))</f>
        <v/>
      </c>
      <c r="F103" s="6">
        <f>IF($C103="","", IF($D103="", $C103, $C103 + $D103/2))</f>
        <v/>
      </c>
      <c r="G103" s="6">
        <f>IF($E103="","", DEGREES(ATAN((INDEX(Calc!$E:$E, MATCH("KminusZ_m", Calc!$C:$C, 0)) - $E103 + $B103) / INDEX(Calc!$E:$E, MATCH("L_ramp_m", Calc!$C:$C, 0)))))</f>
        <v/>
      </c>
      <c r="H103" s="3">
        <f>IF($E103="","", IF(AND($E103&gt;=INDEX(Calc!$E:$E, MATCH("min_fwd_draft_m", Calc!$C:$C, 0)), $E103&lt;=INDEX(Calc!$E:$E, MATCH("max_fwd_draft_m", Calc!$C:$C, 0)), $G103&lt;=INDEX(Calc!$E:$E, MATCH("theta_max_deg", Calc!$C:$C, 0))), "OK", "CHECK"))</f>
        <v/>
      </c>
      <c r="I103" s="6">
        <f>IF($E103="","", INDEX(Calc!$E:$E, MATCH("D_vessel_m", Calc!$C:$C, 0)) - $E103 + $B103)</f>
        <v/>
      </c>
      <c r="J103" s="6">
        <f>IF($F103="","", INDEX(Calc!$E:$E, MATCH("D_vessel_m", Calc!$C:$C, 0)) - $F103 + $B103)</f>
        <v/>
      </c>
      <c r="K103" s="3">
        <f>IF(D103=0, "Even Keel", "")</f>
        <v/>
      </c>
    </row>
    <row r="104">
      <c r="A104" s="3">
        <f>IF(December_Tide_2025!A104="","",December_Tide_2025!A104)</f>
        <v/>
      </c>
      <c r="B104" s="6">
        <f>IF(December_Tide_2025!B104="","",December_Tide_2025!B104)</f>
        <v/>
      </c>
      <c r="C104" s="6">
        <f>IF($A104="","", INDEX(Calc!$E:$E, MATCH("KminusZ_m", Calc!$C:$C, 0)) + $B104 - INDEX(Calc!$E:$E, MATCH("L_ramp_m", Calc!$C:$C, 0)) * TAN(RADIANS(INDEX(Calc!$E:$E, MATCH("theta_max_deg", Calc!$C:$C, 0)))))</f>
        <v/>
      </c>
      <c r="D104" s="6" t="n"/>
      <c r="E104" s="6">
        <f>IF($C104="","", IF($D104="", $C104, $C104 - $D104/2))</f>
        <v/>
      </c>
      <c r="F104" s="6">
        <f>IF($C104="","", IF($D104="", $C104, $C104 + $D104/2))</f>
        <v/>
      </c>
      <c r="G104" s="6">
        <f>IF($E104="","", DEGREES(ATAN((INDEX(Calc!$E:$E, MATCH("KminusZ_m", Calc!$C:$C, 0)) - $E104 + $B104) / INDEX(Calc!$E:$E, MATCH("L_ramp_m", Calc!$C:$C, 0)))))</f>
        <v/>
      </c>
      <c r="H104" s="3">
        <f>IF($E104="","", IF(AND($E104&gt;=INDEX(Calc!$E:$E, MATCH("min_fwd_draft_m", Calc!$C:$C, 0)), $E104&lt;=INDEX(Calc!$E:$E, MATCH("max_fwd_draft_m", Calc!$C:$C, 0)), $G104&lt;=INDEX(Calc!$E:$E, MATCH("theta_max_deg", Calc!$C:$C, 0))), "OK", "CHECK"))</f>
        <v/>
      </c>
      <c r="I104" s="6">
        <f>IF($E104="","", INDEX(Calc!$E:$E, MATCH("D_vessel_m", Calc!$C:$C, 0)) - $E104 + $B104)</f>
        <v/>
      </c>
      <c r="J104" s="6">
        <f>IF($F104="","", INDEX(Calc!$E:$E, MATCH("D_vessel_m", Calc!$C:$C, 0)) - $F104 + $B104)</f>
        <v/>
      </c>
      <c r="K104" s="3">
        <f>IF(D104=0, "Even Keel", "")</f>
        <v/>
      </c>
    </row>
    <row r="105">
      <c r="A105" s="3">
        <f>IF(December_Tide_2025!A105="","",December_Tide_2025!A105)</f>
        <v/>
      </c>
      <c r="B105" s="6">
        <f>IF(December_Tide_2025!B105="","",December_Tide_2025!B105)</f>
        <v/>
      </c>
      <c r="C105" s="6">
        <f>IF($A105="","", INDEX(Calc!$E:$E, MATCH("KminusZ_m", Calc!$C:$C, 0)) + $B105 - INDEX(Calc!$E:$E, MATCH("L_ramp_m", Calc!$C:$C, 0)) * TAN(RADIANS(INDEX(Calc!$E:$E, MATCH("theta_max_deg", Calc!$C:$C, 0)))))</f>
        <v/>
      </c>
      <c r="D105" s="6" t="n"/>
      <c r="E105" s="6">
        <f>IF($C105="","", IF($D105="", $C105, $C105 - $D105/2))</f>
        <v/>
      </c>
      <c r="F105" s="6">
        <f>IF($C105="","", IF($D105="", $C105, $C105 + $D105/2))</f>
        <v/>
      </c>
      <c r="G105" s="6">
        <f>IF($E105="","", DEGREES(ATAN((INDEX(Calc!$E:$E, MATCH("KminusZ_m", Calc!$C:$C, 0)) - $E105 + $B105) / INDEX(Calc!$E:$E, MATCH("L_ramp_m", Calc!$C:$C, 0)))))</f>
        <v/>
      </c>
      <c r="H105" s="3">
        <f>IF($E105="","", IF(AND($E105&gt;=INDEX(Calc!$E:$E, MATCH("min_fwd_draft_m", Calc!$C:$C, 0)), $E105&lt;=INDEX(Calc!$E:$E, MATCH("max_fwd_draft_m", Calc!$C:$C, 0)), $G105&lt;=INDEX(Calc!$E:$E, MATCH("theta_max_deg", Calc!$C:$C, 0))), "OK", "CHECK"))</f>
        <v/>
      </c>
      <c r="I105" s="6">
        <f>IF($E105="","", INDEX(Calc!$E:$E, MATCH("D_vessel_m", Calc!$C:$C, 0)) - $E105 + $B105)</f>
        <v/>
      </c>
      <c r="J105" s="6">
        <f>IF($F105="","", INDEX(Calc!$E:$E, MATCH("D_vessel_m", Calc!$C:$C, 0)) - $F105 + $B105)</f>
        <v/>
      </c>
      <c r="K105" s="3">
        <f>IF(D105=0, "Even Keel", "")</f>
        <v/>
      </c>
    </row>
    <row r="106">
      <c r="A106" s="3">
        <f>IF(December_Tide_2025!A106="","",December_Tide_2025!A106)</f>
        <v/>
      </c>
      <c r="B106" s="6">
        <f>IF(December_Tide_2025!B106="","",December_Tide_2025!B106)</f>
        <v/>
      </c>
      <c r="C106" s="6">
        <f>IF($A106="","", INDEX(Calc!$E:$E, MATCH("KminusZ_m", Calc!$C:$C, 0)) + $B106 - INDEX(Calc!$E:$E, MATCH("L_ramp_m", Calc!$C:$C, 0)) * TAN(RADIANS(INDEX(Calc!$E:$E, MATCH("theta_max_deg", Calc!$C:$C, 0)))))</f>
        <v/>
      </c>
      <c r="D106" s="6" t="n"/>
      <c r="E106" s="6">
        <f>IF($C106="","", IF($D106="", $C106, $C106 - $D106/2))</f>
        <v/>
      </c>
      <c r="F106" s="6">
        <f>IF($C106="","", IF($D106="", $C106, $C106 + $D106/2))</f>
        <v/>
      </c>
      <c r="G106" s="6">
        <f>IF($E106="","", DEGREES(ATAN((INDEX(Calc!$E:$E, MATCH("KminusZ_m", Calc!$C:$C, 0)) - $E106 + $B106) / INDEX(Calc!$E:$E, MATCH("L_ramp_m", Calc!$C:$C, 0)))))</f>
        <v/>
      </c>
      <c r="H106" s="3">
        <f>IF($E106="","", IF(AND($E106&gt;=INDEX(Calc!$E:$E, MATCH("min_fwd_draft_m", Calc!$C:$C, 0)), $E106&lt;=INDEX(Calc!$E:$E, MATCH("max_fwd_draft_m", Calc!$C:$C, 0)), $G106&lt;=INDEX(Calc!$E:$E, MATCH("theta_max_deg", Calc!$C:$C, 0))), "OK", "CHECK"))</f>
        <v/>
      </c>
      <c r="I106" s="6">
        <f>IF($E106="","", INDEX(Calc!$E:$E, MATCH("D_vessel_m", Calc!$C:$C, 0)) - $E106 + $B106)</f>
        <v/>
      </c>
      <c r="J106" s="6">
        <f>IF($F106="","", INDEX(Calc!$E:$E, MATCH("D_vessel_m", Calc!$C:$C, 0)) - $F106 + $B106)</f>
        <v/>
      </c>
      <c r="K106" s="3">
        <f>IF(D106=0, "Even Keel", "")</f>
        <v/>
      </c>
    </row>
    <row r="107">
      <c r="A107" s="3">
        <f>IF(December_Tide_2025!A107="","",December_Tide_2025!A107)</f>
        <v/>
      </c>
      <c r="B107" s="6">
        <f>IF(December_Tide_2025!B107="","",December_Tide_2025!B107)</f>
        <v/>
      </c>
      <c r="C107" s="6">
        <f>IF($A107="","", INDEX(Calc!$E:$E, MATCH("KminusZ_m", Calc!$C:$C, 0)) + $B107 - INDEX(Calc!$E:$E, MATCH("L_ramp_m", Calc!$C:$C, 0)) * TAN(RADIANS(INDEX(Calc!$E:$E, MATCH("theta_max_deg", Calc!$C:$C, 0)))))</f>
        <v/>
      </c>
      <c r="D107" s="6" t="n"/>
      <c r="E107" s="6">
        <f>IF($C107="","", IF($D107="", $C107, $C107 - $D107/2))</f>
        <v/>
      </c>
      <c r="F107" s="6">
        <f>IF($C107="","", IF($D107="", $C107, $C107 + $D107/2))</f>
        <v/>
      </c>
      <c r="G107" s="6">
        <f>IF($E107="","", DEGREES(ATAN((INDEX(Calc!$E:$E, MATCH("KminusZ_m", Calc!$C:$C, 0)) - $E107 + $B107) / INDEX(Calc!$E:$E, MATCH("L_ramp_m", Calc!$C:$C, 0)))))</f>
        <v/>
      </c>
      <c r="H107" s="3">
        <f>IF($E107="","", IF(AND($E107&gt;=INDEX(Calc!$E:$E, MATCH("min_fwd_draft_m", Calc!$C:$C, 0)), $E107&lt;=INDEX(Calc!$E:$E, MATCH("max_fwd_draft_m", Calc!$C:$C, 0)), $G107&lt;=INDEX(Calc!$E:$E, MATCH("theta_max_deg", Calc!$C:$C, 0))), "OK", "CHECK"))</f>
        <v/>
      </c>
      <c r="I107" s="6">
        <f>IF($E107="","", INDEX(Calc!$E:$E, MATCH("D_vessel_m", Calc!$C:$C, 0)) - $E107 + $B107)</f>
        <v/>
      </c>
      <c r="J107" s="6">
        <f>IF($F107="","", INDEX(Calc!$E:$E, MATCH("D_vessel_m", Calc!$C:$C, 0)) - $F107 + $B107)</f>
        <v/>
      </c>
      <c r="K107" s="3">
        <f>IF(D107=0, "Even Keel", "")</f>
        <v/>
      </c>
    </row>
    <row r="108">
      <c r="A108" s="3">
        <f>IF(December_Tide_2025!A108="","",December_Tide_2025!A108)</f>
        <v/>
      </c>
      <c r="B108" s="6">
        <f>IF(December_Tide_2025!B108="","",December_Tide_2025!B108)</f>
        <v/>
      </c>
      <c r="C108" s="6">
        <f>IF($A108="","", INDEX(Calc!$E:$E, MATCH("KminusZ_m", Calc!$C:$C, 0)) + $B108 - INDEX(Calc!$E:$E, MATCH("L_ramp_m", Calc!$C:$C, 0)) * TAN(RADIANS(INDEX(Calc!$E:$E, MATCH("theta_max_deg", Calc!$C:$C, 0)))))</f>
        <v/>
      </c>
      <c r="D108" s="6" t="n"/>
      <c r="E108" s="6">
        <f>IF($C108="","", IF($D108="", $C108, $C108 - $D108/2))</f>
        <v/>
      </c>
      <c r="F108" s="6">
        <f>IF($C108="","", IF($D108="", $C108, $C108 + $D108/2))</f>
        <v/>
      </c>
      <c r="G108" s="6">
        <f>IF($E108="","", DEGREES(ATAN((INDEX(Calc!$E:$E, MATCH("KminusZ_m", Calc!$C:$C, 0)) - $E108 + $B108) / INDEX(Calc!$E:$E, MATCH("L_ramp_m", Calc!$C:$C, 0)))))</f>
        <v/>
      </c>
      <c r="H108" s="3">
        <f>IF($E108="","", IF(AND($E108&gt;=INDEX(Calc!$E:$E, MATCH("min_fwd_draft_m", Calc!$C:$C, 0)), $E108&lt;=INDEX(Calc!$E:$E, MATCH("max_fwd_draft_m", Calc!$C:$C, 0)), $G108&lt;=INDEX(Calc!$E:$E, MATCH("theta_max_deg", Calc!$C:$C, 0))), "OK", "CHECK"))</f>
        <v/>
      </c>
      <c r="I108" s="6">
        <f>IF($E108="","", INDEX(Calc!$E:$E, MATCH("D_vessel_m", Calc!$C:$C, 0)) - $E108 + $B108)</f>
        <v/>
      </c>
      <c r="J108" s="6">
        <f>IF($F108="","", INDEX(Calc!$E:$E, MATCH("D_vessel_m", Calc!$C:$C, 0)) - $F108 + $B108)</f>
        <v/>
      </c>
      <c r="K108" s="3">
        <f>IF(D108=0, "Even Keel", "")</f>
        <v/>
      </c>
    </row>
    <row r="109">
      <c r="A109" s="3">
        <f>IF(December_Tide_2025!A109="","",December_Tide_2025!A109)</f>
        <v/>
      </c>
      <c r="B109" s="6">
        <f>IF(December_Tide_2025!B109="","",December_Tide_2025!B109)</f>
        <v/>
      </c>
      <c r="C109" s="6">
        <f>IF($A109="","", INDEX(Calc!$E:$E, MATCH("KminusZ_m", Calc!$C:$C, 0)) + $B109 - INDEX(Calc!$E:$E, MATCH("L_ramp_m", Calc!$C:$C, 0)) * TAN(RADIANS(INDEX(Calc!$E:$E, MATCH("theta_max_deg", Calc!$C:$C, 0)))))</f>
        <v/>
      </c>
      <c r="D109" s="6" t="n"/>
      <c r="E109" s="6">
        <f>IF($C109="","", IF($D109="", $C109, $C109 - $D109/2))</f>
        <v/>
      </c>
      <c r="F109" s="6">
        <f>IF($C109="","", IF($D109="", $C109, $C109 + $D109/2))</f>
        <v/>
      </c>
      <c r="G109" s="6">
        <f>IF($E109="","", DEGREES(ATAN((INDEX(Calc!$E:$E, MATCH("KminusZ_m", Calc!$C:$C, 0)) - $E109 + $B109) / INDEX(Calc!$E:$E, MATCH("L_ramp_m", Calc!$C:$C, 0)))))</f>
        <v/>
      </c>
      <c r="H109" s="3">
        <f>IF($E109="","", IF(AND($E109&gt;=INDEX(Calc!$E:$E, MATCH("min_fwd_draft_m", Calc!$C:$C, 0)), $E109&lt;=INDEX(Calc!$E:$E, MATCH("max_fwd_draft_m", Calc!$C:$C, 0)), $G109&lt;=INDEX(Calc!$E:$E, MATCH("theta_max_deg", Calc!$C:$C, 0))), "OK", "CHECK"))</f>
        <v/>
      </c>
      <c r="I109" s="6">
        <f>IF($E109="","", INDEX(Calc!$E:$E, MATCH("D_vessel_m", Calc!$C:$C, 0)) - $E109 + $B109)</f>
        <v/>
      </c>
      <c r="J109" s="6">
        <f>IF($F109="","", INDEX(Calc!$E:$E, MATCH("D_vessel_m", Calc!$C:$C, 0)) - $F109 + $B109)</f>
        <v/>
      </c>
      <c r="K109" s="3">
        <f>IF(D109=0, "Even Keel", "")</f>
        <v/>
      </c>
    </row>
    <row r="110">
      <c r="A110" s="3">
        <f>IF(December_Tide_2025!A110="","",December_Tide_2025!A110)</f>
        <v/>
      </c>
      <c r="B110" s="6">
        <f>IF(December_Tide_2025!B110="","",December_Tide_2025!B110)</f>
        <v/>
      </c>
      <c r="C110" s="6">
        <f>IF($A110="","", INDEX(Calc!$E:$E, MATCH("KminusZ_m", Calc!$C:$C, 0)) + $B110 - INDEX(Calc!$E:$E, MATCH("L_ramp_m", Calc!$C:$C, 0)) * TAN(RADIANS(INDEX(Calc!$E:$E, MATCH("theta_max_deg", Calc!$C:$C, 0)))))</f>
        <v/>
      </c>
      <c r="D110" s="6" t="n"/>
      <c r="E110" s="6">
        <f>IF($C110="","", IF($D110="", $C110, $C110 - $D110/2))</f>
        <v/>
      </c>
      <c r="F110" s="6">
        <f>IF($C110="","", IF($D110="", $C110, $C110 + $D110/2))</f>
        <v/>
      </c>
      <c r="G110" s="6">
        <f>IF($E110="","", DEGREES(ATAN((INDEX(Calc!$E:$E, MATCH("KminusZ_m", Calc!$C:$C, 0)) - $E110 + $B110) / INDEX(Calc!$E:$E, MATCH("L_ramp_m", Calc!$C:$C, 0)))))</f>
        <v/>
      </c>
      <c r="H110" s="3">
        <f>IF($E110="","", IF(AND($E110&gt;=INDEX(Calc!$E:$E, MATCH("min_fwd_draft_m", Calc!$C:$C, 0)), $E110&lt;=INDEX(Calc!$E:$E, MATCH("max_fwd_draft_m", Calc!$C:$C, 0)), $G110&lt;=INDEX(Calc!$E:$E, MATCH("theta_max_deg", Calc!$C:$C, 0))), "OK", "CHECK"))</f>
        <v/>
      </c>
      <c r="I110" s="6">
        <f>IF($E110="","", INDEX(Calc!$E:$E, MATCH("D_vessel_m", Calc!$C:$C, 0)) - $E110 + $B110)</f>
        <v/>
      </c>
      <c r="J110" s="6">
        <f>IF($F110="","", INDEX(Calc!$E:$E, MATCH("D_vessel_m", Calc!$C:$C, 0)) - $F110 + $B110)</f>
        <v/>
      </c>
      <c r="K110" s="3">
        <f>IF(D110=0, "Even Keel", "")</f>
        <v/>
      </c>
    </row>
    <row r="111">
      <c r="A111" s="3">
        <f>IF(December_Tide_2025!A111="","",December_Tide_2025!A111)</f>
        <v/>
      </c>
      <c r="B111" s="6">
        <f>IF(December_Tide_2025!B111="","",December_Tide_2025!B111)</f>
        <v/>
      </c>
      <c r="C111" s="6">
        <f>IF($A111="","", INDEX(Calc!$E:$E, MATCH("KminusZ_m", Calc!$C:$C, 0)) + $B111 - INDEX(Calc!$E:$E, MATCH("L_ramp_m", Calc!$C:$C, 0)) * TAN(RADIANS(INDEX(Calc!$E:$E, MATCH("theta_max_deg", Calc!$C:$C, 0)))))</f>
        <v/>
      </c>
      <c r="D111" s="6" t="n"/>
      <c r="E111" s="6">
        <f>IF($C111="","", IF($D111="", $C111, $C111 - $D111/2))</f>
        <v/>
      </c>
      <c r="F111" s="6">
        <f>IF($C111="","", IF($D111="", $C111, $C111 + $D111/2))</f>
        <v/>
      </c>
      <c r="G111" s="6">
        <f>IF($E111="","", DEGREES(ATAN((INDEX(Calc!$E:$E, MATCH("KminusZ_m", Calc!$C:$C, 0)) - $E111 + $B111) / INDEX(Calc!$E:$E, MATCH("L_ramp_m", Calc!$C:$C, 0)))))</f>
        <v/>
      </c>
      <c r="H111" s="3">
        <f>IF($E111="","", IF(AND($E111&gt;=INDEX(Calc!$E:$E, MATCH("min_fwd_draft_m", Calc!$C:$C, 0)), $E111&lt;=INDEX(Calc!$E:$E, MATCH("max_fwd_draft_m", Calc!$C:$C, 0)), $G111&lt;=INDEX(Calc!$E:$E, MATCH("theta_max_deg", Calc!$C:$C, 0))), "OK", "CHECK"))</f>
        <v/>
      </c>
      <c r="I111" s="6">
        <f>IF($E111="","", INDEX(Calc!$E:$E, MATCH("D_vessel_m", Calc!$C:$C, 0)) - $E111 + $B111)</f>
        <v/>
      </c>
      <c r="J111" s="6">
        <f>IF($F111="","", INDEX(Calc!$E:$E, MATCH("D_vessel_m", Calc!$C:$C, 0)) - $F111 + $B111)</f>
        <v/>
      </c>
      <c r="K111" s="3">
        <f>IF(D111=0, "Even Keel", "")</f>
        <v/>
      </c>
    </row>
    <row r="112">
      <c r="A112" s="3">
        <f>IF(December_Tide_2025!A112="","",December_Tide_2025!A112)</f>
        <v/>
      </c>
      <c r="B112" s="6">
        <f>IF(December_Tide_2025!B112="","",December_Tide_2025!B112)</f>
        <v/>
      </c>
      <c r="C112" s="6">
        <f>IF($A112="","", INDEX(Calc!$E:$E, MATCH("KminusZ_m", Calc!$C:$C, 0)) + $B112 - INDEX(Calc!$E:$E, MATCH("L_ramp_m", Calc!$C:$C, 0)) * TAN(RADIANS(INDEX(Calc!$E:$E, MATCH("theta_max_deg", Calc!$C:$C, 0)))))</f>
        <v/>
      </c>
      <c r="D112" s="6" t="n"/>
      <c r="E112" s="6">
        <f>IF($C112="","", IF($D112="", $C112, $C112 - $D112/2))</f>
        <v/>
      </c>
      <c r="F112" s="6">
        <f>IF($C112="","", IF($D112="", $C112, $C112 + $D112/2))</f>
        <v/>
      </c>
      <c r="G112" s="6">
        <f>IF($E112="","", DEGREES(ATAN((INDEX(Calc!$E:$E, MATCH("KminusZ_m", Calc!$C:$C, 0)) - $E112 + $B112) / INDEX(Calc!$E:$E, MATCH("L_ramp_m", Calc!$C:$C, 0)))))</f>
        <v/>
      </c>
      <c r="H112" s="3">
        <f>IF($E112="","", IF(AND($E112&gt;=INDEX(Calc!$E:$E, MATCH("min_fwd_draft_m", Calc!$C:$C, 0)), $E112&lt;=INDEX(Calc!$E:$E, MATCH("max_fwd_draft_m", Calc!$C:$C, 0)), $G112&lt;=INDEX(Calc!$E:$E, MATCH("theta_max_deg", Calc!$C:$C, 0))), "OK", "CHECK"))</f>
        <v/>
      </c>
      <c r="I112" s="6">
        <f>IF($E112="","", INDEX(Calc!$E:$E, MATCH("D_vessel_m", Calc!$C:$C, 0)) - $E112 + $B112)</f>
        <v/>
      </c>
      <c r="J112" s="6">
        <f>IF($F112="","", INDEX(Calc!$E:$E, MATCH("D_vessel_m", Calc!$C:$C, 0)) - $F112 + $B112)</f>
        <v/>
      </c>
      <c r="K112" s="3">
        <f>IF(D112=0, "Even Keel", "")</f>
        <v/>
      </c>
    </row>
    <row r="113">
      <c r="A113" s="3">
        <f>IF(December_Tide_2025!A113="","",December_Tide_2025!A113)</f>
        <v/>
      </c>
      <c r="B113" s="6">
        <f>IF(December_Tide_2025!B113="","",December_Tide_2025!B113)</f>
        <v/>
      </c>
      <c r="C113" s="6">
        <f>IF($A113="","", INDEX(Calc!$E:$E, MATCH("KminusZ_m", Calc!$C:$C, 0)) + $B113 - INDEX(Calc!$E:$E, MATCH("L_ramp_m", Calc!$C:$C, 0)) * TAN(RADIANS(INDEX(Calc!$E:$E, MATCH("theta_max_deg", Calc!$C:$C, 0)))))</f>
        <v/>
      </c>
      <c r="D113" s="6" t="n"/>
      <c r="E113" s="6">
        <f>IF($C113="","", IF($D113="", $C113, $C113 - $D113/2))</f>
        <v/>
      </c>
      <c r="F113" s="6">
        <f>IF($C113="","", IF($D113="", $C113, $C113 + $D113/2))</f>
        <v/>
      </c>
      <c r="G113" s="6">
        <f>IF($E113="","", DEGREES(ATAN((INDEX(Calc!$E:$E, MATCH("KminusZ_m", Calc!$C:$C, 0)) - $E113 + $B113) / INDEX(Calc!$E:$E, MATCH("L_ramp_m", Calc!$C:$C, 0)))))</f>
        <v/>
      </c>
      <c r="H113" s="3">
        <f>IF($E113="","", IF(AND($E113&gt;=INDEX(Calc!$E:$E, MATCH("min_fwd_draft_m", Calc!$C:$C, 0)), $E113&lt;=INDEX(Calc!$E:$E, MATCH("max_fwd_draft_m", Calc!$C:$C, 0)), $G113&lt;=INDEX(Calc!$E:$E, MATCH("theta_max_deg", Calc!$C:$C, 0))), "OK", "CHECK"))</f>
        <v/>
      </c>
      <c r="I113" s="6">
        <f>IF($E113="","", INDEX(Calc!$E:$E, MATCH("D_vessel_m", Calc!$C:$C, 0)) - $E113 + $B113)</f>
        <v/>
      </c>
      <c r="J113" s="6">
        <f>IF($F113="","", INDEX(Calc!$E:$E, MATCH("D_vessel_m", Calc!$C:$C, 0)) - $F113 + $B113)</f>
        <v/>
      </c>
      <c r="K113" s="3">
        <f>IF(D113=0, "Even Keel", "")</f>
        <v/>
      </c>
    </row>
    <row r="114">
      <c r="A114" s="3">
        <f>IF(December_Tide_2025!A114="","",December_Tide_2025!A114)</f>
        <v/>
      </c>
      <c r="B114" s="6">
        <f>IF(December_Tide_2025!B114="","",December_Tide_2025!B114)</f>
        <v/>
      </c>
      <c r="C114" s="6">
        <f>IF($A114="","", INDEX(Calc!$E:$E, MATCH("KminusZ_m", Calc!$C:$C, 0)) + $B114 - INDEX(Calc!$E:$E, MATCH("L_ramp_m", Calc!$C:$C, 0)) * TAN(RADIANS(INDEX(Calc!$E:$E, MATCH("theta_max_deg", Calc!$C:$C, 0)))))</f>
        <v/>
      </c>
      <c r="D114" s="6" t="n"/>
      <c r="E114" s="6">
        <f>IF($C114="","", IF($D114="", $C114, $C114 - $D114/2))</f>
        <v/>
      </c>
      <c r="F114" s="6">
        <f>IF($C114="","", IF($D114="", $C114, $C114 + $D114/2))</f>
        <v/>
      </c>
      <c r="G114" s="6">
        <f>IF($E114="","", DEGREES(ATAN((INDEX(Calc!$E:$E, MATCH("KminusZ_m", Calc!$C:$C, 0)) - $E114 + $B114) / INDEX(Calc!$E:$E, MATCH("L_ramp_m", Calc!$C:$C, 0)))))</f>
        <v/>
      </c>
      <c r="H114" s="3">
        <f>IF($E114="","", IF(AND($E114&gt;=INDEX(Calc!$E:$E, MATCH("min_fwd_draft_m", Calc!$C:$C, 0)), $E114&lt;=INDEX(Calc!$E:$E, MATCH("max_fwd_draft_m", Calc!$C:$C, 0)), $G114&lt;=INDEX(Calc!$E:$E, MATCH("theta_max_deg", Calc!$C:$C, 0))), "OK", "CHECK"))</f>
        <v/>
      </c>
      <c r="I114" s="6">
        <f>IF($E114="","", INDEX(Calc!$E:$E, MATCH("D_vessel_m", Calc!$C:$C, 0)) - $E114 + $B114)</f>
        <v/>
      </c>
      <c r="J114" s="6">
        <f>IF($F114="","", INDEX(Calc!$E:$E, MATCH("D_vessel_m", Calc!$C:$C, 0)) - $F114 + $B114)</f>
        <v/>
      </c>
      <c r="K114" s="3">
        <f>IF(D114=0, "Even Keel", "")</f>
        <v/>
      </c>
    </row>
    <row r="115">
      <c r="A115" s="3">
        <f>IF(December_Tide_2025!A115="","",December_Tide_2025!A115)</f>
        <v/>
      </c>
      <c r="B115" s="6">
        <f>IF(December_Tide_2025!B115="","",December_Tide_2025!B115)</f>
        <v/>
      </c>
      <c r="C115" s="6">
        <f>IF($A115="","", INDEX(Calc!$E:$E, MATCH("KminusZ_m", Calc!$C:$C, 0)) + $B115 - INDEX(Calc!$E:$E, MATCH("L_ramp_m", Calc!$C:$C, 0)) * TAN(RADIANS(INDEX(Calc!$E:$E, MATCH("theta_max_deg", Calc!$C:$C, 0)))))</f>
        <v/>
      </c>
      <c r="D115" s="6" t="n"/>
      <c r="E115" s="6">
        <f>IF($C115="","", IF($D115="", $C115, $C115 - $D115/2))</f>
        <v/>
      </c>
      <c r="F115" s="6">
        <f>IF($C115="","", IF($D115="", $C115, $C115 + $D115/2))</f>
        <v/>
      </c>
      <c r="G115" s="6">
        <f>IF($E115="","", DEGREES(ATAN((INDEX(Calc!$E:$E, MATCH("KminusZ_m", Calc!$C:$C, 0)) - $E115 + $B115) / INDEX(Calc!$E:$E, MATCH("L_ramp_m", Calc!$C:$C, 0)))))</f>
        <v/>
      </c>
      <c r="H115" s="3">
        <f>IF($E115="","", IF(AND($E115&gt;=INDEX(Calc!$E:$E, MATCH("min_fwd_draft_m", Calc!$C:$C, 0)), $E115&lt;=INDEX(Calc!$E:$E, MATCH("max_fwd_draft_m", Calc!$C:$C, 0)), $G115&lt;=INDEX(Calc!$E:$E, MATCH("theta_max_deg", Calc!$C:$C, 0))), "OK", "CHECK"))</f>
        <v/>
      </c>
      <c r="I115" s="6">
        <f>IF($E115="","", INDEX(Calc!$E:$E, MATCH("D_vessel_m", Calc!$C:$C, 0)) - $E115 + $B115)</f>
        <v/>
      </c>
      <c r="J115" s="6">
        <f>IF($F115="","", INDEX(Calc!$E:$E, MATCH("D_vessel_m", Calc!$C:$C, 0)) - $F115 + $B115)</f>
        <v/>
      </c>
      <c r="K115" s="3">
        <f>IF(D115=0, "Even Keel", "")</f>
        <v/>
      </c>
    </row>
    <row r="116">
      <c r="A116" s="3">
        <f>IF(December_Tide_2025!A116="","",December_Tide_2025!A116)</f>
        <v/>
      </c>
      <c r="B116" s="6">
        <f>IF(December_Tide_2025!B116="","",December_Tide_2025!B116)</f>
        <v/>
      </c>
      <c r="C116" s="6">
        <f>IF($A116="","", INDEX(Calc!$E:$E, MATCH("KminusZ_m", Calc!$C:$C, 0)) + $B116 - INDEX(Calc!$E:$E, MATCH("L_ramp_m", Calc!$C:$C, 0)) * TAN(RADIANS(INDEX(Calc!$E:$E, MATCH("theta_max_deg", Calc!$C:$C, 0)))))</f>
        <v/>
      </c>
      <c r="D116" s="6" t="n"/>
      <c r="E116" s="6">
        <f>IF($C116="","", IF($D116="", $C116, $C116 - $D116/2))</f>
        <v/>
      </c>
      <c r="F116" s="6">
        <f>IF($C116="","", IF($D116="", $C116, $C116 + $D116/2))</f>
        <v/>
      </c>
      <c r="G116" s="6">
        <f>IF($E116="","", DEGREES(ATAN((INDEX(Calc!$E:$E, MATCH("KminusZ_m", Calc!$C:$C, 0)) - $E116 + $B116) / INDEX(Calc!$E:$E, MATCH("L_ramp_m", Calc!$C:$C, 0)))))</f>
        <v/>
      </c>
      <c r="H116" s="3">
        <f>IF($E116="","", IF(AND($E116&gt;=INDEX(Calc!$E:$E, MATCH("min_fwd_draft_m", Calc!$C:$C, 0)), $E116&lt;=INDEX(Calc!$E:$E, MATCH("max_fwd_draft_m", Calc!$C:$C, 0)), $G116&lt;=INDEX(Calc!$E:$E, MATCH("theta_max_deg", Calc!$C:$C, 0))), "OK", "CHECK"))</f>
        <v/>
      </c>
      <c r="I116" s="6">
        <f>IF($E116="","", INDEX(Calc!$E:$E, MATCH("D_vessel_m", Calc!$C:$C, 0)) - $E116 + $B116)</f>
        <v/>
      </c>
      <c r="J116" s="6">
        <f>IF($F116="","", INDEX(Calc!$E:$E, MATCH("D_vessel_m", Calc!$C:$C, 0)) - $F116 + $B116)</f>
        <v/>
      </c>
      <c r="K116" s="3">
        <f>IF(D116=0, "Even Keel", "")</f>
        <v/>
      </c>
    </row>
    <row r="117">
      <c r="A117" s="3">
        <f>IF(December_Tide_2025!A117="","",December_Tide_2025!A117)</f>
        <v/>
      </c>
      <c r="B117" s="6">
        <f>IF(December_Tide_2025!B117="","",December_Tide_2025!B117)</f>
        <v/>
      </c>
      <c r="C117" s="6">
        <f>IF($A117="","", INDEX(Calc!$E:$E, MATCH("KminusZ_m", Calc!$C:$C, 0)) + $B117 - INDEX(Calc!$E:$E, MATCH("L_ramp_m", Calc!$C:$C, 0)) * TAN(RADIANS(INDEX(Calc!$E:$E, MATCH("theta_max_deg", Calc!$C:$C, 0)))))</f>
        <v/>
      </c>
      <c r="D117" s="6" t="n"/>
      <c r="E117" s="6">
        <f>IF($C117="","", IF($D117="", $C117, $C117 - $D117/2))</f>
        <v/>
      </c>
      <c r="F117" s="6">
        <f>IF($C117="","", IF($D117="", $C117, $C117 + $D117/2))</f>
        <v/>
      </c>
      <c r="G117" s="6">
        <f>IF($E117="","", DEGREES(ATAN((INDEX(Calc!$E:$E, MATCH("KminusZ_m", Calc!$C:$C, 0)) - $E117 + $B117) / INDEX(Calc!$E:$E, MATCH("L_ramp_m", Calc!$C:$C, 0)))))</f>
        <v/>
      </c>
      <c r="H117" s="3">
        <f>IF($E117="","", IF(AND($E117&gt;=INDEX(Calc!$E:$E, MATCH("min_fwd_draft_m", Calc!$C:$C, 0)), $E117&lt;=INDEX(Calc!$E:$E, MATCH("max_fwd_draft_m", Calc!$C:$C, 0)), $G117&lt;=INDEX(Calc!$E:$E, MATCH("theta_max_deg", Calc!$C:$C, 0))), "OK", "CHECK"))</f>
        <v/>
      </c>
      <c r="I117" s="6">
        <f>IF($E117="","", INDEX(Calc!$E:$E, MATCH("D_vessel_m", Calc!$C:$C, 0)) - $E117 + $B117)</f>
        <v/>
      </c>
      <c r="J117" s="6">
        <f>IF($F117="","", INDEX(Calc!$E:$E, MATCH("D_vessel_m", Calc!$C:$C, 0)) - $F117 + $B117)</f>
        <v/>
      </c>
      <c r="K117" s="3">
        <f>IF(D117=0, "Even Keel", "")</f>
        <v/>
      </c>
    </row>
    <row r="118">
      <c r="A118" s="3">
        <f>IF(December_Tide_2025!A118="","",December_Tide_2025!A118)</f>
        <v/>
      </c>
      <c r="B118" s="6">
        <f>IF(December_Tide_2025!B118="","",December_Tide_2025!B118)</f>
        <v/>
      </c>
      <c r="C118" s="6">
        <f>IF($A118="","", INDEX(Calc!$E:$E, MATCH("KminusZ_m", Calc!$C:$C, 0)) + $B118 - INDEX(Calc!$E:$E, MATCH("L_ramp_m", Calc!$C:$C, 0)) * TAN(RADIANS(INDEX(Calc!$E:$E, MATCH("theta_max_deg", Calc!$C:$C, 0)))))</f>
        <v/>
      </c>
      <c r="D118" s="6" t="n"/>
      <c r="E118" s="6">
        <f>IF($C118="","", IF($D118="", $C118, $C118 - $D118/2))</f>
        <v/>
      </c>
      <c r="F118" s="6">
        <f>IF($C118="","", IF($D118="", $C118, $C118 + $D118/2))</f>
        <v/>
      </c>
      <c r="G118" s="6">
        <f>IF($E118="","", DEGREES(ATAN((INDEX(Calc!$E:$E, MATCH("KminusZ_m", Calc!$C:$C, 0)) - $E118 + $B118) / INDEX(Calc!$E:$E, MATCH("L_ramp_m", Calc!$C:$C, 0)))))</f>
        <v/>
      </c>
      <c r="H118" s="3">
        <f>IF($E118="","", IF(AND($E118&gt;=INDEX(Calc!$E:$E, MATCH("min_fwd_draft_m", Calc!$C:$C, 0)), $E118&lt;=INDEX(Calc!$E:$E, MATCH("max_fwd_draft_m", Calc!$C:$C, 0)), $G118&lt;=INDEX(Calc!$E:$E, MATCH("theta_max_deg", Calc!$C:$C, 0))), "OK", "CHECK"))</f>
        <v/>
      </c>
      <c r="I118" s="6">
        <f>IF($E118="","", INDEX(Calc!$E:$E, MATCH("D_vessel_m", Calc!$C:$C, 0)) - $E118 + $B118)</f>
        <v/>
      </c>
      <c r="J118" s="6">
        <f>IF($F118="","", INDEX(Calc!$E:$E, MATCH("D_vessel_m", Calc!$C:$C, 0)) - $F118 + $B118)</f>
        <v/>
      </c>
      <c r="K118" s="3">
        <f>IF(D118=0, "Even Keel", "")</f>
        <v/>
      </c>
    </row>
    <row r="119">
      <c r="A119" s="3">
        <f>IF(December_Tide_2025!A119="","",December_Tide_2025!A119)</f>
        <v/>
      </c>
      <c r="B119" s="6">
        <f>IF(December_Tide_2025!B119="","",December_Tide_2025!B119)</f>
        <v/>
      </c>
      <c r="C119" s="6">
        <f>IF($A119="","", INDEX(Calc!$E:$E, MATCH("KminusZ_m", Calc!$C:$C, 0)) + $B119 - INDEX(Calc!$E:$E, MATCH("L_ramp_m", Calc!$C:$C, 0)) * TAN(RADIANS(INDEX(Calc!$E:$E, MATCH("theta_max_deg", Calc!$C:$C, 0)))))</f>
        <v/>
      </c>
      <c r="D119" s="6" t="n"/>
      <c r="E119" s="6">
        <f>IF($C119="","", IF($D119="", $C119, $C119 - $D119/2))</f>
        <v/>
      </c>
      <c r="F119" s="6">
        <f>IF($C119="","", IF($D119="", $C119, $C119 + $D119/2))</f>
        <v/>
      </c>
      <c r="G119" s="6">
        <f>IF($E119="","", DEGREES(ATAN((INDEX(Calc!$E:$E, MATCH("KminusZ_m", Calc!$C:$C, 0)) - $E119 + $B119) / INDEX(Calc!$E:$E, MATCH("L_ramp_m", Calc!$C:$C, 0)))))</f>
        <v/>
      </c>
      <c r="H119" s="3">
        <f>IF($E119="","", IF(AND($E119&gt;=INDEX(Calc!$E:$E, MATCH("min_fwd_draft_m", Calc!$C:$C, 0)), $E119&lt;=INDEX(Calc!$E:$E, MATCH("max_fwd_draft_m", Calc!$C:$C, 0)), $G119&lt;=INDEX(Calc!$E:$E, MATCH("theta_max_deg", Calc!$C:$C, 0))), "OK", "CHECK"))</f>
        <v/>
      </c>
      <c r="I119" s="6">
        <f>IF($E119="","", INDEX(Calc!$E:$E, MATCH("D_vessel_m", Calc!$C:$C, 0)) - $E119 + $B119)</f>
        <v/>
      </c>
      <c r="J119" s="6">
        <f>IF($F119="","", INDEX(Calc!$E:$E, MATCH("D_vessel_m", Calc!$C:$C, 0)) - $F119 + $B119)</f>
        <v/>
      </c>
      <c r="K119" s="3">
        <f>IF(D119=0, "Even Keel", "")</f>
        <v/>
      </c>
    </row>
    <row r="120">
      <c r="A120" s="3">
        <f>IF(December_Tide_2025!A120="","",December_Tide_2025!A120)</f>
        <v/>
      </c>
      <c r="B120" s="6">
        <f>IF(December_Tide_2025!B120="","",December_Tide_2025!B120)</f>
        <v/>
      </c>
      <c r="C120" s="6">
        <f>IF($A120="","", INDEX(Calc!$E:$E, MATCH("KminusZ_m", Calc!$C:$C, 0)) + $B120 - INDEX(Calc!$E:$E, MATCH("L_ramp_m", Calc!$C:$C, 0)) * TAN(RADIANS(INDEX(Calc!$E:$E, MATCH("theta_max_deg", Calc!$C:$C, 0)))))</f>
        <v/>
      </c>
      <c r="D120" s="6" t="n"/>
      <c r="E120" s="6">
        <f>IF($C120="","", IF($D120="", $C120, $C120 - $D120/2))</f>
        <v/>
      </c>
      <c r="F120" s="6">
        <f>IF($C120="","", IF($D120="", $C120, $C120 + $D120/2))</f>
        <v/>
      </c>
      <c r="G120" s="6">
        <f>IF($E120="","", DEGREES(ATAN((INDEX(Calc!$E:$E, MATCH("KminusZ_m", Calc!$C:$C, 0)) - $E120 + $B120) / INDEX(Calc!$E:$E, MATCH("L_ramp_m", Calc!$C:$C, 0)))))</f>
        <v/>
      </c>
      <c r="H120" s="3">
        <f>IF($E120="","", IF(AND($E120&gt;=INDEX(Calc!$E:$E, MATCH("min_fwd_draft_m", Calc!$C:$C, 0)), $E120&lt;=INDEX(Calc!$E:$E, MATCH("max_fwd_draft_m", Calc!$C:$C, 0)), $G120&lt;=INDEX(Calc!$E:$E, MATCH("theta_max_deg", Calc!$C:$C, 0))), "OK", "CHECK"))</f>
        <v/>
      </c>
      <c r="I120" s="6">
        <f>IF($E120="","", INDEX(Calc!$E:$E, MATCH("D_vessel_m", Calc!$C:$C, 0)) - $E120 + $B120)</f>
        <v/>
      </c>
      <c r="J120" s="6">
        <f>IF($F120="","", INDEX(Calc!$E:$E, MATCH("D_vessel_m", Calc!$C:$C, 0)) - $F120 + $B120)</f>
        <v/>
      </c>
      <c r="K120" s="3">
        <f>IF(D120=0, "Even Keel", "")</f>
        <v/>
      </c>
    </row>
    <row r="121">
      <c r="A121" s="3">
        <f>IF(December_Tide_2025!A121="","",December_Tide_2025!A121)</f>
        <v/>
      </c>
      <c r="B121" s="6">
        <f>IF(December_Tide_2025!B121="","",December_Tide_2025!B121)</f>
        <v/>
      </c>
      <c r="C121" s="6">
        <f>IF($A121="","", INDEX(Calc!$E:$E, MATCH("KminusZ_m", Calc!$C:$C, 0)) + $B121 - INDEX(Calc!$E:$E, MATCH("L_ramp_m", Calc!$C:$C, 0)) * TAN(RADIANS(INDEX(Calc!$E:$E, MATCH("theta_max_deg", Calc!$C:$C, 0)))))</f>
        <v/>
      </c>
      <c r="D121" s="6" t="n"/>
      <c r="E121" s="6">
        <f>IF($C121="","", IF($D121="", $C121, $C121 - $D121/2))</f>
        <v/>
      </c>
      <c r="F121" s="6">
        <f>IF($C121="","", IF($D121="", $C121, $C121 + $D121/2))</f>
        <v/>
      </c>
      <c r="G121" s="6">
        <f>IF($E121="","", DEGREES(ATAN((INDEX(Calc!$E:$E, MATCH("KminusZ_m", Calc!$C:$C, 0)) - $E121 + $B121) / INDEX(Calc!$E:$E, MATCH("L_ramp_m", Calc!$C:$C, 0)))))</f>
        <v/>
      </c>
      <c r="H121" s="3">
        <f>IF($E121="","", IF(AND($E121&gt;=INDEX(Calc!$E:$E, MATCH("min_fwd_draft_m", Calc!$C:$C, 0)), $E121&lt;=INDEX(Calc!$E:$E, MATCH("max_fwd_draft_m", Calc!$C:$C, 0)), $G121&lt;=INDEX(Calc!$E:$E, MATCH("theta_max_deg", Calc!$C:$C, 0))), "OK", "CHECK"))</f>
        <v/>
      </c>
      <c r="I121" s="6">
        <f>IF($E121="","", INDEX(Calc!$E:$E, MATCH("D_vessel_m", Calc!$C:$C, 0)) - $E121 + $B121)</f>
        <v/>
      </c>
      <c r="J121" s="6">
        <f>IF($F121="","", INDEX(Calc!$E:$E, MATCH("D_vessel_m", Calc!$C:$C, 0)) - $F121 + $B121)</f>
        <v/>
      </c>
      <c r="K121" s="3">
        <f>IF(D121=0, "Even Keel", "")</f>
        <v/>
      </c>
    </row>
    <row r="122">
      <c r="A122" s="3">
        <f>IF(December_Tide_2025!A122="","",December_Tide_2025!A122)</f>
        <v/>
      </c>
      <c r="B122" s="6">
        <f>IF(December_Tide_2025!B122="","",December_Tide_2025!B122)</f>
        <v/>
      </c>
      <c r="C122" s="6">
        <f>IF($A122="","", INDEX(Calc!$E:$E, MATCH("KminusZ_m", Calc!$C:$C, 0)) + $B122 - INDEX(Calc!$E:$E, MATCH("L_ramp_m", Calc!$C:$C, 0)) * TAN(RADIANS(INDEX(Calc!$E:$E, MATCH("theta_max_deg", Calc!$C:$C, 0)))))</f>
        <v/>
      </c>
      <c r="D122" s="6" t="n"/>
      <c r="E122" s="6">
        <f>IF($C122="","", IF($D122="", $C122, $C122 - $D122/2))</f>
        <v/>
      </c>
      <c r="F122" s="6">
        <f>IF($C122="","", IF($D122="", $C122, $C122 + $D122/2))</f>
        <v/>
      </c>
      <c r="G122" s="6">
        <f>IF($E122="","", DEGREES(ATAN((INDEX(Calc!$E:$E, MATCH("KminusZ_m", Calc!$C:$C, 0)) - $E122 + $B122) / INDEX(Calc!$E:$E, MATCH("L_ramp_m", Calc!$C:$C, 0)))))</f>
        <v/>
      </c>
      <c r="H122" s="3">
        <f>IF($E122="","", IF(AND($E122&gt;=INDEX(Calc!$E:$E, MATCH("min_fwd_draft_m", Calc!$C:$C, 0)), $E122&lt;=INDEX(Calc!$E:$E, MATCH("max_fwd_draft_m", Calc!$C:$C, 0)), $G122&lt;=INDEX(Calc!$E:$E, MATCH("theta_max_deg", Calc!$C:$C, 0))), "OK", "CHECK"))</f>
        <v/>
      </c>
      <c r="I122" s="6">
        <f>IF($E122="","", INDEX(Calc!$E:$E, MATCH("D_vessel_m", Calc!$C:$C, 0)) - $E122 + $B122)</f>
        <v/>
      </c>
      <c r="J122" s="6">
        <f>IF($F122="","", INDEX(Calc!$E:$E, MATCH("D_vessel_m", Calc!$C:$C, 0)) - $F122 + $B122)</f>
        <v/>
      </c>
      <c r="K122" s="3">
        <f>IF(D122=0, "Even Keel", "")</f>
        <v/>
      </c>
    </row>
    <row r="123">
      <c r="A123" s="3">
        <f>IF(December_Tide_2025!A123="","",December_Tide_2025!A123)</f>
        <v/>
      </c>
      <c r="B123" s="6">
        <f>IF(December_Tide_2025!B123="","",December_Tide_2025!B123)</f>
        <v/>
      </c>
      <c r="C123" s="6">
        <f>IF($A123="","", INDEX(Calc!$E:$E, MATCH("KminusZ_m", Calc!$C:$C, 0)) + $B123 - INDEX(Calc!$E:$E, MATCH("L_ramp_m", Calc!$C:$C, 0)) * TAN(RADIANS(INDEX(Calc!$E:$E, MATCH("theta_max_deg", Calc!$C:$C, 0)))))</f>
        <v/>
      </c>
      <c r="D123" s="6" t="n"/>
      <c r="E123" s="6">
        <f>IF($C123="","", IF($D123="", $C123, $C123 - $D123/2))</f>
        <v/>
      </c>
      <c r="F123" s="6">
        <f>IF($C123="","", IF($D123="", $C123, $C123 + $D123/2))</f>
        <v/>
      </c>
      <c r="G123" s="6">
        <f>IF($E123="","", DEGREES(ATAN((INDEX(Calc!$E:$E, MATCH("KminusZ_m", Calc!$C:$C, 0)) - $E123 + $B123) / INDEX(Calc!$E:$E, MATCH("L_ramp_m", Calc!$C:$C, 0)))))</f>
        <v/>
      </c>
      <c r="H123" s="3">
        <f>IF($E123="","", IF(AND($E123&gt;=INDEX(Calc!$E:$E, MATCH("min_fwd_draft_m", Calc!$C:$C, 0)), $E123&lt;=INDEX(Calc!$E:$E, MATCH("max_fwd_draft_m", Calc!$C:$C, 0)), $G123&lt;=INDEX(Calc!$E:$E, MATCH("theta_max_deg", Calc!$C:$C, 0))), "OK", "CHECK"))</f>
        <v/>
      </c>
      <c r="I123" s="6">
        <f>IF($E123="","", INDEX(Calc!$E:$E, MATCH("D_vessel_m", Calc!$C:$C, 0)) - $E123 + $B123)</f>
        <v/>
      </c>
      <c r="J123" s="6">
        <f>IF($F123="","", INDEX(Calc!$E:$E, MATCH("D_vessel_m", Calc!$C:$C, 0)) - $F123 + $B123)</f>
        <v/>
      </c>
      <c r="K123" s="3">
        <f>IF(D123=0, "Even Keel", "")</f>
        <v/>
      </c>
    </row>
    <row r="124">
      <c r="A124" s="3">
        <f>IF(December_Tide_2025!A124="","",December_Tide_2025!A124)</f>
        <v/>
      </c>
      <c r="B124" s="6">
        <f>IF(December_Tide_2025!B124="","",December_Tide_2025!B124)</f>
        <v/>
      </c>
      <c r="C124" s="6">
        <f>IF($A124="","", INDEX(Calc!$E:$E, MATCH("KminusZ_m", Calc!$C:$C, 0)) + $B124 - INDEX(Calc!$E:$E, MATCH("L_ramp_m", Calc!$C:$C, 0)) * TAN(RADIANS(INDEX(Calc!$E:$E, MATCH("theta_max_deg", Calc!$C:$C, 0)))))</f>
        <v/>
      </c>
      <c r="D124" s="6" t="n"/>
      <c r="E124" s="6">
        <f>IF($C124="","", IF($D124="", $C124, $C124 - $D124/2))</f>
        <v/>
      </c>
      <c r="F124" s="6">
        <f>IF($C124="","", IF($D124="", $C124, $C124 + $D124/2))</f>
        <v/>
      </c>
      <c r="G124" s="6">
        <f>IF($E124="","", DEGREES(ATAN((INDEX(Calc!$E:$E, MATCH("KminusZ_m", Calc!$C:$C, 0)) - $E124 + $B124) / INDEX(Calc!$E:$E, MATCH("L_ramp_m", Calc!$C:$C, 0)))))</f>
        <v/>
      </c>
      <c r="H124" s="3">
        <f>IF($E124="","", IF(AND($E124&gt;=INDEX(Calc!$E:$E, MATCH("min_fwd_draft_m", Calc!$C:$C, 0)), $E124&lt;=INDEX(Calc!$E:$E, MATCH("max_fwd_draft_m", Calc!$C:$C, 0)), $G124&lt;=INDEX(Calc!$E:$E, MATCH("theta_max_deg", Calc!$C:$C, 0))), "OK", "CHECK"))</f>
        <v/>
      </c>
      <c r="I124" s="6">
        <f>IF($E124="","", INDEX(Calc!$E:$E, MATCH("D_vessel_m", Calc!$C:$C, 0)) - $E124 + $B124)</f>
        <v/>
      </c>
      <c r="J124" s="6">
        <f>IF($F124="","", INDEX(Calc!$E:$E, MATCH("D_vessel_m", Calc!$C:$C, 0)) - $F124 + $B124)</f>
        <v/>
      </c>
      <c r="K124" s="3">
        <f>IF(D124=0, "Even Keel", "")</f>
        <v/>
      </c>
    </row>
    <row r="125">
      <c r="A125" s="3">
        <f>IF(December_Tide_2025!A125="","",December_Tide_2025!A125)</f>
        <v/>
      </c>
      <c r="B125" s="6">
        <f>IF(December_Tide_2025!B125="","",December_Tide_2025!B125)</f>
        <v/>
      </c>
      <c r="C125" s="6">
        <f>IF($A125="","", INDEX(Calc!$E:$E, MATCH("KminusZ_m", Calc!$C:$C, 0)) + $B125 - INDEX(Calc!$E:$E, MATCH("L_ramp_m", Calc!$C:$C, 0)) * TAN(RADIANS(INDEX(Calc!$E:$E, MATCH("theta_max_deg", Calc!$C:$C, 0)))))</f>
        <v/>
      </c>
      <c r="D125" s="6" t="n"/>
      <c r="E125" s="6">
        <f>IF($C125="","", IF($D125="", $C125, $C125 - $D125/2))</f>
        <v/>
      </c>
      <c r="F125" s="6">
        <f>IF($C125="","", IF($D125="", $C125, $C125 + $D125/2))</f>
        <v/>
      </c>
      <c r="G125" s="6">
        <f>IF($E125="","", DEGREES(ATAN((INDEX(Calc!$E:$E, MATCH("KminusZ_m", Calc!$C:$C, 0)) - $E125 + $B125) / INDEX(Calc!$E:$E, MATCH("L_ramp_m", Calc!$C:$C, 0)))))</f>
        <v/>
      </c>
      <c r="H125" s="3">
        <f>IF($E125="","", IF(AND($E125&gt;=INDEX(Calc!$E:$E, MATCH("min_fwd_draft_m", Calc!$C:$C, 0)), $E125&lt;=INDEX(Calc!$E:$E, MATCH("max_fwd_draft_m", Calc!$C:$C, 0)), $G125&lt;=INDEX(Calc!$E:$E, MATCH("theta_max_deg", Calc!$C:$C, 0))), "OK", "CHECK"))</f>
        <v/>
      </c>
      <c r="I125" s="6">
        <f>IF($E125="","", INDEX(Calc!$E:$E, MATCH("D_vessel_m", Calc!$C:$C, 0)) - $E125 + $B125)</f>
        <v/>
      </c>
      <c r="J125" s="6">
        <f>IF($F125="","", INDEX(Calc!$E:$E, MATCH("D_vessel_m", Calc!$C:$C, 0)) - $F125 + $B125)</f>
        <v/>
      </c>
      <c r="K125" s="3">
        <f>IF(D125=0, "Even Keel", "")</f>
        <v/>
      </c>
    </row>
    <row r="126">
      <c r="A126" s="3">
        <f>IF(December_Tide_2025!A126="","",December_Tide_2025!A126)</f>
        <v/>
      </c>
      <c r="B126" s="6">
        <f>IF(December_Tide_2025!B126="","",December_Tide_2025!B126)</f>
        <v/>
      </c>
      <c r="C126" s="6">
        <f>IF($A126="","", INDEX(Calc!$E:$E, MATCH("KminusZ_m", Calc!$C:$C, 0)) + $B126 - INDEX(Calc!$E:$E, MATCH("L_ramp_m", Calc!$C:$C, 0)) * TAN(RADIANS(INDEX(Calc!$E:$E, MATCH("theta_max_deg", Calc!$C:$C, 0)))))</f>
        <v/>
      </c>
      <c r="D126" s="6" t="n"/>
      <c r="E126" s="6">
        <f>IF($C126="","", IF($D126="", $C126, $C126 - $D126/2))</f>
        <v/>
      </c>
      <c r="F126" s="6">
        <f>IF($C126="","", IF($D126="", $C126, $C126 + $D126/2))</f>
        <v/>
      </c>
      <c r="G126" s="6">
        <f>IF($E126="","", DEGREES(ATAN((INDEX(Calc!$E:$E, MATCH("KminusZ_m", Calc!$C:$C, 0)) - $E126 + $B126) / INDEX(Calc!$E:$E, MATCH("L_ramp_m", Calc!$C:$C, 0)))))</f>
        <v/>
      </c>
      <c r="H126" s="3">
        <f>IF($E126="","", IF(AND($E126&gt;=INDEX(Calc!$E:$E, MATCH("min_fwd_draft_m", Calc!$C:$C, 0)), $E126&lt;=INDEX(Calc!$E:$E, MATCH("max_fwd_draft_m", Calc!$C:$C, 0)), $G126&lt;=INDEX(Calc!$E:$E, MATCH("theta_max_deg", Calc!$C:$C, 0))), "OK", "CHECK"))</f>
        <v/>
      </c>
      <c r="I126" s="6">
        <f>IF($E126="","", INDEX(Calc!$E:$E, MATCH("D_vessel_m", Calc!$C:$C, 0)) - $E126 + $B126)</f>
        <v/>
      </c>
      <c r="J126" s="6">
        <f>IF($F126="","", INDEX(Calc!$E:$E, MATCH("D_vessel_m", Calc!$C:$C, 0)) - $F126 + $B126)</f>
        <v/>
      </c>
      <c r="K126" s="3">
        <f>IF(D126=0, "Even Keel", "")</f>
        <v/>
      </c>
    </row>
    <row r="127">
      <c r="A127" s="3">
        <f>IF(December_Tide_2025!A127="","",December_Tide_2025!A127)</f>
        <v/>
      </c>
      <c r="B127" s="6">
        <f>IF(December_Tide_2025!B127="","",December_Tide_2025!B127)</f>
        <v/>
      </c>
      <c r="C127" s="6">
        <f>IF($A127="","", INDEX(Calc!$E:$E, MATCH("KminusZ_m", Calc!$C:$C, 0)) + $B127 - INDEX(Calc!$E:$E, MATCH("L_ramp_m", Calc!$C:$C, 0)) * TAN(RADIANS(INDEX(Calc!$E:$E, MATCH("theta_max_deg", Calc!$C:$C, 0)))))</f>
        <v/>
      </c>
      <c r="D127" s="6" t="n"/>
      <c r="E127" s="6">
        <f>IF($C127="","", IF($D127="", $C127, $C127 - $D127/2))</f>
        <v/>
      </c>
      <c r="F127" s="6">
        <f>IF($C127="","", IF($D127="", $C127, $C127 + $D127/2))</f>
        <v/>
      </c>
      <c r="G127" s="6">
        <f>IF($E127="","", DEGREES(ATAN((INDEX(Calc!$E:$E, MATCH("KminusZ_m", Calc!$C:$C, 0)) - $E127 + $B127) / INDEX(Calc!$E:$E, MATCH("L_ramp_m", Calc!$C:$C, 0)))))</f>
        <v/>
      </c>
      <c r="H127" s="3">
        <f>IF($E127="","", IF(AND($E127&gt;=INDEX(Calc!$E:$E, MATCH("min_fwd_draft_m", Calc!$C:$C, 0)), $E127&lt;=INDEX(Calc!$E:$E, MATCH("max_fwd_draft_m", Calc!$C:$C, 0)), $G127&lt;=INDEX(Calc!$E:$E, MATCH("theta_max_deg", Calc!$C:$C, 0))), "OK", "CHECK"))</f>
        <v/>
      </c>
      <c r="I127" s="6">
        <f>IF($E127="","", INDEX(Calc!$E:$E, MATCH("D_vessel_m", Calc!$C:$C, 0)) - $E127 + $B127)</f>
        <v/>
      </c>
      <c r="J127" s="6">
        <f>IF($F127="","", INDEX(Calc!$E:$E, MATCH("D_vessel_m", Calc!$C:$C, 0)) - $F127 + $B127)</f>
        <v/>
      </c>
      <c r="K127" s="3">
        <f>IF(D127=0, "Even Keel", "")</f>
        <v/>
      </c>
    </row>
    <row r="128">
      <c r="A128" s="3">
        <f>IF(December_Tide_2025!A128="","",December_Tide_2025!A128)</f>
        <v/>
      </c>
      <c r="B128" s="6">
        <f>IF(December_Tide_2025!B128="","",December_Tide_2025!B128)</f>
        <v/>
      </c>
      <c r="C128" s="6">
        <f>IF($A128="","", INDEX(Calc!$E:$E, MATCH("KminusZ_m", Calc!$C:$C, 0)) + $B128 - INDEX(Calc!$E:$E, MATCH("L_ramp_m", Calc!$C:$C, 0)) * TAN(RADIANS(INDEX(Calc!$E:$E, MATCH("theta_max_deg", Calc!$C:$C, 0)))))</f>
        <v/>
      </c>
      <c r="D128" s="6" t="n"/>
      <c r="E128" s="6">
        <f>IF($C128="","", IF($D128="", $C128, $C128 - $D128/2))</f>
        <v/>
      </c>
      <c r="F128" s="6">
        <f>IF($C128="","", IF($D128="", $C128, $C128 + $D128/2))</f>
        <v/>
      </c>
      <c r="G128" s="6">
        <f>IF($E128="","", DEGREES(ATAN((INDEX(Calc!$E:$E, MATCH("KminusZ_m", Calc!$C:$C, 0)) - $E128 + $B128) / INDEX(Calc!$E:$E, MATCH("L_ramp_m", Calc!$C:$C, 0)))))</f>
        <v/>
      </c>
      <c r="H128" s="3">
        <f>IF($E128="","", IF(AND($E128&gt;=INDEX(Calc!$E:$E, MATCH("min_fwd_draft_m", Calc!$C:$C, 0)), $E128&lt;=INDEX(Calc!$E:$E, MATCH("max_fwd_draft_m", Calc!$C:$C, 0)), $G128&lt;=INDEX(Calc!$E:$E, MATCH("theta_max_deg", Calc!$C:$C, 0))), "OK", "CHECK"))</f>
        <v/>
      </c>
      <c r="I128" s="6">
        <f>IF($E128="","", INDEX(Calc!$E:$E, MATCH("D_vessel_m", Calc!$C:$C, 0)) - $E128 + $B128)</f>
        <v/>
      </c>
      <c r="J128" s="6">
        <f>IF($F128="","", INDEX(Calc!$E:$E, MATCH("D_vessel_m", Calc!$C:$C, 0)) - $F128 + $B128)</f>
        <v/>
      </c>
      <c r="K128" s="3">
        <f>IF(D128=0, "Even Keel", "")</f>
        <v/>
      </c>
    </row>
    <row r="129">
      <c r="A129" s="3">
        <f>IF(December_Tide_2025!A129="","",December_Tide_2025!A129)</f>
        <v/>
      </c>
      <c r="B129" s="6">
        <f>IF(December_Tide_2025!B129="","",December_Tide_2025!B129)</f>
        <v/>
      </c>
      <c r="C129" s="6">
        <f>IF($A129="","", INDEX(Calc!$E:$E, MATCH("KminusZ_m", Calc!$C:$C, 0)) + $B129 - INDEX(Calc!$E:$E, MATCH("L_ramp_m", Calc!$C:$C, 0)) * TAN(RADIANS(INDEX(Calc!$E:$E, MATCH("theta_max_deg", Calc!$C:$C, 0)))))</f>
        <v/>
      </c>
      <c r="D129" s="6" t="n"/>
      <c r="E129" s="6">
        <f>IF($C129="","", IF($D129="", $C129, $C129 - $D129/2))</f>
        <v/>
      </c>
      <c r="F129" s="6">
        <f>IF($C129="","", IF($D129="", $C129, $C129 + $D129/2))</f>
        <v/>
      </c>
      <c r="G129" s="6">
        <f>IF($E129="","", DEGREES(ATAN((INDEX(Calc!$E:$E, MATCH("KminusZ_m", Calc!$C:$C, 0)) - $E129 + $B129) / INDEX(Calc!$E:$E, MATCH("L_ramp_m", Calc!$C:$C, 0)))))</f>
        <v/>
      </c>
      <c r="H129" s="3">
        <f>IF($E129="","", IF(AND($E129&gt;=INDEX(Calc!$E:$E, MATCH("min_fwd_draft_m", Calc!$C:$C, 0)), $E129&lt;=INDEX(Calc!$E:$E, MATCH("max_fwd_draft_m", Calc!$C:$C, 0)), $G129&lt;=INDEX(Calc!$E:$E, MATCH("theta_max_deg", Calc!$C:$C, 0))), "OK", "CHECK"))</f>
        <v/>
      </c>
      <c r="I129" s="6">
        <f>IF($E129="","", INDEX(Calc!$E:$E, MATCH("D_vessel_m", Calc!$C:$C, 0)) - $E129 + $B129)</f>
        <v/>
      </c>
      <c r="J129" s="6">
        <f>IF($F129="","", INDEX(Calc!$E:$E, MATCH("D_vessel_m", Calc!$C:$C, 0)) - $F129 + $B129)</f>
        <v/>
      </c>
      <c r="K129" s="3">
        <f>IF(D129=0, "Even Keel", "")</f>
        <v/>
      </c>
    </row>
    <row r="130">
      <c r="A130" s="3">
        <f>IF(December_Tide_2025!A130="","",December_Tide_2025!A130)</f>
        <v/>
      </c>
      <c r="B130" s="6">
        <f>IF(December_Tide_2025!B130="","",December_Tide_2025!B130)</f>
        <v/>
      </c>
      <c r="C130" s="6">
        <f>IF($A130="","", INDEX(Calc!$E:$E, MATCH("KminusZ_m", Calc!$C:$C, 0)) + $B130 - INDEX(Calc!$E:$E, MATCH("L_ramp_m", Calc!$C:$C, 0)) * TAN(RADIANS(INDEX(Calc!$E:$E, MATCH("theta_max_deg", Calc!$C:$C, 0)))))</f>
        <v/>
      </c>
      <c r="D130" s="6" t="n"/>
      <c r="E130" s="6">
        <f>IF($C130="","", IF($D130="", $C130, $C130 - $D130/2))</f>
        <v/>
      </c>
      <c r="F130" s="6">
        <f>IF($C130="","", IF($D130="", $C130, $C130 + $D130/2))</f>
        <v/>
      </c>
      <c r="G130" s="6">
        <f>IF($E130="","", DEGREES(ATAN((INDEX(Calc!$E:$E, MATCH("KminusZ_m", Calc!$C:$C, 0)) - $E130 + $B130) / INDEX(Calc!$E:$E, MATCH("L_ramp_m", Calc!$C:$C, 0)))))</f>
        <v/>
      </c>
      <c r="H130" s="3">
        <f>IF($E130="","", IF(AND($E130&gt;=INDEX(Calc!$E:$E, MATCH("min_fwd_draft_m", Calc!$C:$C, 0)), $E130&lt;=INDEX(Calc!$E:$E, MATCH("max_fwd_draft_m", Calc!$C:$C, 0)), $G130&lt;=INDEX(Calc!$E:$E, MATCH("theta_max_deg", Calc!$C:$C, 0))), "OK", "CHECK"))</f>
        <v/>
      </c>
      <c r="I130" s="6">
        <f>IF($E130="","", INDEX(Calc!$E:$E, MATCH("D_vessel_m", Calc!$C:$C, 0)) - $E130 + $B130)</f>
        <v/>
      </c>
      <c r="J130" s="6">
        <f>IF($F130="","", INDEX(Calc!$E:$E, MATCH("D_vessel_m", Calc!$C:$C, 0)) - $F130 + $B130)</f>
        <v/>
      </c>
      <c r="K130" s="3">
        <f>IF(D130=0, "Even Keel", "")</f>
        <v/>
      </c>
    </row>
    <row r="131">
      <c r="A131" s="3">
        <f>IF(December_Tide_2025!A131="","",December_Tide_2025!A131)</f>
        <v/>
      </c>
      <c r="B131" s="6">
        <f>IF(December_Tide_2025!B131="","",December_Tide_2025!B131)</f>
        <v/>
      </c>
      <c r="C131" s="6">
        <f>IF($A131="","", INDEX(Calc!$E:$E, MATCH("KminusZ_m", Calc!$C:$C, 0)) + $B131 - INDEX(Calc!$E:$E, MATCH("L_ramp_m", Calc!$C:$C, 0)) * TAN(RADIANS(INDEX(Calc!$E:$E, MATCH("theta_max_deg", Calc!$C:$C, 0)))))</f>
        <v/>
      </c>
      <c r="D131" s="6" t="n"/>
      <c r="E131" s="6">
        <f>IF($C131="","", IF($D131="", $C131, $C131 - $D131/2))</f>
        <v/>
      </c>
      <c r="F131" s="6">
        <f>IF($C131="","", IF($D131="", $C131, $C131 + $D131/2))</f>
        <v/>
      </c>
      <c r="G131" s="6">
        <f>IF($E131="","", DEGREES(ATAN((INDEX(Calc!$E:$E, MATCH("KminusZ_m", Calc!$C:$C, 0)) - $E131 + $B131) / INDEX(Calc!$E:$E, MATCH("L_ramp_m", Calc!$C:$C, 0)))))</f>
        <v/>
      </c>
      <c r="H131" s="3">
        <f>IF($E131="","", IF(AND($E131&gt;=INDEX(Calc!$E:$E, MATCH("min_fwd_draft_m", Calc!$C:$C, 0)), $E131&lt;=INDEX(Calc!$E:$E, MATCH("max_fwd_draft_m", Calc!$C:$C, 0)), $G131&lt;=INDEX(Calc!$E:$E, MATCH("theta_max_deg", Calc!$C:$C, 0))), "OK", "CHECK"))</f>
        <v/>
      </c>
      <c r="I131" s="6">
        <f>IF($E131="","", INDEX(Calc!$E:$E, MATCH("D_vessel_m", Calc!$C:$C, 0)) - $E131 + $B131)</f>
        <v/>
      </c>
      <c r="J131" s="6">
        <f>IF($F131="","", INDEX(Calc!$E:$E, MATCH("D_vessel_m", Calc!$C:$C, 0)) - $F131 + $B131)</f>
        <v/>
      </c>
      <c r="K131" s="3">
        <f>IF(D131=0, "Even Keel", "")</f>
        <v/>
      </c>
    </row>
    <row r="132">
      <c r="A132" s="3">
        <f>IF(December_Tide_2025!A132="","",December_Tide_2025!A132)</f>
        <v/>
      </c>
      <c r="B132" s="6">
        <f>IF(December_Tide_2025!B132="","",December_Tide_2025!B132)</f>
        <v/>
      </c>
      <c r="C132" s="6">
        <f>IF($A132="","", INDEX(Calc!$E:$E, MATCH("KminusZ_m", Calc!$C:$C, 0)) + $B132 - INDEX(Calc!$E:$E, MATCH("L_ramp_m", Calc!$C:$C, 0)) * TAN(RADIANS(INDEX(Calc!$E:$E, MATCH("theta_max_deg", Calc!$C:$C, 0)))))</f>
        <v/>
      </c>
      <c r="D132" s="6" t="n"/>
      <c r="E132" s="6">
        <f>IF($C132="","", IF($D132="", $C132, $C132 - $D132/2))</f>
        <v/>
      </c>
      <c r="F132" s="6">
        <f>IF($C132="","", IF($D132="", $C132, $C132 + $D132/2))</f>
        <v/>
      </c>
      <c r="G132" s="6">
        <f>IF($E132="","", DEGREES(ATAN((INDEX(Calc!$E:$E, MATCH("KminusZ_m", Calc!$C:$C, 0)) - $E132 + $B132) / INDEX(Calc!$E:$E, MATCH("L_ramp_m", Calc!$C:$C, 0)))))</f>
        <v/>
      </c>
      <c r="H132" s="3">
        <f>IF($E132="","", IF(AND($E132&gt;=INDEX(Calc!$E:$E, MATCH("min_fwd_draft_m", Calc!$C:$C, 0)), $E132&lt;=INDEX(Calc!$E:$E, MATCH("max_fwd_draft_m", Calc!$C:$C, 0)), $G132&lt;=INDEX(Calc!$E:$E, MATCH("theta_max_deg", Calc!$C:$C, 0))), "OK", "CHECK"))</f>
        <v/>
      </c>
      <c r="I132" s="6">
        <f>IF($E132="","", INDEX(Calc!$E:$E, MATCH("D_vessel_m", Calc!$C:$C, 0)) - $E132 + $B132)</f>
        <v/>
      </c>
      <c r="J132" s="6">
        <f>IF($F132="","", INDEX(Calc!$E:$E, MATCH("D_vessel_m", Calc!$C:$C, 0)) - $F132 + $B132)</f>
        <v/>
      </c>
      <c r="K132" s="3">
        <f>IF(D132=0, "Even Keel", "")</f>
        <v/>
      </c>
    </row>
    <row r="133">
      <c r="A133" s="3">
        <f>IF(December_Tide_2025!A133="","",December_Tide_2025!A133)</f>
        <v/>
      </c>
      <c r="B133" s="6">
        <f>IF(December_Tide_2025!B133="","",December_Tide_2025!B133)</f>
        <v/>
      </c>
      <c r="C133" s="6">
        <f>IF($A133="","", INDEX(Calc!$E:$E, MATCH("KminusZ_m", Calc!$C:$C, 0)) + $B133 - INDEX(Calc!$E:$E, MATCH("L_ramp_m", Calc!$C:$C, 0)) * TAN(RADIANS(INDEX(Calc!$E:$E, MATCH("theta_max_deg", Calc!$C:$C, 0)))))</f>
        <v/>
      </c>
      <c r="D133" s="6" t="n"/>
      <c r="E133" s="6">
        <f>IF($C133="","", IF($D133="", $C133, $C133 - $D133/2))</f>
        <v/>
      </c>
      <c r="F133" s="6">
        <f>IF($C133="","", IF($D133="", $C133, $C133 + $D133/2))</f>
        <v/>
      </c>
      <c r="G133" s="6">
        <f>IF($E133="","", DEGREES(ATAN((INDEX(Calc!$E:$E, MATCH("KminusZ_m", Calc!$C:$C, 0)) - $E133 + $B133) / INDEX(Calc!$E:$E, MATCH("L_ramp_m", Calc!$C:$C, 0)))))</f>
        <v/>
      </c>
      <c r="H133" s="3">
        <f>IF($E133="","", IF(AND($E133&gt;=INDEX(Calc!$E:$E, MATCH("min_fwd_draft_m", Calc!$C:$C, 0)), $E133&lt;=INDEX(Calc!$E:$E, MATCH("max_fwd_draft_m", Calc!$C:$C, 0)), $G133&lt;=INDEX(Calc!$E:$E, MATCH("theta_max_deg", Calc!$C:$C, 0))), "OK", "CHECK"))</f>
        <v/>
      </c>
      <c r="I133" s="6">
        <f>IF($E133="","", INDEX(Calc!$E:$E, MATCH("D_vessel_m", Calc!$C:$C, 0)) - $E133 + $B133)</f>
        <v/>
      </c>
      <c r="J133" s="6">
        <f>IF($F133="","", INDEX(Calc!$E:$E, MATCH("D_vessel_m", Calc!$C:$C, 0)) - $F133 + $B133)</f>
        <v/>
      </c>
      <c r="K133" s="3">
        <f>IF(D133=0, "Even Keel", "")</f>
        <v/>
      </c>
    </row>
    <row r="134">
      <c r="A134" s="3">
        <f>IF(December_Tide_2025!A134="","",December_Tide_2025!A134)</f>
        <v/>
      </c>
      <c r="B134" s="6">
        <f>IF(December_Tide_2025!B134="","",December_Tide_2025!B134)</f>
        <v/>
      </c>
      <c r="C134" s="6">
        <f>IF($A134="","", INDEX(Calc!$E:$E, MATCH("KminusZ_m", Calc!$C:$C, 0)) + $B134 - INDEX(Calc!$E:$E, MATCH("L_ramp_m", Calc!$C:$C, 0)) * TAN(RADIANS(INDEX(Calc!$E:$E, MATCH("theta_max_deg", Calc!$C:$C, 0)))))</f>
        <v/>
      </c>
      <c r="D134" s="6" t="n"/>
      <c r="E134" s="6">
        <f>IF($C134="","", IF($D134="", $C134, $C134 - $D134/2))</f>
        <v/>
      </c>
      <c r="F134" s="6">
        <f>IF($C134="","", IF($D134="", $C134, $C134 + $D134/2))</f>
        <v/>
      </c>
      <c r="G134" s="6">
        <f>IF($E134="","", DEGREES(ATAN((INDEX(Calc!$E:$E, MATCH("KminusZ_m", Calc!$C:$C, 0)) - $E134 + $B134) / INDEX(Calc!$E:$E, MATCH("L_ramp_m", Calc!$C:$C, 0)))))</f>
        <v/>
      </c>
      <c r="H134" s="3">
        <f>IF($E134="","", IF(AND($E134&gt;=INDEX(Calc!$E:$E, MATCH("min_fwd_draft_m", Calc!$C:$C, 0)), $E134&lt;=INDEX(Calc!$E:$E, MATCH("max_fwd_draft_m", Calc!$C:$C, 0)), $G134&lt;=INDEX(Calc!$E:$E, MATCH("theta_max_deg", Calc!$C:$C, 0))), "OK", "CHECK"))</f>
        <v/>
      </c>
      <c r="I134" s="6">
        <f>IF($E134="","", INDEX(Calc!$E:$E, MATCH("D_vessel_m", Calc!$C:$C, 0)) - $E134 + $B134)</f>
        <v/>
      </c>
      <c r="J134" s="6">
        <f>IF($F134="","", INDEX(Calc!$E:$E, MATCH("D_vessel_m", Calc!$C:$C, 0)) - $F134 + $B134)</f>
        <v/>
      </c>
      <c r="K134" s="3">
        <f>IF(D134=0, "Even Keel", "")</f>
        <v/>
      </c>
    </row>
    <row r="135">
      <c r="A135" s="3">
        <f>IF(December_Tide_2025!A135="","",December_Tide_2025!A135)</f>
        <v/>
      </c>
      <c r="B135" s="6">
        <f>IF(December_Tide_2025!B135="","",December_Tide_2025!B135)</f>
        <v/>
      </c>
      <c r="C135" s="6">
        <f>IF($A135="","", INDEX(Calc!$E:$E, MATCH("KminusZ_m", Calc!$C:$C, 0)) + $B135 - INDEX(Calc!$E:$E, MATCH("L_ramp_m", Calc!$C:$C, 0)) * TAN(RADIANS(INDEX(Calc!$E:$E, MATCH("theta_max_deg", Calc!$C:$C, 0)))))</f>
        <v/>
      </c>
      <c r="D135" s="6" t="n"/>
      <c r="E135" s="6">
        <f>IF($C135="","", IF($D135="", $C135, $C135 - $D135/2))</f>
        <v/>
      </c>
      <c r="F135" s="6">
        <f>IF($C135="","", IF($D135="", $C135, $C135 + $D135/2))</f>
        <v/>
      </c>
      <c r="G135" s="6">
        <f>IF($E135="","", DEGREES(ATAN((INDEX(Calc!$E:$E, MATCH("KminusZ_m", Calc!$C:$C, 0)) - $E135 + $B135) / INDEX(Calc!$E:$E, MATCH("L_ramp_m", Calc!$C:$C, 0)))))</f>
        <v/>
      </c>
      <c r="H135" s="3">
        <f>IF($E135="","", IF(AND($E135&gt;=INDEX(Calc!$E:$E, MATCH("min_fwd_draft_m", Calc!$C:$C, 0)), $E135&lt;=INDEX(Calc!$E:$E, MATCH("max_fwd_draft_m", Calc!$C:$C, 0)), $G135&lt;=INDEX(Calc!$E:$E, MATCH("theta_max_deg", Calc!$C:$C, 0))), "OK", "CHECK"))</f>
        <v/>
      </c>
      <c r="I135" s="6">
        <f>IF($E135="","", INDEX(Calc!$E:$E, MATCH("D_vessel_m", Calc!$C:$C, 0)) - $E135 + $B135)</f>
        <v/>
      </c>
      <c r="J135" s="6">
        <f>IF($F135="","", INDEX(Calc!$E:$E, MATCH("D_vessel_m", Calc!$C:$C, 0)) - $F135 + $B135)</f>
        <v/>
      </c>
      <c r="K135" s="3">
        <f>IF(D135=0, "Even Keel", "")</f>
        <v/>
      </c>
    </row>
    <row r="136">
      <c r="A136" s="3">
        <f>IF(December_Tide_2025!A136="","",December_Tide_2025!A136)</f>
        <v/>
      </c>
      <c r="B136" s="6">
        <f>IF(December_Tide_2025!B136="","",December_Tide_2025!B136)</f>
        <v/>
      </c>
      <c r="C136" s="6">
        <f>IF($A136="","", INDEX(Calc!$E:$E, MATCH("KminusZ_m", Calc!$C:$C, 0)) + $B136 - INDEX(Calc!$E:$E, MATCH("L_ramp_m", Calc!$C:$C, 0)) * TAN(RADIANS(INDEX(Calc!$E:$E, MATCH("theta_max_deg", Calc!$C:$C, 0)))))</f>
        <v/>
      </c>
      <c r="D136" s="6" t="n"/>
      <c r="E136" s="6">
        <f>IF($C136="","", IF($D136="", $C136, $C136 - $D136/2))</f>
        <v/>
      </c>
      <c r="F136" s="6">
        <f>IF($C136="","", IF($D136="", $C136, $C136 + $D136/2))</f>
        <v/>
      </c>
      <c r="G136" s="6">
        <f>IF($E136="","", DEGREES(ATAN((INDEX(Calc!$E:$E, MATCH("KminusZ_m", Calc!$C:$C, 0)) - $E136 + $B136) / INDEX(Calc!$E:$E, MATCH("L_ramp_m", Calc!$C:$C, 0)))))</f>
        <v/>
      </c>
      <c r="H136" s="3">
        <f>IF($E136="","", IF(AND($E136&gt;=INDEX(Calc!$E:$E, MATCH("min_fwd_draft_m", Calc!$C:$C, 0)), $E136&lt;=INDEX(Calc!$E:$E, MATCH("max_fwd_draft_m", Calc!$C:$C, 0)), $G136&lt;=INDEX(Calc!$E:$E, MATCH("theta_max_deg", Calc!$C:$C, 0))), "OK", "CHECK"))</f>
        <v/>
      </c>
      <c r="I136" s="6">
        <f>IF($E136="","", INDEX(Calc!$E:$E, MATCH("D_vessel_m", Calc!$C:$C, 0)) - $E136 + $B136)</f>
        <v/>
      </c>
      <c r="J136" s="6">
        <f>IF($F136="","", INDEX(Calc!$E:$E, MATCH("D_vessel_m", Calc!$C:$C, 0)) - $F136 + $B136)</f>
        <v/>
      </c>
      <c r="K136" s="3">
        <f>IF(D136=0, "Even Keel", "")</f>
        <v/>
      </c>
    </row>
    <row r="137">
      <c r="A137" s="3">
        <f>IF(December_Tide_2025!A137="","",December_Tide_2025!A137)</f>
        <v/>
      </c>
      <c r="B137" s="6">
        <f>IF(December_Tide_2025!B137="","",December_Tide_2025!B137)</f>
        <v/>
      </c>
      <c r="C137" s="6">
        <f>IF($A137="","", INDEX(Calc!$E:$E, MATCH("KminusZ_m", Calc!$C:$C, 0)) + $B137 - INDEX(Calc!$E:$E, MATCH("L_ramp_m", Calc!$C:$C, 0)) * TAN(RADIANS(INDEX(Calc!$E:$E, MATCH("theta_max_deg", Calc!$C:$C, 0)))))</f>
        <v/>
      </c>
      <c r="D137" s="6" t="n"/>
      <c r="E137" s="6">
        <f>IF($C137="","", IF($D137="", $C137, $C137 - $D137/2))</f>
        <v/>
      </c>
      <c r="F137" s="6">
        <f>IF($C137="","", IF($D137="", $C137, $C137 + $D137/2))</f>
        <v/>
      </c>
      <c r="G137" s="6">
        <f>IF($E137="","", DEGREES(ATAN((INDEX(Calc!$E:$E, MATCH("KminusZ_m", Calc!$C:$C, 0)) - $E137 + $B137) / INDEX(Calc!$E:$E, MATCH("L_ramp_m", Calc!$C:$C, 0)))))</f>
        <v/>
      </c>
      <c r="H137" s="3">
        <f>IF($E137="","", IF(AND($E137&gt;=INDEX(Calc!$E:$E, MATCH("min_fwd_draft_m", Calc!$C:$C, 0)), $E137&lt;=INDEX(Calc!$E:$E, MATCH("max_fwd_draft_m", Calc!$C:$C, 0)), $G137&lt;=INDEX(Calc!$E:$E, MATCH("theta_max_deg", Calc!$C:$C, 0))), "OK", "CHECK"))</f>
        <v/>
      </c>
      <c r="I137" s="6">
        <f>IF($E137="","", INDEX(Calc!$E:$E, MATCH("D_vessel_m", Calc!$C:$C, 0)) - $E137 + $B137)</f>
        <v/>
      </c>
      <c r="J137" s="6">
        <f>IF($F137="","", INDEX(Calc!$E:$E, MATCH("D_vessel_m", Calc!$C:$C, 0)) - $F137 + $B137)</f>
        <v/>
      </c>
      <c r="K137" s="3">
        <f>IF(D137=0, "Even Keel", "")</f>
        <v/>
      </c>
    </row>
    <row r="138">
      <c r="A138" s="3">
        <f>IF(December_Tide_2025!A138="","",December_Tide_2025!A138)</f>
        <v/>
      </c>
      <c r="B138" s="6">
        <f>IF(December_Tide_2025!B138="","",December_Tide_2025!B138)</f>
        <v/>
      </c>
      <c r="C138" s="6">
        <f>IF($A138="","", INDEX(Calc!$E:$E, MATCH("KminusZ_m", Calc!$C:$C, 0)) + $B138 - INDEX(Calc!$E:$E, MATCH("L_ramp_m", Calc!$C:$C, 0)) * TAN(RADIANS(INDEX(Calc!$E:$E, MATCH("theta_max_deg", Calc!$C:$C, 0)))))</f>
        <v/>
      </c>
      <c r="D138" s="6" t="n"/>
      <c r="E138" s="6">
        <f>IF($C138="","", IF($D138="", $C138, $C138 - $D138/2))</f>
        <v/>
      </c>
      <c r="F138" s="6">
        <f>IF($C138="","", IF($D138="", $C138, $C138 + $D138/2))</f>
        <v/>
      </c>
      <c r="G138" s="6">
        <f>IF($E138="","", DEGREES(ATAN((INDEX(Calc!$E:$E, MATCH("KminusZ_m", Calc!$C:$C, 0)) - $E138 + $B138) / INDEX(Calc!$E:$E, MATCH("L_ramp_m", Calc!$C:$C, 0)))))</f>
        <v/>
      </c>
      <c r="H138" s="3">
        <f>IF($E138="","", IF(AND($E138&gt;=INDEX(Calc!$E:$E, MATCH("min_fwd_draft_m", Calc!$C:$C, 0)), $E138&lt;=INDEX(Calc!$E:$E, MATCH("max_fwd_draft_m", Calc!$C:$C, 0)), $G138&lt;=INDEX(Calc!$E:$E, MATCH("theta_max_deg", Calc!$C:$C, 0))), "OK", "CHECK"))</f>
        <v/>
      </c>
      <c r="I138" s="6">
        <f>IF($E138="","", INDEX(Calc!$E:$E, MATCH("D_vessel_m", Calc!$C:$C, 0)) - $E138 + $B138)</f>
        <v/>
      </c>
      <c r="J138" s="6">
        <f>IF($F138="","", INDEX(Calc!$E:$E, MATCH("D_vessel_m", Calc!$C:$C, 0)) - $F138 + $B138)</f>
        <v/>
      </c>
      <c r="K138" s="3">
        <f>IF(D138=0, "Even Keel", "")</f>
        <v/>
      </c>
    </row>
    <row r="139">
      <c r="A139" s="3">
        <f>IF(December_Tide_2025!A139="","",December_Tide_2025!A139)</f>
        <v/>
      </c>
      <c r="B139" s="6">
        <f>IF(December_Tide_2025!B139="","",December_Tide_2025!B139)</f>
        <v/>
      </c>
      <c r="C139" s="6">
        <f>IF($A139="","", INDEX(Calc!$E:$E, MATCH("KminusZ_m", Calc!$C:$C, 0)) + $B139 - INDEX(Calc!$E:$E, MATCH("L_ramp_m", Calc!$C:$C, 0)) * TAN(RADIANS(INDEX(Calc!$E:$E, MATCH("theta_max_deg", Calc!$C:$C, 0)))))</f>
        <v/>
      </c>
      <c r="D139" s="6" t="n"/>
      <c r="E139" s="6">
        <f>IF($C139="","", IF($D139="", $C139, $C139 - $D139/2))</f>
        <v/>
      </c>
      <c r="F139" s="6">
        <f>IF($C139="","", IF($D139="", $C139, $C139 + $D139/2))</f>
        <v/>
      </c>
      <c r="G139" s="6">
        <f>IF($E139="","", DEGREES(ATAN((INDEX(Calc!$E:$E, MATCH("KminusZ_m", Calc!$C:$C, 0)) - $E139 + $B139) / INDEX(Calc!$E:$E, MATCH("L_ramp_m", Calc!$C:$C, 0)))))</f>
        <v/>
      </c>
      <c r="H139" s="3">
        <f>IF($E139="","", IF(AND($E139&gt;=INDEX(Calc!$E:$E, MATCH("min_fwd_draft_m", Calc!$C:$C, 0)), $E139&lt;=INDEX(Calc!$E:$E, MATCH("max_fwd_draft_m", Calc!$C:$C, 0)), $G139&lt;=INDEX(Calc!$E:$E, MATCH("theta_max_deg", Calc!$C:$C, 0))), "OK", "CHECK"))</f>
        <v/>
      </c>
      <c r="I139" s="6">
        <f>IF($E139="","", INDEX(Calc!$E:$E, MATCH("D_vessel_m", Calc!$C:$C, 0)) - $E139 + $B139)</f>
        <v/>
      </c>
      <c r="J139" s="6">
        <f>IF($F139="","", INDEX(Calc!$E:$E, MATCH("D_vessel_m", Calc!$C:$C, 0)) - $F139 + $B139)</f>
        <v/>
      </c>
      <c r="K139" s="3">
        <f>IF(D139=0, "Even Keel", "")</f>
        <v/>
      </c>
    </row>
    <row r="140">
      <c r="A140" s="3">
        <f>IF(December_Tide_2025!A140="","",December_Tide_2025!A140)</f>
        <v/>
      </c>
      <c r="B140" s="6">
        <f>IF(December_Tide_2025!B140="","",December_Tide_2025!B140)</f>
        <v/>
      </c>
      <c r="C140" s="6">
        <f>IF($A140="","", INDEX(Calc!$E:$E, MATCH("KminusZ_m", Calc!$C:$C, 0)) + $B140 - INDEX(Calc!$E:$E, MATCH("L_ramp_m", Calc!$C:$C, 0)) * TAN(RADIANS(INDEX(Calc!$E:$E, MATCH("theta_max_deg", Calc!$C:$C, 0)))))</f>
        <v/>
      </c>
      <c r="D140" s="6" t="n"/>
      <c r="E140" s="6">
        <f>IF($C140="","", IF($D140="", $C140, $C140 - $D140/2))</f>
        <v/>
      </c>
      <c r="F140" s="6">
        <f>IF($C140="","", IF($D140="", $C140, $C140 + $D140/2))</f>
        <v/>
      </c>
      <c r="G140" s="6">
        <f>IF($E140="","", DEGREES(ATAN((INDEX(Calc!$E:$E, MATCH("KminusZ_m", Calc!$C:$C, 0)) - $E140 + $B140) / INDEX(Calc!$E:$E, MATCH("L_ramp_m", Calc!$C:$C, 0)))))</f>
        <v/>
      </c>
      <c r="H140" s="3">
        <f>IF($E140="","", IF(AND($E140&gt;=INDEX(Calc!$E:$E, MATCH("min_fwd_draft_m", Calc!$C:$C, 0)), $E140&lt;=INDEX(Calc!$E:$E, MATCH("max_fwd_draft_m", Calc!$C:$C, 0)), $G140&lt;=INDEX(Calc!$E:$E, MATCH("theta_max_deg", Calc!$C:$C, 0))), "OK", "CHECK"))</f>
        <v/>
      </c>
      <c r="I140" s="6">
        <f>IF($E140="","", INDEX(Calc!$E:$E, MATCH("D_vessel_m", Calc!$C:$C, 0)) - $E140 + $B140)</f>
        <v/>
      </c>
      <c r="J140" s="6">
        <f>IF($F140="","", INDEX(Calc!$E:$E, MATCH("D_vessel_m", Calc!$C:$C, 0)) - $F140 + $B140)</f>
        <v/>
      </c>
      <c r="K140" s="3">
        <f>IF(D140=0, "Even Keel", "")</f>
        <v/>
      </c>
    </row>
    <row r="141">
      <c r="A141" s="3">
        <f>IF(December_Tide_2025!A141="","",December_Tide_2025!A141)</f>
        <v/>
      </c>
      <c r="B141" s="6">
        <f>IF(December_Tide_2025!B141="","",December_Tide_2025!B141)</f>
        <v/>
      </c>
      <c r="C141" s="6">
        <f>IF($A141="","", INDEX(Calc!$E:$E, MATCH("KminusZ_m", Calc!$C:$C, 0)) + $B141 - INDEX(Calc!$E:$E, MATCH("L_ramp_m", Calc!$C:$C, 0)) * TAN(RADIANS(INDEX(Calc!$E:$E, MATCH("theta_max_deg", Calc!$C:$C, 0)))))</f>
        <v/>
      </c>
      <c r="D141" s="6" t="n"/>
      <c r="E141" s="6">
        <f>IF($C141="","", IF($D141="", $C141, $C141 - $D141/2))</f>
        <v/>
      </c>
      <c r="F141" s="6">
        <f>IF($C141="","", IF($D141="", $C141, $C141 + $D141/2))</f>
        <v/>
      </c>
      <c r="G141" s="6">
        <f>IF($E141="","", DEGREES(ATAN((INDEX(Calc!$E:$E, MATCH("KminusZ_m", Calc!$C:$C, 0)) - $E141 + $B141) / INDEX(Calc!$E:$E, MATCH("L_ramp_m", Calc!$C:$C, 0)))))</f>
        <v/>
      </c>
      <c r="H141" s="3">
        <f>IF($E141="","", IF(AND($E141&gt;=INDEX(Calc!$E:$E, MATCH("min_fwd_draft_m", Calc!$C:$C, 0)), $E141&lt;=INDEX(Calc!$E:$E, MATCH("max_fwd_draft_m", Calc!$C:$C, 0)), $G141&lt;=INDEX(Calc!$E:$E, MATCH("theta_max_deg", Calc!$C:$C, 0))), "OK", "CHECK"))</f>
        <v/>
      </c>
      <c r="I141" s="6">
        <f>IF($E141="","", INDEX(Calc!$E:$E, MATCH("D_vessel_m", Calc!$C:$C, 0)) - $E141 + $B141)</f>
        <v/>
      </c>
      <c r="J141" s="6">
        <f>IF($F141="","", INDEX(Calc!$E:$E, MATCH("D_vessel_m", Calc!$C:$C, 0)) - $F141 + $B141)</f>
        <v/>
      </c>
      <c r="K141" s="3">
        <f>IF(D141=0, "Even Keel", "")</f>
        <v/>
      </c>
    </row>
    <row r="142">
      <c r="A142" s="3">
        <f>IF(December_Tide_2025!A142="","",December_Tide_2025!A142)</f>
        <v/>
      </c>
      <c r="B142" s="6">
        <f>IF(December_Tide_2025!B142="","",December_Tide_2025!B142)</f>
        <v/>
      </c>
      <c r="C142" s="6">
        <f>IF($A142="","", INDEX(Calc!$E:$E, MATCH("KminusZ_m", Calc!$C:$C, 0)) + $B142 - INDEX(Calc!$E:$E, MATCH("L_ramp_m", Calc!$C:$C, 0)) * TAN(RADIANS(INDEX(Calc!$E:$E, MATCH("theta_max_deg", Calc!$C:$C, 0)))))</f>
        <v/>
      </c>
      <c r="D142" s="6" t="n"/>
      <c r="E142" s="6">
        <f>IF($C142="","", IF($D142="", $C142, $C142 - $D142/2))</f>
        <v/>
      </c>
      <c r="F142" s="6">
        <f>IF($C142="","", IF($D142="", $C142, $C142 + $D142/2))</f>
        <v/>
      </c>
      <c r="G142" s="6">
        <f>IF($E142="","", DEGREES(ATAN((INDEX(Calc!$E:$E, MATCH("KminusZ_m", Calc!$C:$C, 0)) - $E142 + $B142) / INDEX(Calc!$E:$E, MATCH("L_ramp_m", Calc!$C:$C, 0)))))</f>
        <v/>
      </c>
      <c r="H142" s="3">
        <f>IF($E142="","", IF(AND($E142&gt;=INDEX(Calc!$E:$E, MATCH("min_fwd_draft_m", Calc!$C:$C, 0)), $E142&lt;=INDEX(Calc!$E:$E, MATCH("max_fwd_draft_m", Calc!$C:$C, 0)), $G142&lt;=INDEX(Calc!$E:$E, MATCH("theta_max_deg", Calc!$C:$C, 0))), "OK", "CHECK"))</f>
        <v/>
      </c>
      <c r="I142" s="6">
        <f>IF($E142="","", INDEX(Calc!$E:$E, MATCH("D_vessel_m", Calc!$C:$C, 0)) - $E142 + $B142)</f>
        <v/>
      </c>
      <c r="J142" s="6">
        <f>IF($F142="","", INDEX(Calc!$E:$E, MATCH("D_vessel_m", Calc!$C:$C, 0)) - $F142 + $B142)</f>
        <v/>
      </c>
      <c r="K142" s="3">
        <f>IF(D142=0, "Even Keel", "")</f>
        <v/>
      </c>
    </row>
    <row r="143">
      <c r="A143" s="3">
        <f>IF(December_Tide_2025!A143="","",December_Tide_2025!A143)</f>
        <v/>
      </c>
      <c r="B143" s="6">
        <f>IF(December_Tide_2025!B143="","",December_Tide_2025!B143)</f>
        <v/>
      </c>
      <c r="C143" s="6">
        <f>IF($A143="","", INDEX(Calc!$E:$E, MATCH("KminusZ_m", Calc!$C:$C, 0)) + $B143 - INDEX(Calc!$E:$E, MATCH("L_ramp_m", Calc!$C:$C, 0)) * TAN(RADIANS(INDEX(Calc!$E:$E, MATCH("theta_max_deg", Calc!$C:$C, 0)))))</f>
        <v/>
      </c>
      <c r="D143" s="6" t="n"/>
      <c r="E143" s="6">
        <f>IF($C143="","", IF($D143="", $C143, $C143 - $D143/2))</f>
        <v/>
      </c>
      <c r="F143" s="6">
        <f>IF($C143="","", IF($D143="", $C143, $C143 + $D143/2))</f>
        <v/>
      </c>
      <c r="G143" s="6">
        <f>IF($E143="","", DEGREES(ATAN((INDEX(Calc!$E:$E, MATCH("KminusZ_m", Calc!$C:$C, 0)) - $E143 + $B143) / INDEX(Calc!$E:$E, MATCH("L_ramp_m", Calc!$C:$C, 0)))))</f>
        <v/>
      </c>
      <c r="H143" s="3">
        <f>IF($E143="","", IF(AND($E143&gt;=INDEX(Calc!$E:$E, MATCH("min_fwd_draft_m", Calc!$C:$C, 0)), $E143&lt;=INDEX(Calc!$E:$E, MATCH("max_fwd_draft_m", Calc!$C:$C, 0)), $G143&lt;=INDEX(Calc!$E:$E, MATCH("theta_max_deg", Calc!$C:$C, 0))), "OK", "CHECK"))</f>
        <v/>
      </c>
      <c r="I143" s="6">
        <f>IF($E143="","", INDEX(Calc!$E:$E, MATCH("D_vessel_m", Calc!$C:$C, 0)) - $E143 + $B143)</f>
        <v/>
      </c>
      <c r="J143" s="6">
        <f>IF($F143="","", INDEX(Calc!$E:$E, MATCH("D_vessel_m", Calc!$C:$C, 0)) - $F143 + $B143)</f>
        <v/>
      </c>
      <c r="K143" s="3">
        <f>IF(D143=0, "Even Keel", "")</f>
        <v/>
      </c>
    </row>
    <row r="144">
      <c r="A144" s="3">
        <f>IF(December_Tide_2025!A144="","",December_Tide_2025!A144)</f>
        <v/>
      </c>
      <c r="B144" s="6">
        <f>IF(December_Tide_2025!B144="","",December_Tide_2025!B144)</f>
        <v/>
      </c>
      <c r="C144" s="6">
        <f>IF($A144="","", INDEX(Calc!$E:$E, MATCH("KminusZ_m", Calc!$C:$C, 0)) + $B144 - INDEX(Calc!$E:$E, MATCH("L_ramp_m", Calc!$C:$C, 0)) * TAN(RADIANS(INDEX(Calc!$E:$E, MATCH("theta_max_deg", Calc!$C:$C, 0)))))</f>
        <v/>
      </c>
      <c r="D144" s="6" t="n"/>
      <c r="E144" s="6">
        <f>IF($C144="","", IF($D144="", $C144, $C144 - $D144/2))</f>
        <v/>
      </c>
      <c r="F144" s="6">
        <f>IF($C144="","", IF($D144="", $C144, $C144 + $D144/2))</f>
        <v/>
      </c>
      <c r="G144" s="6">
        <f>IF($E144="","", DEGREES(ATAN((INDEX(Calc!$E:$E, MATCH("KminusZ_m", Calc!$C:$C, 0)) - $E144 + $B144) / INDEX(Calc!$E:$E, MATCH("L_ramp_m", Calc!$C:$C, 0)))))</f>
        <v/>
      </c>
      <c r="H144" s="3">
        <f>IF($E144="","", IF(AND($E144&gt;=INDEX(Calc!$E:$E, MATCH("min_fwd_draft_m", Calc!$C:$C, 0)), $E144&lt;=INDEX(Calc!$E:$E, MATCH("max_fwd_draft_m", Calc!$C:$C, 0)), $G144&lt;=INDEX(Calc!$E:$E, MATCH("theta_max_deg", Calc!$C:$C, 0))), "OK", "CHECK"))</f>
        <v/>
      </c>
      <c r="I144" s="6">
        <f>IF($E144="","", INDEX(Calc!$E:$E, MATCH("D_vessel_m", Calc!$C:$C, 0)) - $E144 + $B144)</f>
        <v/>
      </c>
      <c r="J144" s="6">
        <f>IF($F144="","", INDEX(Calc!$E:$E, MATCH("D_vessel_m", Calc!$C:$C, 0)) - $F144 + $B144)</f>
        <v/>
      </c>
      <c r="K144" s="3">
        <f>IF(D144=0, "Even Keel", "")</f>
        <v/>
      </c>
    </row>
    <row r="145">
      <c r="A145" s="3">
        <f>IF(December_Tide_2025!A145="","",December_Tide_2025!A145)</f>
        <v/>
      </c>
      <c r="B145" s="6">
        <f>IF(December_Tide_2025!B145="","",December_Tide_2025!B145)</f>
        <v/>
      </c>
      <c r="C145" s="6">
        <f>IF($A145="","", INDEX(Calc!$E:$E, MATCH("KminusZ_m", Calc!$C:$C, 0)) + $B145 - INDEX(Calc!$E:$E, MATCH("L_ramp_m", Calc!$C:$C, 0)) * TAN(RADIANS(INDEX(Calc!$E:$E, MATCH("theta_max_deg", Calc!$C:$C, 0)))))</f>
        <v/>
      </c>
      <c r="D145" s="6" t="n"/>
      <c r="E145" s="6">
        <f>IF($C145="","", IF($D145="", $C145, $C145 - $D145/2))</f>
        <v/>
      </c>
      <c r="F145" s="6">
        <f>IF($C145="","", IF($D145="", $C145, $C145 + $D145/2))</f>
        <v/>
      </c>
      <c r="G145" s="6">
        <f>IF($E145="","", DEGREES(ATAN((INDEX(Calc!$E:$E, MATCH("KminusZ_m", Calc!$C:$C, 0)) - $E145 + $B145) / INDEX(Calc!$E:$E, MATCH("L_ramp_m", Calc!$C:$C, 0)))))</f>
        <v/>
      </c>
      <c r="H145" s="3">
        <f>IF($E145="","", IF(AND($E145&gt;=INDEX(Calc!$E:$E, MATCH("min_fwd_draft_m", Calc!$C:$C, 0)), $E145&lt;=INDEX(Calc!$E:$E, MATCH("max_fwd_draft_m", Calc!$C:$C, 0)), $G145&lt;=INDEX(Calc!$E:$E, MATCH("theta_max_deg", Calc!$C:$C, 0))), "OK", "CHECK"))</f>
        <v/>
      </c>
      <c r="I145" s="6">
        <f>IF($E145="","", INDEX(Calc!$E:$E, MATCH("D_vessel_m", Calc!$C:$C, 0)) - $E145 + $B145)</f>
        <v/>
      </c>
      <c r="J145" s="6">
        <f>IF($F145="","", INDEX(Calc!$E:$E, MATCH("D_vessel_m", Calc!$C:$C, 0)) - $F145 + $B145)</f>
        <v/>
      </c>
      <c r="K145" s="3">
        <f>IF(D145=0, "Even Keel", "")</f>
        <v/>
      </c>
    </row>
    <row r="146">
      <c r="A146" s="3">
        <f>IF(December_Tide_2025!A146="","",December_Tide_2025!A146)</f>
        <v/>
      </c>
      <c r="B146" s="6">
        <f>IF(December_Tide_2025!B146="","",December_Tide_2025!B146)</f>
        <v/>
      </c>
      <c r="C146" s="6">
        <f>IF($A146="","", INDEX(Calc!$E:$E, MATCH("KminusZ_m", Calc!$C:$C, 0)) + $B146 - INDEX(Calc!$E:$E, MATCH("L_ramp_m", Calc!$C:$C, 0)) * TAN(RADIANS(INDEX(Calc!$E:$E, MATCH("theta_max_deg", Calc!$C:$C, 0)))))</f>
        <v/>
      </c>
      <c r="D146" s="6" t="n"/>
      <c r="E146" s="6">
        <f>IF($C146="","", IF($D146="", $C146, $C146 - $D146/2))</f>
        <v/>
      </c>
      <c r="F146" s="6">
        <f>IF($C146="","", IF($D146="", $C146, $C146 + $D146/2))</f>
        <v/>
      </c>
      <c r="G146" s="6">
        <f>IF($E146="","", DEGREES(ATAN((INDEX(Calc!$E:$E, MATCH("KminusZ_m", Calc!$C:$C, 0)) - $E146 + $B146) / INDEX(Calc!$E:$E, MATCH("L_ramp_m", Calc!$C:$C, 0)))))</f>
        <v/>
      </c>
      <c r="H146" s="3">
        <f>IF($E146="","", IF(AND($E146&gt;=INDEX(Calc!$E:$E, MATCH("min_fwd_draft_m", Calc!$C:$C, 0)), $E146&lt;=INDEX(Calc!$E:$E, MATCH("max_fwd_draft_m", Calc!$C:$C, 0)), $G146&lt;=INDEX(Calc!$E:$E, MATCH("theta_max_deg", Calc!$C:$C, 0))), "OK", "CHECK"))</f>
        <v/>
      </c>
      <c r="I146" s="6">
        <f>IF($E146="","", INDEX(Calc!$E:$E, MATCH("D_vessel_m", Calc!$C:$C, 0)) - $E146 + $B146)</f>
        <v/>
      </c>
      <c r="J146" s="6">
        <f>IF($F146="","", INDEX(Calc!$E:$E, MATCH("D_vessel_m", Calc!$C:$C, 0)) - $F146 + $B146)</f>
        <v/>
      </c>
      <c r="K146" s="3">
        <f>IF(D146=0, "Even Keel", "")</f>
        <v/>
      </c>
    </row>
    <row r="147">
      <c r="A147" s="3">
        <f>IF(December_Tide_2025!A147="","",December_Tide_2025!A147)</f>
        <v/>
      </c>
      <c r="B147" s="6">
        <f>IF(December_Tide_2025!B147="","",December_Tide_2025!B147)</f>
        <v/>
      </c>
      <c r="C147" s="6">
        <f>IF($A147="","", INDEX(Calc!$E:$E, MATCH("KminusZ_m", Calc!$C:$C, 0)) + $B147 - INDEX(Calc!$E:$E, MATCH("L_ramp_m", Calc!$C:$C, 0)) * TAN(RADIANS(INDEX(Calc!$E:$E, MATCH("theta_max_deg", Calc!$C:$C, 0)))))</f>
        <v/>
      </c>
      <c r="D147" s="6" t="n"/>
      <c r="E147" s="6">
        <f>IF($C147="","", IF($D147="", $C147, $C147 - $D147/2))</f>
        <v/>
      </c>
      <c r="F147" s="6">
        <f>IF($C147="","", IF($D147="", $C147, $C147 + $D147/2))</f>
        <v/>
      </c>
      <c r="G147" s="6">
        <f>IF($E147="","", DEGREES(ATAN((INDEX(Calc!$E:$E, MATCH("KminusZ_m", Calc!$C:$C, 0)) - $E147 + $B147) / INDEX(Calc!$E:$E, MATCH("L_ramp_m", Calc!$C:$C, 0)))))</f>
        <v/>
      </c>
      <c r="H147" s="3">
        <f>IF($E147="","", IF(AND($E147&gt;=INDEX(Calc!$E:$E, MATCH("min_fwd_draft_m", Calc!$C:$C, 0)), $E147&lt;=INDEX(Calc!$E:$E, MATCH("max_fwd_draft_m", Calc!$C:$C, 0)), $G147&lt;=INDEX(Calc!$E:$E, MATCH("theta_max_deg", Calc!$C:$C, 0))), "OK", "CHECK"))</f>
        <v/>
      </c>
      <c r="I147" s="6">
        <f>IF($E147="","", INDEX(Calc!$E:$E, MATCH("D_vessel_m", Calc!$C:$C, 0)) - $E147 + $B147)</f>
        <v/>
      </c>
      <c r="J147" s="6">
        <f>IF($F147="","", INDEX(Calc!$E:$E, MATCH("D_vessel_m", Calc!$C:$C, 0)) - $F147 + $B147)</f>
        <v/>
      </c>
      <c r="K147" s="3">
        <f>IF(D147=0, "Even Keel", "")</f>
        <v/>
      </c>
    </row>
    <row r="148">
      <c r="A148" s="3">
        <f>IF(December_Tide_2025!A148="","",December_Tide_2025!A148)</f>
        <v/>
      </c>
      <c r="B148" s="6">
        <f>IF(December_Tide_2025!B148="","",December_Tide_2025!B148)</f>
        <v/>
      </c>
      <c r="C148" s="6">
        <f>IF($A148="","", INDEX(Calc!$E:$E, MATCH("KminusZ_m", Calc!$C:$C, 0)) + $B148 - INDEX(Calc!$E:$E, MATCH("L_ramp_m", Calc!$C:$C, 0)) * TAN(RADIANS(INDEX(Calc!$E:$E, MATCH("theta_max_deg", Calc!$C:$C, 0)))))</f>
        <v/>
      </c>
      <c r="D148" s="6" t="n"/>
      <c r="E148" s="6">
        <f>IF($C148="","", IF($D148="", $C148, $C148 - $D148/2))</f>
        <v/>
      </c>
      <c r="F148" s="6">
        <f>IF($C148="","", IF($D148="", $C148, $C148 + $D148/2))</f>
        <v/>
      </c>
      <c r="G148" s="6">
        <f>IF($E148="","", DEGREES(ATAN((INDEX(Calc!$E:$E, MATCH("KminusZ_m", Calc!$C:$C, 0)) - $E148 + $B148) / INDEX(Calc!$E:$E, MATCH("L_ramp_m", Calc!$C:$C, 0)))))</f>
        <v/>
      </c>
      <c r="H148" s="3">
        <f>IF($E148="","", IF(AND($E148&gt;=INDEX(Calc!$E:$E, MATCH("min_fwd_draft_m", Calc!$C:$C, 0)), $E148&lt;=INDEX(Calc!$E:$E, MATCH("max_fwd_draft_m", Calc!$C:$C, 0)), $G148&lt;=INDEX(Calc!$E:$E, MATCH("theta_max_deg", Calc!$C:$C, 0))), "OK", "CHECK"))</f>
        <v/>
      </c>
      <c r="I148" s="6">
        <f>IF($E148="","", INDEX(Calc!$E:$E, MATCH("D_vessel_m", Calc!$C:$C, 0)) - $E148 + $B148)</f>
        <v/>
      </c>
      <c r="J148" s="6">
        <f>IF($F148="","", INDEX(Calc!$E:$E, MATCH("D_vessel_m", Calc!$C:$C, 0)) - $F148 + $B148)</f>
        <v/>
      </c>
      <c r="K148" s="3">
        <f>IF(D148=0, "Even Keel", "")</f>
        <v/>
      </c>
    </row>
    <row r="149">
      <c r="A149" s="3">
        <f>IF(December_Tide_2025!A149="","",December_Tide_2025!A149)</f>
        <v/>
      </c>
      <c r="B149" s="6">
        <f>IF(December_Tide_2025!B149="","",December_Tide_2025!B149)</f>
        <v/>
      </c>
      <c r="C149" s="6">
        <f>IF($A149="","", INDEX(Calc!$E:$E, MATCH("KminusZ_m", Calc!$C:$C, 0)) + $B149 - INDEX(Calc!$E:$E, MATCH("L_ramp_m", Calc!$C:$C, 0)) * TAN(RADIANS(INDEX(Calc!$E:$E, MATCH("theta_max_deg", Calc!$C:$C, 0)))))</f>
        <v/>
      </c>
      <c r="D149" s="6" t="n"/>
      <c r="E149" s="6">
        <f>IF($C149="","", IF($D149="", $C149, $C149 - $D149/2))</f>
        <v/>
      </c>
      <c r="F149" s="6">
        <f>IF($C149="","", IF($D149="", $C149, $C149 + $D149/2))</f>
        <v/>
      </c>
      <c r="G149" s="6">
        <f>IF($E149="","", DEGREES(ATAN((INDEX(Calc!$E:$E, MATCH("KminusZ_m", Calc!$C:$C, 0)) - $E149 + $B149) / INDEX(Calc!$E:$E, MATCH("L_ramp_m", Calc!$C:$C, 0)))))</f>
        <v/>
      </c>
      <c r="H149" s="3">
        <f>IF($E149="","", IF(AND($E149&gt;=INDEX(Calc!$E:$E, MATCH("min_fwd_draft_m", Calc!$C:$C, 0)), $E149&lt;=INDEX(Calc!$E:$E, MATCH("max_fwd_draft_m", Calc!$C:$C, 0)), $G149&lt;=INDEX(Calc!$E:$E, MATCH("theta_max_deg", Calc!$C:$C, 0))), "OK", "CHECK"))</f>
        <v/>
      </c>
      <c r="I149" s="6">
        <f>IF($E149="","", INDEX(Calc!$E:$E, MATCH("D_vessel_m", Calc!$C:$C, 0)) - $E149 + $B149)</f>
        <v/>
      </c>
      <c r="J149" s="6">
        <f>IF($F149="","", INDEX(Calc!$E:$E, MATCH("D_vessel_m", Calc!$C:$C, 0)) - $F149 + $B149)</f>
        <v/>
      </c>
      <c r="K149" s="3">
        <f>IF(D149=0, "Even Keel", "")</f>
        <v/>
      </c>
    </row>
    <row r="150">
      <c r="A150" s="3">
        <f>IF(December_Tide_2025!A150="","",December_Tide_2025!A150)</f>
        <v/>
      </c>
      <c r="B150" s="6">
        <f>IF(December_Tide_2025!B150="","",December_Tide_2025!B150)</f>
        <v/>
      </c>
      <c r="C150" s="6">
        <f>IF($A150="","", INDEX(Calc!$E:$E, MATCH("KminusZ_m", Calc!$C:$C, 0)) + $B150 - INDEX(Calc!$E:$E, MATCH("L_ramp_m", Calc!$C:$C, 0)) * TAN(RADIANS(INDEX(Calc!$E:$E, MATCH("theta_max_deg", Calc!$C:$C, 0)))))</f>
        <v/>
      </c>
      <c r="D150" s="6" t="n"/>
      <c r="E150" s="6">
        <f>IF($C150="","", IF($D150="", $C150, $C150 - $D150/2))</f>
        <v/>
      </c>
      <c r="F150" s="6">
        <f>IF($C150="","", IF($D150="", $C150, $C150 + $D150/2))</f>
        <v/>
      </c>
      <c r="G150" s="6">
        <f>IF($E150="","", DEGREES(ATAN((INDEX(Calc!$E:$E, MATCH("KminusZ_m", Calc!$C:$C, 0)) - $E150 + $B150) / INDEX(Calc!$E:$E, MATCH("L_ramp_m", Calc!$C:$C, 0)))))</f>
        <v/>
      </c>
      <c r="H150" s="3">
        <f>IF($E150="","", IF(AND($E150&gt;=INDEX(Calc!$E:$E, MATCH("min_fwd_draft_m", Calc!$C:$C, 0)), $E150&lt;=INDEX(Calc!$E:$E, MATCH("max_fwd_draft_m", Calc!$C:$C, 0)), $G150&lt;=INDEX(Calc!$E:$E, MATCH("theta_max_deg", Calc!$C:$C, 0))), "OK", "CHECK"))</f>
        <v/>
      </c>
      <c r="I150" s="6">
        <f>IF($E150="","", INDEX(Calc!$E:$E, MATCH("D_vessel_m", Calc!$C:$C, 0)) - $E150 + $B150)</f>
        <v/>
      </c>
      <c r="J150" s="6">
        <f>IF($F150="","", INDEX(Calc!$E:$E, MATCH("D_vessel_m", Calc!$C:$C, 0)) - $F150 + $B150)</f>
        <v/>
      </c>
      <c r="K150" s="3">
        <f>IF(D150=0, "Even Keel", "")</f>
        <v/>
      </c>
    </row>
    <row r="151">
      <c r="A151" s="3">
        <f>IF(December_Tide_2025!A151="","",December_Tide_2025!A151)</f>
        <v/>
      </c>
      <c r="B151" s="6">
        <f>IF(December_Tide_2025!B151="","",December_Tide_2025!B151)</f>
        <v/>
      </c>
      <c r="C151" s="6">
        <f>IF($A151="","", INDEX(Calc!$E:$E, MATCH("KminusZ_m", Calc!$C:$C, 0)) + $B151 - INDEX(Calc!$E:$E, MATCH("L_ramp_m", Calc!$C:$C, 0)) * TAN(RADIANS(INDEX(Calc!$E:$E, MATCH("theta_max_deg", Calc!$C:$C, 0)))))</f>
        <v/>
      </c>
      <c r="D151" s="6" t="n"/>
      <c r="E151" s="6">
        <f>IF($C151="","", IF($D151="", $C151, $C151 - $D151/2))</f>
        <v/>
      </c>
      <c r="F151" s="6">
        <f>IF($C151="","", IF($D151="", $C151, $C151 + $D151/2))</f>
        <v/>
      </c>
      <c r="G151" s="6">
        <f>IF($E151="","", DEGREES(ATAN((INDEX(Calc!$E:$E, MATCH("KminusZ_m", Calc!$C:$C, 0)) - $E151 + $B151) / INDEX(Calc!$E:$E, MATCH("L_ramp_m", Calc!$C:$C, 0)))))</f>
        <v/>
      </c>
      <c r="H151" s="3">
        <f>IF($E151="","", IF(AND($E151&gt;=INDEX(Calc!$E:$E, MATCH("min_fwd_draft_m", Calc!$C:$C, 0)), $E151&lt;=INDEX(Calc!$E:$E, MATCH("max_fwd_draft_m", Calc!$C:$C, 0)), $G151&lt;=INDEX(Calc!$E:$E, MATCH("theta_max_deg", Calc!$C:$C, 0))), "OK", "CHECK"))</f>
        <v/>
      </c>
      <c r="I151" s="6">
        <f>IF($E151="","", INDEX(Calc!$E:$E, MATCH("D_vessel_m", Calc!$C:$C, 0)) - $E151 + $B151)</f>
        <v/>
      </c>
      <c r="J151" s="6">
        <f>IF($F151="","", INDEX(Calc!$E:$E, MATCH("D_vessel_m", Calc!$C:$C, 0)) - $F151 + $B151)</f>
        <v/>
      </c>
      <c r="K151" s="3">
        <f>IF(D151=0, "Even Keel", "")</f>
        <v/>
      </c>
    </row>
    <row r="152">
      <c r="A152" s="3">
        <f>IF(December_Tide_2025!A152="","",December_Tide_2025!A152)</f>
        <v/>
      </c>
      <c r="B152" s="6">
        <f>IF(December_Tide_2025!B152="","",December_Tide_2025!B152)</f>
        <v/>
      </c>
      <c r="C152" s="6">
        <f>IF($A152="","", INDEX(Calc!$E:$E, MATCH("KminusZ_m", Calc!$C:$C, 0)) + $B152 - INDEX(Calc!$E:$E, MATCH("L_ramp_m", Calc!$C:$C, 0)) * TAN(RADIANS(INDEX(Calc!$E:$E, MATCH("theta_max_deg", Calc!$C:$C, 0)))))</f>
        <v/>
      </c>
      <c r="D152" s="6" t="n"/>
      <c r="E152" s="6">
        <f>IF($C152="","", IF($D152="", $C152, $C152 - $D152/2))</f>
        <v/>
      </c>
      <c r="F152" s="6">
        <f>IF($C152="","", IF($D152="", $C152, $C152 + $D152/2))</f>
        <v/>
      </c>
      <c r="G152" s="6">
        <f>IF($E152="","", DEGREES(ATAN((INDEX(Calc!$E:$E, MATCH("KminusZ_m", Calc!$C:$C, 0)) - $E152 + $B152) / INDEX(Calc!$E:$E, MATCH("L_ramp_m", Calc!$C:$C, 0)))))</f>
        <v/>
      </c>
      <c r="H152" s="3">
        <f>IF($E152="","", IF(AND($E152&gt;=INDEX(Calc!$E:$E, MATCH("min_fwd_draft_m", Calc!$C:$C, 0)), $E152&lt;=INDEX(Calc!$E:$E, MATCH("max_fwd_draft_m", Calc!$C:$C, 0)), $G152&lt;=INDEX(Calc!$E:$E, MATCH("theta_max_deg", Calc!$C:$C, 0))), "OK", "CHECK"))</f>
        <v/>
      </c>
      <c r="I152" s="6">
        <f>IF($E152="","", INDEX(Calc!$E:$E, MATCH("D_vessel_m", Calc!$C:$C, 0)) - $E152 + $B152)</f>
        <v/>
      </c>
      <c r="J152" s="6">
        <f>IF($F152="","", INDEX(Calc!$E:$E, MATCH("D_vessel_m", Calc!$C:$C, 0)) - $F152 + $B152)</f>
        <v/>
      </c>
      <c r="K152" s="3">
        <f>IF(D152=0, "Even Keel", "")</f>
        <v/>
      </c>
    </row>
    <row r="153">
      <c r="A153" s="3">
        <f>IF(December_Tide_2025!A153="","",December_Tide_2025!A153)</f>
        <v/>
      </c>
      <c r="B153" s="6">
        <f>IF(December_Tide_2025!B153="","",December_Tide_2025!B153)</f>
        <v/>
      </c>
      <c r="C153" s="6">
        <f>IF($A153="","", INDEX(Calc!$E:$E, MATCH("KminusZ_m", Calc!$C:$C, 0)) + $B153 - INDEX(Calc!$E:$E, MATCH("L_ramp_m", Calc!$C:$C, 0)) * TAN(RADIANS(INDEX(Calc!$E:$E, MATCH("theta_max_deg", Calc!$C:$C, 0)))))</f>
        <v/>
      </c>
      <c r="D153" s="6" t="n"/>
      <c r="E153" s="6">
        <f>IF($C153="","", IF($D153="", $C153, $C153 - $D153/2))</f>
        <v/>
      </c>
      <c r="F153" s="6">
        <f>IF($C153="","", IF($D153="", $C153, $C153 + $D153/2))</f>
        <v/>
      </c>
      <c r="G153" s="6">
        <f>IF($E153="","", DEGREES(ATAN((INDEX(Calc!$E:$E, MATCH("KminusZ_m", Calc!$C:$C, 0)) - $E153 + $B153) / INDEX(Calc!$E:$E, MATCH("L_ramp_m", Calc!$C:$C, 0)))))</f>
        <v/>
      </c>
      <c r="H153" s="3">
        <f>IF($E153="","", IF(AND($E153&gt;=INDEX(Calc!$E:$E, MATCH("min_fwd_draft_m", Calc!$C:$C, 0)), $E153&lt;=INDEX(Calc!$E:$E, MATCH("max_fwd_draft_m", Calc!$C:$C, 0)), $G153&lt;=INDEX(Calc!$E:$E, MATCH("theta_max_deg", Calc!$C:$C, 0))), "OK", "CHECK"))</f>
        <v/>
      </c>
      <c r="I153" s="6">
        <f>IF($E153="","", INDEX(Calc!$E:$E, MATCH("D_vessel_m", Calc!$C:$C, 0)) - $E153 + $B153)</f>
        <v/>
      </c>
      <c r="J153" s="6">
        <f>IF($F153="","", INDEX(Calc!$E:$E, MATCH("D_vessel_m", Calc!$C:$C, 0)) - $F153 + $B153)</f>
        <v/>
      </c>
      <c r="K153" s="3">
        <f>IF(D153=0, "Even Keel", "")</f>
        <v/>
      </c>
    </row>
    <row r="154">
      <c r="A154" s="3">
        <f>IF(December_Tide_2025!A154="","",December_Tide_2025!A154)</f>
        <v/>
      </c>
      <c r="B154" s="6">
        <f>IF(December_Tide_2025!B154="","",December_Tide_2025!B154)</f>
        <v/>
      </c>
      <c r="C154" s="6">
        <f>IF($A154="","", INDEX(Calc!$E:$E, MATCH("KminusZ_m", Calc!$C:$C, 0)) + $B154 - INDEX(Calc!$E:$E, MATCH("L_ramp_m", Calc!$C:$C, 0)) * TAN(RADIANS(INDEX(Calc!$E:$E, MATCH("theta_max_deg", Calc!$C:$C, 0)))))</f>
        <v/>
      </c>
      <c r="D154" s="6" t="n"/>
      <c r="E154" s="6">
        <f>IF($C154="","", IF($D154="", $C154, $C154 - $D154/2))</f>
        <v/>
      </c>
      <c r="F154" s="6">
        <f>IF($C154="","", IF($D154="", $C154, $C154 + $D154/2))</f>
        <v/>
      </c>
      <c r="G154" s="6">
        <f>IF($E154="","", DEGREES(ATAN((INDEX(Calc!$E:$E, MATCH("KminusZ_m", Calc!$C:$C, 0)) - $E154 + $B154) / INDEX(Calc!$E:$E, MATCH("L_ramp_m", Calc!$C:$C, 0)))))</f>
        <v/>
      </c>
      <c r="H154" s="3">
        <f>IF($E154="","", IF(AND($E154&gt;=INDEX(Calc!$E:$E, MATCH("min_fwd_draft_m", Calc!$C:$C, 0)), $E154&lt;=INDEX(Calc!$E:$E, MATCH("max_fwd_draft_m", Calc!$C:$C, 0)), $G154&lt;=INDEX(Calc!$E:$E, MATCH("theta_max_deg", Calc!$C:$C, 0))), "OK", "CHECK"))</f>
        <v/>
      </c>
      <c r="I154" s="6">
        <f>IF($E154="","", INDEX(Calc!$E:$E, MATCH("D_vessel_m", Calc!$C:$C, 0)) - $E154 + $B154)</f>
        <v/>
      </c>
      <c r="J154" s="6">
        <f>IF($F154="","", INDEX(Calc!$E:$E, MATCH("D_vessel_m", Calc!$C:$C, 0)) - $F154 + $B154)</f>
        <v/>
      </c>
      <c r="K154" s="3">
        <f>IF(D154=0, "Even Keel", "")</f>
        <v/>
      </c>
    </row>
    <row r="155">
      <c r="A155" s="3">
        <f>IF(December_Tide_2025!A155="","",December_Tide_2025!A155)</f>
        <v/>
      </c>
      <c r="B155" s="6">
        <f>IF(December_Tide_2025!B155="","",December_Tide_2025!B155)</f>
        <v/>
      </c>
      <c r="C155" s="6">
        <f>IF($A155="","", INDEX(Calc!$E:$E, MATCH("KminusZ_m", Calc!$C:$C, 0)) + $B155 - INDEX(Calc!$E:$E, MATCH("L_ramp_m", Calc!$C:$C, 0)) * TAN(RADIANS(INDEX(Calc!$E:$E, MATCH("theta_max_deg", Calc!$C:$C, 0)))))</f>
        <v/>
      </c>
      <c r="D155" s="6" t="n"/>
      <c r="E155" s="6">
        <f>IF($C155="","", IF($D155="", $C155, $C155 - $D155/2))</f>
        <v/>
      </c>
      <c r="F155" s="6">
        <f>IF($C155="","", IF($D155="", $C155, $C155 + $D155/2))</f>
        <v/>
      </c>
      <c r="G155" s="6">
        <f>IF($E155="","", DEGREES(ATAN((INDEX(Calc!$E:$E, MATCH("KminusZ_m", Calc!$C:$C, 0)) - $E155 + $B155) / INDEX(Calc!$E:$E, MATCH("L_ramp_m", Calc!$C:$C, 0)))))</f>
        <v/>
      </c>
      <c r="H155" s="3">
        <f>IF($E155="","", IF(AND($E155&gt;=INDEX(Calc!$E:$E, MATCH("min_fwd_draft_m", Calc!$C:$C, 0)), $E155&lt;=INDEX(Calc!$E:$E, MATCH("max_fwd_draft_m", Calc!$C:$C, 0)), $G155&lt;=INDEX(Calc!$E:$E, MATCH("theta_max_deg", Calc!$C:$C, 0))), "OK", "CHECK"))</f>
        <v/>
      </c>
      <c r="I155" s="6">
        <f>IF($E155="","", INDEX(Calc!$E:$E, MATCH("D_vessel_m", Calc!$C:$C, 0)) - $E155 + $B155)</f>
        <v/>
      </c>
      <c r="J155" s="6">
        <f>IF($F155="","", INDEX(Calc!$E:$E, MATCH("D_vessel_m", Calc!$C:$C, 0)) - $F155 + $B155)</f>
        <v/>
      </c>
      <c r="K155" s="3">
        <f>IF(D155=0, "Even Keel", "")</f>
        <v/>
      </c>
    </row>
    <row r="156">
      <c r="A156" s="3">
        <f>IF(December_Tide_2025!A156="","",December_Tide_2025!A156)</f>
        <v/>
      </c>
      <c r="B156" s="6">
        <f>IF(December_Tide_2025!B156="","",December_Tide_2025!B156)</f>
        <v/>
      </c>
      <c r="C156" s="6">
        <f>IF($A156="","", INDEX(Calc!$E:$E, MATCH("KminusZ_m", Calc!$C:$C, 0)) + $B156 - INDEX(Calc!$E:$E, MATCH("L_ramp_m", Calc!$C:$C, 0)) * TAN(RADIANS(INDEX(Calc!$E:$E, MATCH("theta_max_deg", Calc!$C:$C, 0)))))</f>
        <v/>
      </c>
      <c r="D156" s="6" t="n"/>
      <c r="E156" s="6">
        <f>IF($C156="","", IF($D156="", $C156, $C156 - $D156/2))</f>
        <v/>
      </c>
      <c r="F156" s="6">
        <f>IF($C156="","", IF($D156="", $C156, $C156 + $D156/2))</f>
        <v/>
      </c>
      <c r="G156" s="6">
        <f>IF($E156="","", DEGREES(ATAN((INDEX(Calc!$E:$E, MATCH("KminusZ_m", Calc!$C:$C, 0)) - $E156 + $B156) / INDEX(Calc!$E:$E, MATCH("L_ramp_m", Calc!$C:$C, 0)))))</f>
        <v/>
      </c>
      <c r="H156" s="3">
        <f>IF($E156="","", IF(AND($E156&gt;=INDEX(Calc!$E:$E, MATCH("min_fwd_draft_m", Calc!$C:$C, 0)), $E156&lt;=INDEX(Calc!$E:$E, MATCH("max_fwd_draft_m", Calc!$C:$C, 0)), $G156&lt;=INDEX(Calc!$E:$E, MATCH("theta_max_deg", Calc!$C:$C, 0))), "OK", "CHECK"))</f>
        <v/>
      </c>
      <c r="I156" s="6">
        <f>IF($E156="","", INDEX(Calc!$E:$E, MATCH("D_vessel_m", Calc!$C:$C, 0)) - $E156 + $B156)</f>
        <v/>
      </c>
      <c r="J156" s="6">
        <f>IF($F156="","", INDEX(Calc!$E:$E, MATCH("D_vessel_m", Calc!$C:$C, 0)) - $F156 + $B156)</f>
        <v/>
      </c>
      <c r="K156" s="3">
        <f>IF(D156=0, "Even Keel", "")</f>
        <v/>
      </c>
    </row>
    <row r="157">
      <c r="A157" s="3">
        <f>IF(December_Tide_2025!A157="","",December_Tide_2025!A157)</f>
        <v/>
      </c>
      <c r="B157" s="6">
        <f>IF(December_Tide_2025!B157="","",December_Tide_2025!B157)</f>
        <v/>
      </c>
      <c r="C157" s="6">
        <f>IF($A157="","", INDEX(Calc!$E:$E, MATCH("KminusZ_m", Calc!$C:$C, 0)) + $B157 - INDEX(Calc!$E:$E, MATCH("L_ramp_m", Calc!$C:$C, 0)) * TAN(RADIANS(INDEX(Calc!$E:$E, MATCH("theta_max_deg", Calc!$C:$C, 0)))))</f>
        <v/>
      </c>
      <c r="D157" s="6" t="n"/>
      <c r="E157" s="6">
        <f>IF($C157="","", IF($D157="", $C157, $C157 - $D157/2))</f>
        <v/>
      </c>
      <c r="F157" s="6">
        <f>IF($C157="","", IF($D157="", $C157, $C157 + $D157/2))</f>
        <v/>
      </c>
      <c r="G157" s="6">
        <f>IF($E157="","", DEGREES(ATAN((INDEX(Calc!$E:$E, MATCH("KminusZ_m", Calc!$C:$C, 0)) - $E157 + $B157) / INDEX(Calc!$E:$E, MATCH("L_ramp_m", Calc!$C:$C, 0)))))</f>
        <v/>
      </c>
      <c r="H157" s="3">
        <f>IF($E157="","", IF(AND($E157&gt;=INDEX(Calc!$E:$E, MATCH("min_fwd_draft_m", Calc!$C:$C, 0)), $E157&lt;=INDEX(Calc!$E:$E, MATCH("max_fwd_draft_m", Calc!$C:$C, 0)), $G157&lt;=INDEX(Calc!$E:$E, MATCH("theta_max_deg", Calc!$C:$C, 0))), "OK", "CHECK"))</f>
        <v/>
      </c>
      <c r="I157" s="6">
        <f>IF($E157="","", INDEX(Calc!$E:$E, MATCH("D_vessel_m", Calc!$C:$C, 0)) - $E157 + $B157)</f>
        <v/>
      </c>
      <c r="J157" s="6">
        <f>IF($F157="","", INDEX(Calc!$E:$E, MATCH("D_vessel_m", Calc!$C:$C, 0)) - $F157 + $B157)</f>
        <v/>
      </c>
      <c r="K157" s="3">
        <f>IF(D157=0, "Even Keel", "")</f>
        <v/>
      </c>
    </row>
    <row r="158">
      <c r="A158" s="3">
        <f>IF(December_Tide_2025!A158="","",December_Tide_2025!A158)</f>
        <v/>
      </c>
      <c r="B158" s="6">
        <f>IF(December_Tide_2025!B158="","",December_Tide_2025!B158)</f>
        <v/>
      </c>
      <c r="C158" s="6">
        <f>IF($A158="","", INDEX(Calc!$E:$E, MATCH("KminusZ_m", Calc!$C:$C, 0)) + $B158 - INDEX(Calc!$E:$E, MATCH("L_ramp_m", Calc!$C:$C, 0)) * TAN(RADIANS(INDEX(Calc!$E:$E, MATCH("theta_max_deg", Calc!$C:$C, 0)))))</f>
        <v/>
      </c>
      <c r="D158" s="6" t="n"/>
      <c r="E158" s="6">
        <f>IF($C158="","", IF($D158="", $C158, $C158 - $D158/2))</f>
        <v/>
      </c>
      <c r="F158" s="6">
        <f>IF($C158="","", IF($D158="", $C158, $C158 + $D158/2))</f>
        <v/>
      </c>
      <c r="G158" s="6">
        <f>IF($E158="","", DEGREES(ATAN((INDEX(Calc!$E:$E, MATCH("KminusZ_m", Calc!$C:$C, 0)) - $E158 + $B158) / INDEX(Calc!$E:$E, MATCH("L_ramp_m", Calc!$C:$C, 0)))))</f>
        <v/>
      </c>
      <c r="H158" s="3">
        <f>IF($E158="","", IF(AND($E158&gt;=INDEX(Calc!$E:$E, MATCH("min_fwd_draft_m", Calc!$C:$C, 0)), $E158&lt;=INDEX(Calc!$E:$E, MATCH("max_fwd_draft_m", Calc!$C:$C, 0)), $G158&lt;=INDEX(Calc!$E:$E, MATCH("theta_max_deg", Calc!$C:$C, 0))), "OK", "CHECK"))</f>
        <v/>
      </c>
      <c r="I158" s="6">
        <f>IF($E158="","", INDEX(Calc!$E:$E, MATCH("D_vessel_m", Calc!$C:$C, 0)) - $E158 + $B158)</f>
        <v/>
      </c>
      <c r="J158" s="6">
        <f>IF($F158="","", INDEX(Calc!$E:$E, MATCH("D_vessel_m", Calc!$C:$C, 0)) - $F158 + $B158)</f>
        <v/>
      </c>
      <c r="K158" s="3">
        <f>IF(D158=0, "Even Keel", "")</f>
        <v/>
      </c>
    </row>
    <row r="159">
      <c r="A159" s="3">
        <f>IF(December_Tide_2025!A159="","",December_Tide_2025!A159)</f>
        <v/>
      </c>
      <c r="B159" s="6">
        <f>IF(December_Tide_2025!B159="","",December_Tide_2025!B159)</f>
        <v/>
      </c>
      <c r="C159" s="6">
        <f>IF($A159="","", INDEX(Calc!$E:$E, MATCH("KminusZ_m", Calc!$C:$C, 0)) + $B159 - INDEX(Calc!$E:$E, MATCH("L_ramp_m", Calc!$C:$C, 0)) * TAN(RADIANS(INDEX(Calc!$E:$E, MATCH("theta_max_deg", Calc!$C:$C, 0)))))</f>
        <v/>
      </c>
      <c r="D159" s="6" t="n"/>
      <c r="E159" s="6">
        <f>IF($C159="","", IF($D159="", $C159, $C159 - $D159/2))</f>
        <v/>
      </c>
      <c r="F159" s="6">
        <f>IF($C159="","", IF($D159="", $C159, $C159 + $D159/2))</f>
        <v/>
      </c>
      <c r="G159" s="6">
        <f>IF($E159="","", DEGREES(ATAN((INDEX(Calc!$E:$E, MATCH("KminusZ_m", Calc!$C:$C, 0)) - $E159 + $B159) / INDEX(Calc!$E:$E, MATCH("L_ramp_m", Calc!$C:$C, 0)))))</f>
        <v/>
      </c>
      <c r="H159" s="3">
        <f>IF($E159="","", IF(AND($E159&gt;=INDEX(Calc!$E:$E, MATCH("min_fwd_draft_m", Calc!$C:$C, 0)), $E159&lt;=INDEX(Calc!$E:$E, MATCH("max_fwd_draft_m", Calc!$C:$C, 0)), $G159&lt;=INDEX(Calc!$E:$E, MATCH("theta_max_deg", Calc!$C:$C, 0))), "OK", "CHECK"))</f>
        <v/>
      </c>
      <c r="I159" s="6">
        <f>IF($E159="","", INDEX(Calc!$E:$E, MATCH("D_vessel_m", Calc!$C:$C, 0)) - $E159 + $B159)</f>
        <v/>
      </c>
      <c r="J159" s="6">
        <f>IF($F159="","", INDEX(Calc!$E:$E, MATCH("D_vessel_m", Calc!$C:$C, 0)) - $F159 + $B159)</f>
        <v/>
      </c>
      <c r="K159" s="3">
        <f>IF(D159=0, "Even Keel", "")</f>
        <v/>
      </c>
    </row>
    <row r="160">
      <c r="A160" s="3">
        <f>IF(December_Tide_2025!A160="","",December_Tide_2025!A160)</f>
        <v/>
      </c>
      <c r="B160" s="6">
        <f>IF(December_Tide_2025!B160="","",December_Tide_2025!B160)</f>
        <v/>
      </c>
      <c r="C160" s="6">
        <f>IF($A160="","", INDEX(Calc!$E:$E, MATCH("KminusZ_m", Calc!$C:$C, 0)) + $B160 - INDEX(Calc!$E:$E, MATCH("L_ramp_m", Calc!$C:$C, 0)) * TAN(RADIANS(INDEX(Calc!$E:$E, MATCH("theta_max_deg", Calc!$C:$C, 0)))))</f>
        <v/>
      </c>
      <c r="D160" s="6" t="n"/>
      <c r="E160" s="6">
        <f>IF($C160="","", IF($D160="", $C160, $C160 - $D160/2))</f>
        <v/>
      </c>
      <c r="F160" s="6">
        <f>IF($C160="","", IF($D160="", $C160, $C160 + $D160/2))</f>
        <v/>
      </c>
      <c r="G160" s="6">
        <f>IF($E160="","", DEGREES(ATAN((INDEX(Calc!$E:$E, MATCH("KminusZ_m", Calc!$C:$C, 0)) - $E160 + $B160) / INDEX(Calc!$E:$E, MATCH("L_ramp_m", Calc!$C:$C, 0)))))</f>
        <v/>
      </c>
      <c r="H160" s="3">
        <f>IF($E160="","", IF(AND($E160&gt;=INDEX(Calc!$E:$E, MATCH("min_fwd_draft_m", Calc!$C:$C, 0)), $E160&lt;=INDEX(Calc!$E:$E, MATCH("max_fwd_draft_m", Calc!$C:$C, 0)), $G160&lt;=INDEX(Calc!$E:$E, MATCH("theta_max_deg", Calc!$C:$C, 0))), "OK", "CHECK"))</f>
        <v/>
      </c>
      <c r="I160" s="6">
        <f>IF($E160="","", INDEX(Calc!$E:$E, MATCH("D_vessel_m", Calc!$C:$C, 0)) - $E160 + $B160)</f>
        <v/>
      </c>
      <c r="J160" s="6">
        <f>IF($F160="","", INDEX(Calc!$E:$E, MATCH("D_vessel_m", Calc!$C:$C, 0)) - $F160 + $B160)</f>
        <v/>
      </c>
      <c r="K160" s="3">
        <f>IF(D160=0, "Even Keel", "")</f>
        <v/>
      </c>
    </row>
    <row r="161">
      <c r="A161" s="3">
        <f>IF(December_Tide_2025!A161="","",December_Tide_2025!A161)</f>
        <v/>
      </c>
      <c r="B161" s="6">
        <f>IF(December_Tide_2025!B161="","",December_Tide_2025!B161)</f>
        <v/>
      </c>
      <c r="C161" s="6">
        <f>IF($A161="","", INDEX(Calc!$E:$E, MATCH("KminusZ_m", Calc!$C:$C, 0)) + $B161 - INDEX(Calc!$E:$E, MATCH("L_ramp_m", Calc!$C:$C, 0)) * TAN(RADIANS(INDEX(Calc!$E:$E, MATCH("theta_max_deg", Calc!$C:$C, 0)))))</f>
        <v/>
      </c>
      <c r="D161" s="6" t="n"/>
      <c r="E161" s="6">
        <f>IF($C161="","", IF($D161="", $C161, $C161 - $D161/2))</f>
        <v/>
      </c>
      <c r="F161" s="6">
        <f>IF($C161="","", IF($D161="", $C161, $C161 + $D161/2))</f>
        <v/>
      </c>
      <c r="G161" s="6">
        <f>IF($E161="","", DEGREES(ATAN((INDEX(Calc!$E:$E, MATCH("KminusZ_m", Calc!$C:$C, 0)) - $E161 + $B161) / INDEX(Calc!$E:$E, MATCH("L_ramp_m", Calc!$C:$C, 0)))))</f>
        <v/>
      </c>
      <c r="H161" s="3">
        <f>IF($E161="","", IF(AND($E161&gt;=INDEX(Calc!$E:$E, MATCH("min_fwd_draft_m", Calc!$C:$C, 0)), $E161&lt;=INDEX(Calc!$E:$E, MATCH("max_fwd_draft_m", Calc!$C:$C, 0)), $G161&lt;=INDEX(Calc!$E:$E, MATCH("theta_max_deg", Calc!$C:$C, 0))), "OK", "CHECK"))</f>
        <v/>
      </c>
      <c r="I161" s="6">
        <f>IF($E161="","", INDEX(Calc!$E:$E, MATCH("D_vessel_m", Calc!$C:$C, 0)) - $E161 + $B161)</f>
        <v/>
      </c>
      <c r="J161" s="6">
        <f>IF($F161="","", INDEX(Calc!$E:$E, MATCH("D_vessel_m", Calc!$C:$C, 0)) - $F161 + $B161)</f>
        <v/>
      </c>
      <c r="K161" s="3">
        <f>IF(D161=0, "Even Keel", "")</f>
        <v/>
      </c>
    </row>
    <row r="162">
      <c r="A162" s="3">
        <f>IF(December_Tide_2025!A162="","",December_Tide_2025!A162)</f>
        <v/>
      </c>
      <c r="B162" s="6">
        <f>IF(December_Tide_2025!B162="","",December_Tide_2025!B162)</f>
        <v/>
      </c>
      <c r="C162" s="6">
        <f>IF($A162="","", INDEX(Calc!$E:$E, MATCH("KminusZ_m", Calc!$C:$C, 0)) + $B162 - INDEX(Calc!$E:$E, MATCH("L_ramp_m", Calc!$C:$C, 0)) * TAN(RADIANS(INDEX(Calc!$E:$E, MATCH("theta_max_deg", Calc!$C:$C, 0)))))</f>
        <v/>
      </c>
      <c r="D162" s="6" t="n"/>
      <c r="E162" s="6">
        <f>IF($C162="","", IF($D162="", $C162, $C162 - $D162/2))</f>
        <v/>
      </c>
      <c r="F162" s="6">
        <f>IF($C162="","", IF($D162="", $C162, $C162 + $D162/2))</f>
        <v/>
      </c>
      <c r="G162" s="6">
        <f>IF($E162="","", DEGREES(ATAN((INDEX(Calc!$E:$E, MATCH("KminusZ_m", Calc!$C:$C, 0)) - $E162 + $B162) / INDEX(Calc!$E:$E, MATCH("L_ramp_m", Calc!$C:$C, 0)))))</f>
        <v/>
      </c>
      <c r="H162" s="3">
        <f>IF($E162="","", IF(AND($E162&gt;=INDEX(Calc!$E:$E, MATCH("min_fwd_draft_m", Calc!$C:$C, 0)), $E162&lt;=INDEX(Calc!$E:$E, MATCH("max_fwd_draft_m", Calc!$C:$C, 0)), $G162&lt;=INDEX(Calc!$E:$E, MATCH("theta_max_deg", Calc!$C:$C, 0))), "OK", "CHECK"))</f>
        <v/>
      </c>
      <c r="I162" s="6">
        <f>IF($E162="","", INDEX(Calc!$E:$E, MATCH("D_vessel_m", Calc!$C:$C, 0)) - $E162 + $B162)</f>
        <v/>
      </c>
      <c r="J162" s="6">
        <f>IF($F162="","", INDEX(Calc!$E:$E, MATCH("D_vessel_m", Calc!$C:$C, 0)) - $F162 + $B162)</f>
        <v/>
      </c>
      <c r="K162" s="3">
        <f>IF(D162=0, "Even Keel", "")</f>
        <v/>
      </c>
    </row>
    <row r="163">
      <c r="A163" s="3">
        <f>IF(December_Tide_2025!A163="","",December_Tide_2025!A163)</f>
        <v/>
      </c>
      <c r="B163" s="6">
        <f>IF(December_Tide_2025!B163="","",December_Tide_2025!B163)</f>
        <v/>
      </c>
      <c r="C163" s="6">
        <f>IF($A163="","", INDEX(Calc!$E:$E, MATCH("KminusZ_m", Calc!$C:$C, 0)) + $B163 - INDEX(Calc!$E:$E, MATCH("L_ramp_m", Calc!$C:$C, 0)) * TAN(RADIANS(INDEX(Calc!$E:$E, MATCH("theta_max_deg", Calc!$C:$C, 0)))))</f>
        <v/>
      </c>
      <c r="D163" s="6" t="n"/>
      <c r="E163" s="6">
        <f>IF($C163="","", IF($D163="", $C163, $C163 - $D163/2))</f>
        <v/>
      </c>
      <c r="F163" s="6">
        <f>IF($C163="","", IF($D163="", $C163, $C163 + $D163/2))</f>
        <v/>
      </c>
      <c r="G163" s="6">
        <f>IF($E163="","", DEGREES(ATAN((INDEX(Calc!$E:$E, MATCH("KminusZ_m", Calc!$C:$C, 0)) - $E163 + $B163) / INDEX(Calc!$E:$E, MATCH("L_ramp_m", Calc!$C:$C, 0)))))</f>
        <v/>
      </c>
      <c r="H163" s="3">
        <f>IF($E163="","", IF(AND($E163&gt;=INDEX(Calc!$E:$E, MATCH("min_fwd_draft_m", Calc!$C:$C, 0)), $E163&lt;=INDEX(Calc!$E:$E, MATCH("max_fwd_draft_m", Calc!$C:$C, 0)), $G163&lt;=INDEX(Calc!$E:$E, MATCH("theta_max_deg", Calc!$C:$C, 0))), "OK", "CHECK"))</f>
        <v/>
      </c>
      <c r="I163" s="6">
        <f>IF($E163="","", INDEX(Calc!$E:$E, MATCH("D_vessel_m", Calc!$C:$C, 0)) - $E163 + $B163)</f>
        <v/>
      </c>
      <c r="J163" s="6">
        <f>IF($F163="","", INDEX(Calc!$E:$E, MATCH("D_vessel_m", Calc!$C:$C, 0)) - $F163 + $B163)</f>
        <v/>
      </c>
      <c r="K163" s="3">
        <f>IF(D163=0, "Even Keel", "")</f>
        <v/>
      </c>
    </row>
    <row r="164">
      <c r="A164" s="3">
        <f>IF(December_Tide_2025!A164="","",December_Tide_2025!A164)</f>
        <v/>
      </c>
      <c r="B164" s="6">
        <f>IF(December_Tide_2025!B164="","",December_Tide_2025!B164)</f>
        <v/>
      </c>
      <c r="C164" s="6">
        <f>IF($A164="","", INDEX(Calc!$E:$E, MATCH("KminusZ_m", Calc!$C:$C, 0)) + $B164 - INDEX(Calc!$E:$E, MATCH("L_ramp_m", Calc!$C:$C, 0)) * TAN(RADIANS(INDEX(Calc!$E:$E, MATCH("theta_max_deg", Calc!$C:$C, 0)))))</f>
        <v/>
      </c>
      <c r="D164" s="6" t="n"/>
      <c r="E164" s="6">
        <f>IF($C164="","", IF($D164="", $C164, $C164 - $D164/2))</f>
        <v/>
      </c>
      <c r="F164" s="6">
        <f>IF($C164="","", IF($D164="", $C164, $C164 + $D164/2))</f>
        <v/>
      </c>
      <c r="G164" s="6">
        <f>IF($E164="","", DEGREES(ATAN((INDEX(Calc!$E:$E, MATCH("KminusZ_m", Calc!$C:$C, 0)) - $E164 + $B164) / INDEX(Calc!$E:$E, MATCH("L_ramp_m", Calc!$C:$C, 0)))))</f>
        <v/>
      </c>
      <c r="H164" s="3">
        <f>IF($E164="","", IF(AND($E164&gt;=INDEX(Calc!$E:$E, MATCH("min_fwd_draft_m", Calc!$C:$C, 0)), $E164&lt;=INDEX(Calc!$E:$E, MATCH("max_fwd_draft_m", Calc!$C:$C, 0)), $G164&lt;=INDEX(Calc!$E:$E, MATCH("theta_max_deg", Calc!$C:$C, 0))), "OK", "CHECK"))</f>
        <v/>
      </c>
      <c r="I164" s="6">
        <f>IF($E164="","", INDEX(Calc!$E:$E, MATCH("D_vessel_m", Calc!$C:$C, 0)) - $E164 + $B164)</f>
        <v/>
      </c>
      <c r="J164" s="6">
        <f>IF($F164="","", INDEX(Calc!$E:$E, MATCH("D_vessel_m", Calc!$C:$C, 0)) - $F164 + $B164)</f>
        <v/>
      </c>
      <c r="K164" s="3">
        <f>IF(D164=0, "Even Keel", "")</f>
        <v/>
      </c>
    </row>
    <row r="165">
      <c r="A165" s="3">
        <f>IF(December_Tide_2025!A165="","",December_Tide_2025!A165)</f>
        <v/>
      </c>
      <c r="B165" s="6">
        <f>IF(December_Tide_2025!B165="","",December_Tide_2025!B165)</f>
        <v/>
      </c>
      <c r="C165" s="6">
        <f>IF($A165="","", INDEX(Calc!$E:$E, MATCH("KminusZ_m", Calc!$C:$C, 0)) + $B165 - INDEX(Calc!$E:$E, MATCH("L_ramp_m", Calc!$C:$C, 0)) * TAN(RADIANS(INDEX(Calc!$E:$E, MATCH("theta_max_deg", Calc!$C:$C, 0)))))</f>
        <v/>
      </c>
      <c r="D165" s="6" t="n"/>
      <c r="E165" s="6">
        <f>IF($C165="","", IF($D165="", $C165, $C165 - $D165/2))</f>
        <v/>
      </c>
      <c r="F165" s="6">
        <f>IF($C165="","", IF($D165="", $C165, $C165 + $D165/2))</f>
        <v/>
      </c>
      <c r="G165" s="6">
        <f>IF($E165="","", DEGREES(ATAN((INDEX(Calc!$E:$E, MATCH("KminusZ_m", Calc!$C:$C, 0)) - $E165 + $B165) / INDEX(Calc!$E:$E, MATCH("L_ramp_m", Calc!$C:$C, 0)))))</f>
        <v/>
      </c>
      <c r="H165" s="3">
        <f>IF($E165="","", IF(AND($E165&gt;=INDEX(Calc!$E:$E, MATCH("min_fwd_draft_m", Calc!$C:$C, 0)), $E165&lt;=INDEX(Calc!$E:$E, MATCH("max_fwd_draft_m", Calc!$C:$C, 0)), $G165&lt;=INDEX(Calc!$E:$E, MATCH("theta_max_deg", Calc!$C:$C, 0))), "OK", "CHECK"))</f>
        <v/>
      </c>
      <c r="I165" s="6">
        <f>IF($E165="","", INDEX(Calc!$E:$E, MATCH("D_vessel_m", Calc!$C:$C, 0)) - $E165 + $B165)</f>
        <v/>
      </c>
      <c r="J165" s="6">
        <f>IF($F165="","", INDEX(Calc!$E:$E, MATCH("D_vessel_m", Calc!$C:$C, 0)) - $F165 + $B165)</f>
        <v/>
      </c>
      <c r="K165" s="3">
        <f>IF(D165=0, "Even Keel", "")</f>
        <v/>
      </c>
    </row>
    <row r="166">
      <c r="A166" s="3">
        <f>IF(December_Tide_2025!A166="","",December_Tide_2025!A166)</f>
        <v/>
      </c>
      <c r="B166" s="6">
        <f>IF(December_Tide_2025!B166="","",December_Tide_2025!B166)</f>
        <v/>
      </c>
      <c r="C166" s="6">
        <f>IF($A166="","", INDEX(Calc!$E:$E, MATCH("KminusZ_m", Calc!$C:$C, 0)) + $B166 - INDEX(Calc!$E:$E, MATCH("L_ramp_m", Calc!$C:$C, 0)) * TAN(RADIANS(INDEX(Calc!$E:$E, MATCH("theta_max_deg", Calc!$C:$C, 0)))))</f>
        <v/>
      </c>
      <c r="D166" s="6" t="n"/>
      <c r="E166" s="6">
        <f>IF($C166="","", IF($D166="", $C166, $C166 - $D166/2))</f>
        <v/>
      </c>
      <c r="F166" s="6">
        <f>IF($C166="","", IF($D166="", $C166, $C166 + $D166/2))</f>
        <v/>
      </c>
      <c r="G166" s="6">
        <f>IF($E166="","", DEGREES(ATAN((INDEX(Calc!$E:$E, MATCH("KminusZ_m", Calc!$C:$C, 0)) - $E166 + $B166) / INDEX(Calc!$E:$E, MATCH("L_ramp_m", Calc!$C:$C, 0)))))</f>
        <v/>
      </c>
      <c r="H166" s="3">
        <f>IF($E166="","", IF(AND($E166&gt;=INDEX(Calc!$E:$E, MATCH("min_fwd_draft_m", Calc!$C:$C, 0)), $E166&lt;=INDEX(Calc!$E:$E, MATCH("max_fwd_draft_m", Calc!$C:$C, 0)), $G166&lt;=INDEX(Calc!$E:$E, MATCH("theta_max_deg", Calc!$C:$C, 0))), "OK", "CHECK"))</f>
        <v/>
      </c>
      <c r="I166" s="6">
        <f>IF($E166="","", INDEX(Calc!$E:$E, MATCH("D_vessel_m", Calc!$C:$C, 0)) - $E166 + $B166)</f>
        <v/>
      </c>
      <c r="J166" s="6">
        <f>IF($F166="","", INDEX(Calc!$E:$E, MATCH("D_vessel_m", Calc!$C:$C, 0)) - $F166 + $B166)</f>
        <v/>
      </c>
      <c r="K166" s="3">
        <f>IF(D166=0, "Even Keel", "")</f>
        <v/>
      </c>
    </row>
    <row r="167">
      <c r="A167" s="3">
        <f>IF(December_Tide_2025!A167="","",December_Tide_2025!A167)</f>
        <v/>
      </c>
      <c r="B167" s="6">
        <f>IF(December_Tide_2025!B167="","",December_Tide_2025!B167)</f>
        <v/>
      </c>
      <c r="C167" s="6">
        <f>IF($A167="","", INDEX(Calc!$E:$E, MATCH("KminusZ_m", Calc!$C:$C, 0)) + $B167 - INDEX(Calc!$E:$E, MATCH("L_ramp_m", Calc!$C:$C, 0)) * TAN(RADIANS(INDEX(Calc!$E:$E, MATCH("theta_max_deg", Calc!$C:$C, 0)))))</f>
        <v/>
      </c>
      <c r="D167" s="6" t="n"/>
      <c r="E167" s="6">
        <f>IF($C167="","", IF($D167="", $C167, $C167 - $D167/2))</f>
        <v/>
      </c>
      <c r="F167" s="6">
        <f>IF($C167="","", IF($D167="", $C167, $C167 + $D167/2))</f>
        <v/>
      </c>
      <c r="G167" s="6">
        <f>IF($E167="","", DEGREES(ATAN((INDEX(Calc!$E:$E, MATCH("KminusZ_m", Calc!$C:$C, 0)) - $E167 + $B167) / INDEX(Calc!$E:$E, MATCH("L_ramp_m", Calc!$C:$C, 0)))))</f>
        <v/>
      </c>
      <c r="H167" s="3">
        <f>IF($E167="","", IF(AND($E167&gt;=INDEX(Calc!$E:$E, MATCH("min_fwd_draft_m", Calc!$C:$C, 0)), $E167&lt;=INDEX(Calc!$E:$E, MATCH("max_fwd_draft_m", Calc!$C:$C, 0)), $G167&lt;=INDEX(Calc!$E:$E, MATCH("theta_max_deg", Calc!$C:$C, 0))), "OK", "CHECK"))</f>
        <v/>
      </c>
      <c r="I167" s="6">
        <f>IF($E167="","", INDEX(Calc!$E:$E, MATCH("D_vessel_m", Calc!$C:$C, 0)) - $E167 + $B167)</f>
        <v/>
      </c>
      <c r="J167" s="6">
        <f>IF($F167="","", INDEX(Calc!$E:$E, MATCH("D_vessel_m", Calc!$C:$C, 0)) - $F167 + $B167)</f>
        <v/>
      </c>
      <c r="K167" s="3">
        <f>IF(D167=0, "Even Keel", "")</f>
        <v/>
      </c>
    </row>
    <row r="168">
      <c r="A168" s="3">
        <f>IF(December_Tide_2025!A168="","",December_Tide_2025!A168)</f>
        <v/>
      </c>
      <c r="B168" s="6">
        <f>IF(December_Tide_2025!B168="","",December_Tide_2025!B168)</f>
        <v/>
      </c>
      <c r="C168" s="6">
        <f>IF($A168="","", INDEX(Calc!$E:$E, MATCH("KminusZ_m", Calc!$C:$C, 0)) + $B168 - INDEX(Calc!$E:$E, MATCH("L_ramp_m", Calc!$C:$C, 0)) * TAN(RADIANS(INDEX(Calc!$E:$E, MATCH("theta_max_deg", Calc!$C:$C, 0)))))</f>
        <v/>
      </c>
      <c r="D168" s="6" t="n"/>
      <c r="E168" s="6">
        <f>IF($C168="","", IF($D168="", $C168, $C168 - $D168/2))</f>
        <v/>
      </c>
      <c r="F168" s="6">
        <f>IF($C168="","", IF($D168="", $C168, $C168 + $D168/2))</f>
        <v/>
      </c>
      <c r="G168" s="6">
        <f>IF($E168="","", DEGREES(ATAN((INDEX(Calc!$E:$E, MATCH("KminusZ_m", Calc!$C:$C, 0)) - $E168 + $B168) / INDEX(Calc!$E:$E, MATCH("L_ramp_m", Calc!$C:$C, 0)))))</f>
        <v/>
      </c>
      <c r="H168" s="3">
        <f>IF($E168="","", IF(AND($E168&gt;=INDEX(Calc!$E:$E, MATCH("min_fwd_draft_m", Calc!$C:$C, 0)), $E168&lt;=INDEX(Calc!$E:$E, MATCH("max_fwd_draft_m", Calc!$C:$C, 0)), $G168&lt;=INDEX(Calc!$E:$E, MATCH("theta_max_deg", Calc!$C:$C, 0))), "OK", "CHECK"))</f>
        <v/>
      </c>
      <c r="I168" s="6">
        <f>IF($E168="","", INDEX(Calc!$E:$E, MATCH("D_vessel_m", Calc!$C:$C, 0)) - $E168 + $B168)</f>
        <v/>
      </c>
      <c r="J168" s="6">
        <f>IF($F168="","", INDEX(Calc!$E:$E, MATCH("D_vessel_m", Calc!$C:$C, 0)) - $F168 + $B168)</f>
        <v/>
      </c>
      <c r="K168" s="3">
        <f>IF(D168=0, "Even Keel", "")</f>
        <v/>
      </c>
    </row>
    <row r="169">
      <c r="A169" s="3">
        <f>IF(December_Tide_2025!A169="","",December_Tide_2025!A169)</f>
        <v/>
      </c>
      <c r="B169" s="6">
        <f>IF(December_Tide_2025!B169="","",December_Tide_2025!B169)</f>
        <v/>
      </c>
      <c r="C169" s="6">
        <f>IF($A169="","", INDEX(Calc!$E:$E, MATCH("KminusZ_m", Calc!$C:$C, 0)) + $B169 - INDEX(Calc!$E:$E, MATCH("L_ramp_m", Calc!$C:$C, 0)) * TAN(RADIANS(INDEX(Calc!$E:$E, MATCH("theta_max_deg", Calc!$C:$C, 0)))))</f>
        <v/>
      </c>
      <c r="D169" s="6" t="n"/>
      <c r="E169" s="6">
        <f>IF($C169="","", IF($D169="", $C169, $C169 - $D169/2))</f>
        <v/>
      </c>
      <c r="F169" s="6">
        <f>IF($C169="","", IF($D169="", $C169, $C169 + $D169/2))</f>
        <v/>
      </c>
      <c r="G169" s="6">
        <f>IF($E169="","", DEGREES(ATAN((INDEX(Calc!$E:$E, MATCH("KminusZ_m", Calc!$C:$C, 0)) - $E169 + $B169) / INDEX(Calc!$E:$E, MATCH("L_ramp_m", Calc!$C:$C, 0)))))</f>
        <v/>
      </c>
      <c r="H169" s="3">
        <f>IF($E169="","", IF(AND($E169&gt;=INDEX(Calc!$E:$E, MATCH("min_fwd_draft_m", Calc!$C:$C, 0)), $E169&lt;=INDEX(Calc!$E:$E, MATCH("max_fwd_draft_m", Calc!$C:$C, 0)), $G169&lt;=INDEX(Calc!$E:$E, MATCH("theta_max_deg", Calc!$C:$C, 0))), "OK", "CHECK"))</f>
        <v/>
      </c>
      <c r="I169" s="6">
        <f>IF($E169="","", INDEX(Calc!$E:$E, MATCH("D_vessel_m", Calc!$C:$C, 0)) - $E169 + $B169)</f>
        <v/>
      </c>
      <c r="J169" s="6">
        <f>IF($F169="","", INDEX(Calc!$E:$E, MATCH("D_vessel_m", Calc!$C:$C, 0)) - $F169 + $B169)</f>
        <v/>
      </c>
      <c r="K169" s="3">
        <f>IF(D169=0, "Even Keel", "")</f>
        <v/>
      </c>
    </row>
    <row r="170">
      <c r="A170" s="3">
        <f>IF(December_Tide_2025!A170="","",December_Tide_2025!A170)</f>
        <v/>
      </c>
      <c r="B170" s="6">
        <f>IF(December_Tide_2025!B170="","",December_Tide_2025!B170)</f>
        <v/>
      </c>
      <c r="C170" s="6">
        <f>IF($A170="","", INDEX(Calc!$E:$E, MATCH("KminusZ_m", Calc!$C:$C, 0)) + $B170 - INDEX(Calc!$E:$E, MATCH("L_ramp_m", Calc!$C:$C, 0)) * TAN(RADIANS(INDEX(Calc!$E:$E, MATCH("theta_max_deg", Calc!$C:$C, 0)))))</f>
        <v/>
      </c>
      <c r="D170" s="6" t="n"/>
      <c r="E170" s="6">
        <f>IF($C170="","", IF($D170="", $C170, $C170 - $D170/2))</f>
        <v/>
      </c>
      <c r="F170" s="6">
        <f>IF($C170="","", IF($D170="", $C170, $C170 + $D170/2))</f>
        <v/>
      </c>
      <c r="G170" s="6">
        <f>IF($E170="","", DEGREES(ATAN((INDEX(Calc!$E:$E, MATCH("KminusZ_m", Calc!$C:$C, 0)) - $E170 + $B170) / INDEX(Calc!$E:$E, MATCH("L_ramp_m", Calc!$C:$C, 0)))))</f>
        <v/>
      </c>
      <c r="H170" s="3">
        <f>IF($E170="","", IF(AND($E170&gt;=INDEX(Calc!$E:$E, MATCH("min_fwd_draft_m", Calc!$C:$C, 0)), $E170&lt;=INDEX(Calc!$E:$E, MATCH("max_fwd_draft_m", Calc!$C:$C, 0)), $G170&lt;=INDEX(Calc!$E:$E, MATCH("theta_max_deg", Calc!$C:$C, 0))), "OK", "CHECK"))</f>
        <v/>
      </c>
      <c r="I170" s="6">
        <f>IF($E170="","", INDEX(Calc!$E:$E, MATCH("D_vessel_m", Calc!$C:$C, 0)) - $E170 + $B170)</f>
        <v/>
      </c>
      <c r="J170" s="6">
        <f>IF($F170="","", INDEX(Calc!$E:$E, MATCH("D_vessel_m", Calc!$C:$C, 0)) - $F170 + $B170)</f>
        <v/>
      </c>
      <c r="K170" s="3">
        <f>IF(D170=0, "Even Keel", "")</f>
        <v/>
      </c>
    </row>
    <row r="171">
      <c r="A171" s="3">
        <f>IF(December_Tide_2025!A171="","",December_Tide_2025!A171)</f>
        <v/>
      </c>
      <c r="B171" s="6">
        <f>IF(December_Tide_2025!B171="","",December_Tide_2025!B171)</f>
        <v/>
      </c>
      <c r="C171" s="6">
        <f>IF($A171="","", INDEX(Calc!$E:$E, MATCH("KminusZ_m", Calc!$C:$C, 0)) + $B171 - INDEX(Calc!$E:$E, MATCH("L_ramp_m", Calc!$C:$C, 0)) * TAN(RADIANS(INDEX(Calc!$E:$E, MATCH("theta_max_deg", Calc!$C:$C, 0)))))</f>
        <v/>
      </c>
      <c r="D171" s="6" t="n"/>
      <c r="E171" s="6">
        <f>IF($C171="","", IF($D171="", $C171, $C171 - $D171/2))</f>
        <v/>
      </c>
      <c r="F171" s="6">
        <f>IF($C171="","", IF($D171="", $C171, $C171 + $D171/2))</f>
        <v/>
      </c>
      <c r="G171" s="6">
        <f>IF($E171="","", DEGREES(ATAN((INDEX(Calc!$E:$E, MATCH("KminusZ_m", Calc!$C:$C, 0)) - $E171 + $B171) / INDEX(Calc!$E:$E, MATCH("L_ramp_m", Calc!$C:$C, 0)))))</f>
        <v/>
      </c>
      <c r="H171" s="3">
        <f>IF($E171="","", IF(AND($E171&gt;=INDEX(Calc!$E:$E, MATCH("min_fwd_draft_m", Calc!$C:$C, 0)), $E171&lt;=INDEX(Calc!$E:$E, MATCH("max_fwd_draft_m", Calc!$C:$C, 0)), $G171&lt;=INDEX(Calc!$E:$E, MATCH("theta_max_deg", Calc!$C:$C, 0))), "OK", "CHECK"))</f>
        <v/>
      </c>
      <c r="I171" s="6">
        <f>IF($E171="","", INDEX(Calc!$E:$E, MATCH("D_vessel_m", Calc!$C:$C, 0)) - $E171 + $B171)</f>
        <v/>
      </c>
      <c r="J171" s="6">
        <f>IF($F171="","", INDEX(Calc!$E:$E, MATCH("D_vessel_m", Calc!$C:$C, 0)) - $F171 + $B171)</f>
        <v/>
      </c>
      <c r="K171" s="3">
        <f>IF(D171=0, "Even Keel", "")</f>
        <v/>
      </c>
    </row>
    <row r="172">
      <c r="A172" s="3">
        <f>IF(December_Tide_2025!A172="","",December_Tide_2025!A172)</f>
        <v/>
      </c>
      <c r="B172" s="6">
        <f>IF(December_Tide_2025!B172="","",December_Tide_2025!B172)</f>
        <v/>
      </c>
      <c r="C172" s="6">
        <f>IF($A172="","", INDEX(Calc!$E:$E, MATCH("KminusZ_m", Calc!$C:$C, 0)) + $B172 - INDEX(Calc!$E:$E, MATCH("L_ramp_m", Calc!$C:$C, 0)) * TAN(RADIANS(INDEX(Calc!$E:$E, MATCH("theta_max_deg", Calc!$C:$C, 0)))))</f>
        <v/>
      </c>
      <c r="D172" s="6" t="n"/>
      <c r="E172" s="6">
        <f>IF($C172="","", IF($D172="", $C172, $C172 - $D172/2))</f>
        <v/>
      </c>
      <c r="F172" s="6">
        <f>IF($C172="","", IF($D172="", $C172, $C172 + $D172/2))</f>
        <v/>
      </c>
      <c r="G172" s="6">
        <f>IF($E172="","", DEGREES(ATAN((INDEX(Calc!$E:$E, MATCH("KminusZ_m", Calc!$C:$C, 0)) - $E172 + $B172) / INDEX(Calc!$E:$E, MATCH("L_ramp_m", Calc!$C:$C, 0)))))</f>
        <v/>
      </c>
      <c r="H172" s="3">
        <f>IF($E172="","", IF(AND($E172&gt;=INDEX(Calc!$E:$E, MATCH("min_fwd_draft_m", Calc!$C:$C, 0)), $E172&lt;=INDEX(Calc!$E:$E, MATCH("max_fwd_draft_m", Calc!$C:$C, 0)), $G172&lt;=INDEX(Calc!$E:$E, MATCH("theta_max_deg", Calc!$C:$C, 0))), "OK", "CHECK"))</f>
        <v/>
      </c>
      <c r="I172" s="6">
        <f>IF($E172="","", INDEX(Calc!$E:$E, MATCH("D_vessel_m", Calc!$C:$C, 0)) - $E172 + $B172)</f>
        <v/>
      </c>
      <c r="J172" s="6">
        <f>IF($F172="","", INDEX(Calc!$E:$E, MATCH("D_vessel_m", Calc!$C:$C, 0)) - $F172 + $B172)</f>
        <v/>
      </c>
      <c r="K172" s="3">
        <f>IF(D172=0, "Even Keel", "")</f>
        <v/>
      </c>
    </row>
    <row r="173">
      <c r="A173" s="3">
        <f>IF(December_Tide_2025!A173="","",December_Tide_2025!A173)</f>
        <v/>
      </c>
      <c r="B173" s="6">
        <f>IF(December_Tide_2025!B173="","",December_Tide_2025!B173)</f>
        <v/>
      </c>
      <c r="C173" s="6">
        <f>IF($A173="","", INDEX(Calc!$E:$E, MATCH("KminusZ_m", Calc!$C:$C, 0)) + $B173 - INDEX(Calc!$E:$E, MATCH("L_ramp_m", Calc!$C:$C, 0)) * TAN(RADIANS(INDEX(Calc!$E:$E, MATCH("theta_max_deg", Calc!$C:$C, 0)))))</f>
        <v/>
      </c>
      <c r="D173" s="6" t="n"/>
      <c r="E173" s="6">
        <f>IF($C173="","", IF($D173="", $C173, $C173 - $D173/2))</f>
        <v/>
      </c>
      <c r="F173" s="6">
        <f>IF($C173="","", IF($D173="", $C173, $C173 + $D173/2))</f>
        <v/>
      </c>
      <c r="G173" s="6">
        <f>IF($E173="","", DEGREES(ATAN((INDEX(Calc!$E:$E, MATCH("KminusZ_m", Calc!$C:$C, 0)) - $E173 + $B173) / INDEX(Calc!$E:$E, MATCH("L_ramp_m", Calc!$C:$C, 0)))))</f>
        <v/>
      </c>
      <c r="H173" s="3">
        <f>IF($E173="","", IF(AND($E173&gt;=INDEX(Calc!$E:$E, MATCH("min_fwd_draft_m", Calc!$C:$C, 0)), $E173&lt;=INDEX(Calc!$E:$E, MATCH("max_fwd_draft_m", Calc!$C:$C, 0)), $G173&lt;=INDEX(Calc!$E:$E, MATCH("theta_max_deg", Calc!$C:$C, 0))), "OK", "CHECK"))</f>
        <v/>
      </c>
      <c r="I173" s="6">
        <f>IF($E173="","", INDEX(Calc!$E:$E, MATCH("D_vessel_m", Calc!$C:$C, 0)) - $E173 + $B173)</f>
        <v/>
      </c>
      <c r="J173" s="6">
        <f>IF($F173="","", INDEX(Calc!$E:$E, MATCH("D_vessel_m", Calc!$C:$C, 0)) - $F173 + $B173)</f>
        <v/>
      </c>
      <c r="K173" s="3">
        <f>IF(D173=0, "Even Keel", "")</f>
        <v/>
      </c>
    </row>
    <row r="174">
      <c r="A174" s="3">
        <f>IF(December_Tide_2025!A174="","",December_Tide_2025!A174)</f>
        <v/>
      </c>
      <c r="B174" s="6">
        <f>IF(December_Tide_2025!B174="","",December_Tide_2025!B174)</f>
        <v/>
      </c>
      <c r="C174" s="6">
        <f>IF($A174="","", INDEX(Calc!$E:$E, MATCH("KminusZ_m", Calc!$C:$C, 0)) + $B174 - INDEX(Calc!$E:$E, MATCH("L_ramp_m", Calc!$C:$C, 0)) * TAN(RADIANS(INDEX(Calc!$E:$E, MATCH("theta_max_deg", Calc!$C:$C, 0)))))</f>
        <v/>
      </c>
      <c r="D174" s="6" t="n"/>
      <c r="E174" s="6">
        <f>IF($C174="","", IF($D174="", $C174, $C174 - $D174/2))</f>
        <v/>
      </c>
      <c r="F174" s="6">
        <f>IF($C174="","", IF($D174="", $C174, $C174 + $D174/2))</f>
        <v/>
      </c>
      <c r="G174" s="6">
        <f>IF($E174="","", DEGREES(ATAN((INDEX(Calc!$E:$E, MATCH("KminusZ_m", Calc!$C:$C, 0)) - $E174 + $B174) / INDEX(Calc!$E:$E, MATCH("L_ramp_m", Calc!$C:$C, 0)))))</f>
        <v/>
      </c>
      <c r="H174" s="3">
        <f>IF($E174="","", IF(AND($E174&gt;=INDEX(Calc!$E:$E, MATCH("min_fwd_draft_m", Calc!$C:$C, 0)), $E174&lt;=INDEX(Calc!$E:$E, MATCH("max_fwd_draft_m", Calc!$C:$C, 0)), $G174&lt;=INDEX(Calc!$E:$E, MATCH("theta_max_deg", Calc!$C:$C, 0))), "OK", "CHECK"))</f>
        <v/>
      </c>
      <c r="I174" s="6">
        <f>IF($E174="","", INDEX(Calc!$E:$E, MATCH("D_vessel_m", Calc!$C:$C, 0)) - $E174 + $B174)</f>
        <v/>
      </c>
      <c r="J174" s="6">
        <f>IF($F174="","", INDEX(Calc!$E:$E, MATCH("D_vessel_m", Calc!$C:$C, 0)) - $F174 + $B174)</f>
        <v/>
      </c>
      <c r="K174" s="3">
        <f>IF(D174=0, "Even Keel", "")</f>
        <v/>
      </c>
    </row>
    <row r="175">
      <c r="A175" s="3">
        <f>IF(December_Tide_2025!A175="","",December_Tide_2025!A175)</f>
        <v/>
      </c>
      <c r="B175" s="6">
        <f>IF(December_Tide_2025!B175="","",December_Tide_2025!B175)</f>
        <v/>
      </c>
      <c r="C175" s="6">
        <f>IF($A175="","", INDEX(Calc!$E:$E, MATCH("KminusZ_m", Calc!$C:$C, 0)) + $B175 - INDEX(Calc!$E:$E, MATCH("L_ramp_m", Calc!$C:$C, 0)) * TAN(RADIANS(INDEX(Calc!$E:$E, MATCH("theta_max_deg", Calc!$C:$C, 0)))))</f>
        <v/>
      </c>
      <c r="D175" s="6" t="n"/>
      <c r="E175" s="6">
        <f>IF($C175="","", IF($D175="", $C175, $C175 - $D175/2))</f>
        <v/>
      </c>
      <c r="F175" s="6">
        <f>IF($C175="","", IF($D175="", $C175, $C175 + $D175/2))</f>
        <v/>
      </c>
      <c r="G175" s="6">
        <f>IF($E175="","", DEGREES(ATAN((INDEX(Calc!$E:$E, MATCH("KminusZ_m", Calc!$C:$C, 0)) - $E175 + $B175) / INDEX(Calc!$E:$E, MATCH("L_ramp_m", Calc!$C:$C, 0)))))</f>
        <v/>
      </c>
      <c r="H175" s="3">
        <f>IF($E175="","", IF(AND($E175&gt;=INDEX(Calc!$E:$E, MATCH("min_fwd_draft_m", Calc!$C:$C, 0)), $E175&lt;=INDEX(Calc!$E:$E, MATCH("max_fwd_draft_m", Calc!$C:$C, 0)), $G175&lt;=INDEX(Calc!$E:$E, MATCH("theta_max_deg", Calc!$C:$C, 0))), "OK", "CHECK"))</f>
        <v/>
      </c>
      <c r="I175" s="6">
        <f>IF($E175="","", INDEX(Calc!$E:$E, MATCH("D_vessel_m", Calc!$C:$C, 0)) - $E175 + $B175)</f>
        <v/>
      </c>
      <c r="J175" s="6">
        <f>IF($F175="","", INDEX(Calc!$E:$E, MATCH("D_vessel_m", Calc!$C:$C, 0)) - $F175 + $B175)</f>
        <v/>
      </c>
      <c r="K175" s="3">
        <f>IF(D175=0, "Even Keel", "")</f>
        <v/>
      </c>
    </row>
    <row r="176">
      <c r="A176" s="3">
        <f>IF(December_Tide_2025!A176="","",December_Tide_2025!A176)</f>
        <v/>
      </c>
      <c r="B176" s="6">
        <f>IF(December_Tide_2025!B176="","",December_Tide_2025!B176)</f>
        <v/>
      </c>
      <c r="C176" s="6">
        <f>IF($A176="","", INDEX(Calc!$E:$E, MATCH("KminusZ_m", Calc!$C:$C, 0)) + $B176 - INDEX(Calc!$E:$E, MATCH("L_ramp_m", Calc!$C:$C, 0)) * TAN(RADIANS(INDEX(Calc!$E:$E, MATCH("theta_max_deg", Calc!$C:$C, 0)))))</f>
        <v/>
      </c>
      <c r="D176" s="6" t="n"/>
      <c r="E176" s="6">
        <f>IF($C176="","", IF($D176="", $C176, $C176 - $D176/2))</f>
        <v/>
      </c>
      <c r="F176" s="6">
        <f>IF($C176="","", IF($D176="", $C176, $C176 + $D176/2))</f>
        <v/>
      </c>
      <c r="G176" s="6">
        <f>IF($E176="","", DEGREES(ATAN((INDEX(Calc!$E:$E, MATCH("KminusZ_m", Calc!$C:$C, 0)) - $E176 + $B176) / INDEX(Calc!$E:$E, MATCH("L_ramp_m", Calc!$C:$C, 0)))))</f>
        <v/>
      </c>
      <c r="H176" s="3">
        <f>IF($E176="","", IF(AND($E176&gt;=INDEX(Calc!$E:$E, MATCH("min_fwd_draft_m", Calc!$C:$C, 0)), $E176&lt;=INDEX(Calc!$E:$E, MATCH("max_fwd_draft_m", Calc!$C:$C, 0)), $G176&lt;=INDEX(Calc!$E:$E, MATCH("theta_max_deg", Calc!$C:$C, 0))), "OK", "CHECK"))</f>
        <v/>
      </c>
      <c r="I176" s="6">
        <f>IF($E176="","", INDEX(Calc!$E:$E, MATCH("D_vessel_m", Calc!$C:$C, 0)) - $E176 + $B176)</f>
        <v/>
      </c>
      <c r="J176" s="6">
        <f>IF($F176="","", INDEX(Calc!$E:$E, MATCH("D_vessel_m", Calc!$C:$C, 0)) - $F176 + $B176)</f>
        <v/>
      </c>
      <c r="K176" s="3">
        <f>IF(D176=0, "Even Keel", "")</f>
        <v/>
      </c>
    </row>
    <row r="177">
      <c r="A177" s="3">
        <f>IF(December_Tide_2025!A177="","",December_Tide_2025!A177)</f>
        <v/>
      </c>
      <c r="B177" s="6">
        <f>IF(December_Tide_2025!B177="","",December_Tide_2025!B177)</f>
        <v/>
      </c>
      <c r="C177" s="6">
        <f>IF($A177="","", INDEX(Calc!$E:$E, MATCH("KminusZ_m", Calc!$C:$C, 0)) + $B177 - INDEX(Calc!$E:$E, MATCH("L_ramp_m", Calc!$C:$C, 0)) * TAN(RADIANS(INDEX(Calc!$E:$E, MATCH("theta_max_deg", Calc!$C:$C, 0)))))</f>
        <v/>
      </c>
      <c r="D177" s="6" t="n"/>
      <c r="E177" s="6">
        <f>IF($C177="","", IF($D177="", $C177, $C177 - $D177/2))</f>
        <v/>
      </c>
      <c r="F177" s="6">
        <f>IF($C177="","", IF($D177="", $C177, $C177 + $D177/2))</f>
        <v/>
      </c>
      <c r="G177" s="6">
        <f>IF($E177="","", DEGREES(ATAN((INDEX(Calc!$E:$E, MATCH("KminusZ_m", Calc!$C:$C, 0)) - $E177 + $B177) / INDEX(Calc!$E:$E, MATCH("L_ramp_m", Calc!$C:$C, 0)))))</f>
        <v/>
      </c>
      <c r="H177" s="3">
        <f>IF($E177="","", IF(AND($E177&gt;=INDEX(Calc!$E:$E, MATCH("min_fwd_draft_m", Calc!$C:$C, 0)), $E177&lt;=INDEX(Calc!$E:$E, MATCH("max_fwd_draft_m", Calc!$C:$C, 0)), $G177&lt;=INDEX(Calc!$E:$E, MATCH("theta_max_deg", Calc!$C:$C, 0))), "OK", "CHECK"))</f>
        <v/>
      </c>
      <c r="I177" s="6">
        <f>IF($E177="","", INDEX(Calc!$E:$E, MATCH("D_vessel_m", Calc!$C:$C, 0)) - $E177 + $B177)</f>
        <v/>
      </c>
      <c r="J177" s="6">
        <f>IF($F177="","", INDEX(Calc!$E:$E, MATCH("D_vessel_m", Calc!$C:$C, 0)) - $F177 + $B177)</f>
        <v/>
      </c>
      <c r="K177" s="3">
        <f>IF(D177=0, "Even Keel", "")</f>
        <v/>
      </c>
    </row>
    <row r="178">
      <c r="A178" s="3">
        <f>IF(December_Tide_2025!A178="","",December_Tide_2025!A178)</f>
        <v/>
      </c>
      <c r="B178" s="6">
        <f>IF(December_Tide_2025!B178="","",December_Tide_2025!B178)</f>
        <v/>
      </c>
      <c r="C178" s="6">
        <f>IF($A178="","", INDEX(Calc!$E:$E, MATCH("KminusZ_m", Calc!$C:$C, 0)) + $B178 - INDEX(Calc!$E:$E, MATCH("L_ramp_m", Calc!$C:$C, 0)) * TAN(RADIANS(INDEX(Calc!$E:$E, MATCH("theta_max_deg", Calc!$C:$C, 0)))))</f>
        <v/>
      </c>
      <c r="D178" s="6" t="n"/>
      <c r="E178" s="6">
        <f>IF($C178="","", IF($D178="", $C178, $C178 - $D178/2))</f>
        <v/>
      </c>
      <c r="F178" s="6">
        <f>IF($C178="","", IF($D178="", $C178, $C178 + $D178/2))</f>
        <v/>
      </c>
      <c r="G178" s="6">
        <f>IF($E178="","", DEGREES(ATAN((INDEX(Calc!$E:$E, MATCH("KminusZ_m", Calc!$C:$C, 0)) - $E178 + $B178) / INDEX(Calc!$E:$E, MATCH("L_ramp_m", Calc!$C:$C, 0)))))</f>
        <v/>
      </c>
      <c r="H178" s="3">
        <f>IF($E178="","", IF(AND($E178&gt;=INDEX(Calc!$E:$E, MATCH("min_fwd_draft_m", Calc!$C:$C, 0)), $E178&lt;=INDEX(Calc!$E:$E, MATCH("max_fwd_draft_m", Calc!$C:$C, 0)), $G178&lt;=INDEX(Calc!$E:$E, MATCH("theta_max_deg", Calc!$C:$C, 0))), "OK", "CHECK"))</f>
        <v/>
      </c>
      <c r="I178" s="6">
        <f>IF($E178="","", INDEX(Calc!$E:$E, MATCH("D_vessel_m", Calc!$C:$C, 0)) - $E178 + $B178)</f>
        <v/>
      </c>
      <c r="J178" s="6">
        <f>IF($F178="","", INDEX(Calc!$E:$E, MATCH("D_vessel_m", Calc!$C:$C, 0)) - $F178 + $B178)</f>
        <v/>
      </c>
      <c r="K178" s="3">
        <f>IF(D178=0, "Even Keel", "")</f>
        <v/>
      </c>
    </row>
    <row r="179">
      <c r="A179" s="3">
        <f>IF(December_Tide_2025!A179="","",December_Tide_2025!A179)</f>
        <v/>
      </c>
      <c r="B179" s="6">
        <f>IF(December_Tide_2025!B179="","",December_Tide_2025!B179)</f>
        <v/>
      </c>
      <c r="C179" s="6">
        <f>IF($A179="","", INDEX(Calc!$E:$E, MATCH("KminusZ_m", Calc!$C:$C, 0)) + $B179 - INDEX(Calc!$E:$E, MATCH("L_ramp_m", Calc!$C:$C, 0)) * TAN(RADIANS(INDEX(Calc!$E:$E, MATCH("theta_max_deg", Calc!$C:$C, 0)))))</f>
        <v/>
      </c>
      <c r="D179" s="6" t="n"/>
      <c r="E179" s="6">
        <f>IF($C179="","", IF($D179="", $C179, $C179 - $D179/2))</f>
        <v/>
      </c>
      <c r="F179" s="6">
        <f>IF($C179="","", IF($D179="", $C179, $C179 + $D179/2))</f>
        <v/>
      </c>
      <c r="G179" s="6">
        <f>IF($E179="","", DEGREES(ATAN((INDEX(Calc!$E:$E, MATCH("KminusZ_m", Calc!$C:$C, 0)) - $E179 + $B179) / INDEX(Calc!$E:$E, MATCH("L_ramp_m", Calc!$C:$C, 0)))))</f>
        <v/>
      </c>
      <c r="H179" s="3">
        <f>IF($E179="","", IF(AND($E179&gt;=INDEX(Calc!$E:$E, MATCH("min_fwd_draft_m", Calc!$C:$C, 0)), $E179&lt;=INDEX(Calc!$E:$E, MATCH("max_fwd_draft_m", Calc!$C:$C, 0)), $G179&lt;=INDEX(Calc!$E:$E, MATCH("theta_max_deg", Calc!$C:$C, 0))), "OK", "CHECK"))</f>
        <v/>
      </c>
      <c r="I179" s="6">
        <f>IF($E179="","", INDEX(Calc!$E:$E, MATCH("D_vessel_m", Calc!$C:$C, 0)) - $E179 + $B179)</f>
        <v/>
      </c>
      <c r="J179" s="6">
        <f>IF($F179="","", INDEX(Calc!$E:$E, MATCH("D_vessel_m", Calc!$C:$C, 0)) - $F179 + $B179)</f>
        <v/>
      </c>
      <c r="K179" s="3">
        <f>IF(D179=0, "Even Keel", "")</f>
        <v/>
      </c>
    </row>
    <row r="180">
      <c r="A180" s="3">
        <f>IF(December_Tide_2025!A180="","",December_Tide_2025!A180)</f>
        <v/>
      </c>
      <c r="B180" s="6">
        <f>IF(December_Tide_2025!B180="","",December_Tide_2025!B180)</f>
        <v/>
      </c>
      <c r="C180" s="6">
        <f>IF($A180="","", INDEX(Calc!$E:$E, MATCH("KminusZ_m", Calc!$C:$C, 0)) + $B180 - INDEX(Calc!$E:$E, MATCH("L_ramp_m", Calc!$C:$C, 0)) * TAN(RADIANS(INDEX(Calc!$E:$E, MATCH("theta_max_deg", Calc!$C:$C, 0)))))</f>
        <v/>
      </c>
      <c r="D180" s="6" t="n"/>
      <c r="E180" s="6">
        <f>IF($C180="","", IF($D180="", $C180, $C180 - $D180/2))</f>
        <v/>
      </c>
      <c r="F180" s="6">
        <f>IF($C180="","", IF($D180="", $C180, $C180 + $D180/2))</f>
        <v/>
      </c>
      <c r="G180" s="6">
        <f>IF($E180="","", DEGREES(ATAN((INDEX(Calc!$E:$E, MATCH("KminusZ_m", Calc!$C:$C, 0)) - $E180 + $B180) / INDEX(Calc!$E:$E, MATCH("L_ramp_m", Calc!$C:$C, 0)))))</f>
        <v/>
      </c>
      <c r="H180" s="3">
        <f>IF($E180="","", IF(AND($E180&gt;=INDEX(Calc!$E:$E, MATCH("min_fwd_draft_m", Calc!$C:$C, 0)), $E180&lt;=INDEX(Calc!$E:$E, MATCH("max_fwd_draft_m", Calc!$C:$C, 0)), $G180&lt;=INDEX(Calc!$E:$E, MATCH("theta_max_deg", Calc!$C:$C, 0))), "OK", "CHECK"))</f>
        <v/>
      </c>
      <c r="I180" s="6">
        <f>IF($E180="","", INDEX(Calc!$E:$E, MATCH("D_vessel_m", Calc!$C:$C, 0)) - $E180 + $B180)</f>
        <v/>
      </c>
      <c r="J180" s="6">
        <f>IF($F180="","", INDEX(Calc!$E:$E, MATCH("D_vessel_m", Calc!$C:$C, 0)) - $F180 + $B180)</f>
        <v/>
      </c>
      <c r="K180" s="3">
        <f>IF(D180=0, "Even Keel", "")</f>
        <v/>
      </c>
    </row>
    <row r="181">
      <c r="A181" s="3">
        <f>IF(December_Tide_2025!A181="","",December_Tide_2025!A181)</f>
        <v/>
      </c>
      <c r="B181" s="6">
        <f>IF(December_Tide_2025!B181="","",December_Tide_2025!B181)</f>
        <v/>
      </c>
      <c r="C181" s="6">
        <f>IF($A181="","", INDEX(Calc!$E:$E, MATCH("KminusZ_m", Calc!$C:$C, 0)) + $B181 - INDEX(Calc!$E:$E, MATCH("L_ramp_m", Calc!$C:$C, 0)) * TAN(RADIANS(INDEX(Calc!$E:$E, MATCH("theta_max_deg", Calc!$C:$C, 0)))))</f>
        <v/>
      </c>
      <c r="D181" s="6" t="n"/>
      <c r="E181" s="6">
        <f>IF($C181="","", IF($D181="", $C181, $C181 - $D181/2))</f>
        <v/>
      </c>
      <c r="F181" s="6">
        <f>IF($C181="","", IF($D181="", $C181, $C181 + $D181/2))</f>
        <v/>
      </c>
      <c r="G181" s="6">
        <f>IF($E181="","", DEGREES(ATAN((INDEX(Calc!$E:$E, MATCH("KminusZ_m", Calc!$C:$C, 0)) - $E181 + $B181) / INDEX(Calc!$E:$E, MATCH("L_ramp_m", Calc!$C:$C, 0)))))</f>
        <v/>
      </c>
      <c r="H181" s="3">
        <f>IF($E181="","", IF(AND($E181&gt;=INDEX(Calc!$E:$E, MATCH("min_fwd_draft_m", Calc!$C:$C, 0)), $E181&lt;=INDEX(Calc!$E:$E, MATCH("max_fwd_draft_m", Calc!$C:$C, 0)), $G181&lt;=INDEX(Calc!$E:$E, MATCH("theta_max_deg", Calc!$C:$C, 0))), "OK", "CHECK"))</f>
        <v/>
      </c>
      <c r="I181" s="6">
        <f>IF($E181="","", INDEX(Calc!$E:$E, MATCH("D_vessel_m", Calc!$C:$C, 0)) - $E181 + $B181)</f>
        <v/>
      </c>
      <c r="J181" s="6">
        <f>IF($F181="","", INDEX(Calc!$E:$E, MATCH("D_vessel_m", Calc!$C:$C, 0)) - $F181 + $B181)</f>
        <v/>
      </c>
      <c r="K181" s="3">
        <f>IF(D181=0, "Even Keel", "")</f>
        <v/>
      </c>
    </row>
    <row r="182">
      <c r="A182" s="3">
        <f>IF(December_Tide_2025!A182="","",December_Tide_2025!A182)</f>
        <v/>
      </c>
      <c r="B182" s="6">
        <f>IF(December_Tide_2025!B182="","",December_Tide_2025!B182)</f>
        <v/>
      </c>
      <c r="C182" s="6">
        <f>IF($A182="","", INDEX(Calc!$E:$E, MATCH("KminusZ_m", Calc!$C:$C, 0)) + $B182 - INDEX(Calc!$E:$E, MATCH("L_ramp_m", Calc!$C:$C, 0)) * TAN(RADIANS(INDEX(Calc!$E:$E, MATCH("theta_max_deg", Calc!$C:$C, 0)))))</f>
        <v/>
      </c>
      <c r="D182" s="6" t="n"/>
      <c r="E182" s="6">
        <f>IF($C182="","", IF($D182="", $C182, $C182 - $D182/2))</f>
        <v/>
      </c>
      <c r="F182" s="6">
        <f>IF($C182="","", IF($D182="", $C182, $C182 + $D182/2))</f>
        <v/>
      </c>
      <c r="G182" s="6">
        <f>IF($E182="","", DEGREES(ATAN((INDEX(Calc!$E:$E, MATCH("KminusZ_m", Calc!$C:$C, 0)) - $E182 + $B182) / INDEX(Calc!$E:$E, MATCH("L_ramp_m", Calc!$C:$C, 0)))))</f>
        <v/>
      </c>
      <c r="H182" s="3">
        <f>IF($E182="","", IF(AND($E182&gt;=INDEX(Calc!$E:$E, MATCH("min_fwd_draft_m", Calc!$C:$C, 0)), $E182&lt;=INDEX(Calc!$E:$E, MATCH("max_fwd_draft_m", Calc!$C:$C, 0)), $G182&lt;=INDEX(Calc!$E:$E, MATCH("theta_max_deg", Calc!$C:$C, 0))), "OK", "CHECK"))</f>
        <v/>
      </c>
      <c r="I182" s="6">
        <f>IF($E182="","", INDEX(Calc!$E:$E, MATCH("D_vessel_m", Calc!$C:$C, 0)) - $E182 + $B182)</f>
        <v/>
      </c>
      <c r="J182" s="6">
        <f>IF($F182="","", INDEX(Calc!$E:$E, MATCH("D_vessel_m", Calc!$C:$C, 0)) - $F182 + $B182)</f>
        <v/>
      </c>
      <c r="K182" s="3">
        <f>IF(D182=0, "Even Keel", "")</f>
        <v/>
      </c>
    </row>
    <row r="183">
      <c r="A183" s="3">
        <f>IF(December_Tide_2025!A183="","",December_Tide_2025!A183)</f>
        <v/>
      </c>
      <c r="B183" s="6">
        <f>IF(December_Tide_2025!B183="","",December_Tide_2025!B183)</f>
        <v/>
      </c>
      <c r="C183" s="6">
        <f>IF($A183="","", INDEX(Calc!$E:$E, MATCH("KminusZ_m", Calc!$C:$C, 0)) + $B183 - INDEX(Calc!$E:$E, MATCH("L_ramp_m", Calc!$C:$C, 0)) * TAN(RADIANS(INDEX(Calc!$E:$E, MATCH("theta_max_deg", Calc!$C:$C, 0)))))</f>
        <v/>
      </c>
      <c r="D183" s="6" t="n"/>
      <c r="E183" s="6">
        <f>IF($C183="","", IF($D183="", $C183, $C183 - $D183/2))</f>
        <v/>
      </c>
      <c r="F183" s="6">
        <f>IF($C183="","", IF($D183="", $C183, $C183 + $D183/2))</f>
        <v/>
      </c>
      <c r="G183" s="6">
        <f>IF($E183="","", DEGREES(ATAN((INDEX(Calc!$E:$E, MATCH("KminusZ_m", Calc!$C:$C, 0)) - $E183 + $B183) / INDEX(Calc!$E:$E, MATCH("L_ramp_m", Calc!$C:$C, 0)))))</f>
        <v/>
      </c>
      <c r="H183" s="3">
        <f>IF($E183="","", IF(AND($E183&gt;=INDEX(Calc!$E:$E, MATCH("min_fwd_draft_m", Calc!$C:$C, 0)), $E183&lt;=INDEX(Calc!$E:$E, MATCH("max_fwd_draft_m", Calc!$C:$C, 0)), $G183&lt;=INDEX(Calc!$E:$E, MATCH("theta_max_deg", Calc!$C:$C, 0))), "OK", "CHECK"))</f>
        <v/>
      </c>
      <c r="I183" s="6">
        <f>IF($E183="","", INDEX(Calc!$E:$E, MATCH("D_vessel_m", Calc!$C:$C, 0)) - $E183 + $B183)</f>
        <v/>
      </c>
      <c r="J183" s="6">
        <f>IF($F183="","", INDEX(Calc!$E:$E, MATCH("D_vessel_m", Calc!$C:$C, 0)) - $F183 + $B183)</f>
        <v/>
      </c>
      <c r="K183" s="3">
        <f>IF(D183=0, "Even Keel", "")</f>
        <v/>
      </c>
    </row>
    <row r="184">
      <c r="A184" s="3">
        <f>IF(December_Tide_2025!A184="","",December_Tide_2025!A184)</f>
        <v/>
      </c>
      <c r="B184" s="6">
        <f>IF(December_Tide_2025!B184="","",December_Tide_2025!B184)</f>
        <v/>
      </c>
      <c r="C184" s="6">
        <f>IF($A184="","", INDEX(Calc!$E:$E, MATCH("KminusZ_m", Calc!$C:$C, 0)) + $B184 - INDEX(Calc!$E:$E, MATCH("L_ramp_m", Calc!$C:$C, 0)) * TAN(RADIANS(INDEX(Calc!$E:$E, MATCH("theta_max_deg", Calc!$C:$C, 0)))))</f>
        <v/>
      </c>
      <c r="D184" s="6" t="n"/>
      <c r="E184" s="6">
        <f>IF($C184="","", IF($D184="", $C184, $C184 - $D184/2))</f>
        <v/>
      </c>
      <c r="F184" s="6">
        <f>IF($C184="","", IF($D184="", $C184, $C184 + $D184/2))</f>
        <v/>
      </c>
      <c r="G184" s="6">
        <f>IF($E184="","", DEGREES(ATAN((INDEX(Calc!$E:$E, MATCH("KminusZ_m", Calc!$C:$C, 0)) - $E184 + $B184) / INDEX(Calc!$E:$E, MATCH("L_ramp_m", Calc!$C:$C, 0)))))</f>
        <v/>
      </c>
      <c r="H184" s="3">
        <f>IF($E184="","", IF(AND($E184&gt;=INDEX(Calc!$E:$E, MATCH("min_fwd_draft_m", Calc!$C:$C, 0)), $E184&lt;=INDEX(Calc!$E:$E, MATCH("max_fwd_draft_m", Calc!$C:$C, 0)), $G184&lt;=INDEX(Calc!$E:$E, MATCH("theta_max_deg", Calc!$C:$C, 0))), "OK", "CHECK"))</f>
        <v/>
      </c>
      <c r="I184" s="6">
        <f>IF($E184="","", INDEX(Calc!$E:$E, MATCH("D_vessel_m", Calc!$C:$C, 0)) - $E184 + $B184)</f>
        <v/>
      </c>
      <c r="J184" s="6">
        <f>IF($F184="","", INDEX(Calc!$E:$E, MATCH("D_vessel_m", Calc!$C:$C, 0)) - $F184 + $B184)</f>
        <v/>
      </c>
      <c r="K184" s="3">
        <f>IF(D184=0, "Even Keel", "")</f>
        <v/>
      </c>
    </row>
    <row r="185">
      <c r="A185" s="3">
        <f>IF(December_Tide_2025!A185="","",December_Tide_2025!A185)</f>
        <v/>
      </c>
      <c r="B185" s="6">
        <f>IF(December_Tide_2025!B185="","",December_Tide_2025!B185)</f>
        <v/>
      </c>
      <c r="C185" s="6">
        <f>IF($A185="","", INDEX(Calc!$E:$E, MATCH("KminusZ_m", Calc!$C:$C, 0)) + $B185 - INDEX(Calc!$E:$E, MATCH("L_ramp_m", Calc!$C:$C, 0)) * TAN(RADIANS(INDEX(Calc!$E:$E, MATCH("theta_max_deg", Calc!$C:$C, 0)))))</f>
        <v/>
      </c>
      <c r="D185" s="6" t="n"/>
      <c r="E185" s="6">
        <f>IF($C185="","", IF($D185="", $C185, $C185 - $D185/2))</f>
        <v/>
      </c>
      <c r="F185" s="6">
        <f>IF($C185="","", IF($D185="", $C185, $C185 + $D185/2))</f>
        <v/>
      </c>
      <c r="G185" s="6">
        <f>IF($E185="","", DEGREES(ATAN((INDEX(Calc!$E:$E, MATCH("KminusZ_m", Calc!$C:$C, 0)) - $E185 + $B185) / INDEX(Calc!$E:$E, MATCH("L_ramp_m", Calc!$C:$C, 0)))))</f>
        <v/>
      </c>
      <c r="H185" s="3">
        <f>IF($E185="","", IF(AND($E185&gt;=INDEX(Calc!$E:$E, MATCH("min_fwd_draft_m", Calc!$C:$C, 0)), $E185&lt;=INDEX(Calc!$E:$E, MATCH("max_fwd_draft_m", Calc!$C:$C, 0)), $G185&lt;=INDEX(Calc!$E:$E, MATCH("theta_max_deg", Calc!$C:$C, 0))), "OK", "CHECK"))</f>
        <v/>
      </c>
      <c r="I185" s="6">
        <f>IF($E185="","", INDEX(Calc!$E:$E, MATCH("D_vessel_m", Calc!$C:$C, 0)) - $E185 + $B185)</f>
        <v/>
      </c>
      <c r="J185" s="6">
        <f>IF($F185="","", INDEX(Calc!$E:$E, MATCH("D_vessel_m", Calc!$C:$C, 0)) - $F185 + $B185)</f>
        <v/>
      </c>
      <c r="K185" s="3">
        <f>IF(D185=0, "Even Keel", "")</f>
        <v/>
      </c>
    </row>
    <row r="186">
      <c r="A186" s="3">
        <f>IF(December_Tide_2025!A186="","",December_Tide_2025!A186)</f>
        <v/>
      </c>
      <c r="B186" s="6">
        <f>IF(December_Tide_2025!B186="","",December_Tide_2025!B186)</f>
        <v/>
      </c>
      <c r="C186" s="6">
        <f>IF($A186="","", INDEX(Calc!$E:$E, MATCH("KminusZ_m", Calc!$C:$C, 0)) + $B186 - INDEX(Calc!$E:$E, MATCH("L_ramp_m", Calc!$C:$C, 0)) * TAN(RADIANS(INDEX(Calc!$E:$E, MATCH("theta_max_deg", Calc!$C:$C, 0)))))</f>
        <v/>
      </c>
      <c r="D186" s="6" t="n"/>
      <c r="E186" s="6">
        <f>IF($C186="","", IF($D186="", $C186, $C186 - $D186/2))</f>
        <v/>
      </c>
      <c r="F186" s="6">
        <f>IF($C186="","", IF($D186="", $C186, $C186 + $D186/2))</f>
        <v/>
      </c>
      <c r="G186" s="6">
        <f>IF($E186="","", DEGREES(ATAN((INDEX(Calc!$E:$E, MATCH("KminusZ_m", Calc!$C:$C, 0)) - $E186 + $B186) / INDEX(Calc!$E:$E, MATCH("L_ramp_m", Calc!$C:$C, 0)))))</f>
        <v/>
      </c>
      <c r="H186" s="3">
        <f>IF($E186="","", IF(AND($E186&gt;=INDEX(Calc!$E:$E, MATCH("min_fwd_draft_m", Calc!$C:$C, 0)), $E186&lt;=INDEX(Calc!$E:$E, MATCH("max_fwd_draft_m", Calc!$C:$C, 0)), $G186&lt;=INDEX(Calc!$E:$E, MATCH("theta_max_deg", Calc!$C:$C, 0))), "OK", "CHECK"))</f>
        <v/>
      </c>
      <c r="I186" s="6">
        <f>IF($E186="","", INDEX(Calc!$E:$E, MATCH("D_vessel_m", Calc!$C:$C, 0)) - $E186 + $B186)</f>
        <v/>
      </c>
      <c r="J186" s="6">
        <f>IF($F186="","", INDEX(Calc!$E:$E, MATCH("D_vessel_m", Calc!$C:$C, 0)) - $F186 + $B186)</f>
        <v/>
      </c>
      <c r="K186" s="3">
        <f>IF(D186=0, "Even Keel", "")</f>
        <v/>
      </c>
    </row>
    <row r="187">
      <c r="A187" s="3">
        <f>IF(December_Tide_2025!A187="","",December_Tide_2025!A187)</f>
        <v/>
      </c>
      <c r="B187" s="6">
        <f>IF(December_Tide_2025!B187="","",December_Tide_2025!B187)</f>
        <v/>
      </c>
      <c r="C187" s="6">
        <f>IF($A187="","", INDEX(Calc!$E:$E, MATCH("KminusZ_m", Calc!$C:$C, 0)) + $B187 - INDEX(Calc!$E:$E, MATCH("L_ramp_m", Calc!$C:$C, 0)) * TAN(RADIANS(INDEX(Calc!$E:$E, MATCH("theta_max_deg", Calc!$C:$C, 0)))))</f>
        <v/>
      </c>
      <c r="D187" s="6" t="n"/>
      <c r="E187" s="6">
        <f>IF($C187="","", IF($D187="", $C187, $C187 - $D187/2))</f>
        <v/>
      </c>
      <c r="F187" s="6">
        <f>IF($C187="","", IF($D187="", $C187, $C187 + $D187/2))</f>
        <v/>
      </c>
      <c r="G187" s="6">
        <f>IF($E187="","", DEGREES(ATAN((INDEX(Calc!$E:$E, MATCH("KminusZ_m", Calc!$C:$C, 0)) - $E187 + $B187) / INDEX(Calc!$E:$E, MATCH("L_ramp_m", Calc!$C:$C, 0)))))</f>
        <v/>
      </c>
      <c r="H187" s="3">
        <f>IF($E187="","", IF(AND($E187&gt;=INDEX(Calc!$E:$E, MATCH("min_fwd_draft_m", Calc!$C:$C, 0)), $E187&lt;=INDEX(Calc!$E:$E, MATCH("max_fwd_draft_m", Calc!$C:$C, 0)), $G187&lt;=INDEX(Calc!$E:$E, MATCH("theta_max_deg", Calc!$C:$C, 0))), "OK", "CHECK"))</f>
        <v/>
      </c>
      <c r="I187" s="6">
        <f>IF($E187="","", INDEX(Calc!$E:$E, MATCH("D_vessel_m", Calc!$C:$C, 0)) - $E187 + $B187)</f>
        <v/>
      </c>
      <c r="J187" s="6">
        <f>IF($F187="","", INDEX(Calc!$E:$E, MATCH("D_vessel_m", Calc!$C:$C, 0)) - $F187 + $B187)</f>
        <v/>
      </c>
      <c r="K187" s="3">
        <f>IF(D187=0, "Even Keel", "")</f>
        <v/>
      </c>
    </row>
    <row r="188">
      <c r="A188" s="3">
        <f>IF(December_Tide_2025!A188="","",December_Tide_2025!A188)</f>
        <v/>
      </c>
      <c r="B188" s="6">
        <f>IF(December_Tide_2025!B188="","",December_Tide_2025!B188)</f>
        <v/>
      </c>
      <c r="C188" s="6">
        <f>IF($A188="","", INDEX(Calc!$E:$E, MATCH("KminusZ_m", Calc!$C:$C, 0)) + $B188 - INDEX(Calc!$E:$E, MATCH("L_ramp_m", Calc!$C:$C, 0)) * TAN(RADIANS(INDEX(Calc!$E:$E, MATCH("theta_max_deg", Calc!$C:$C, 0)))))</f>
        <v/>
      </c>
      <c r="D188" s="6" t="n"/>
      <c r="E188" s="6">
        <f>IF($C188="","", IF($D188="", $C188, $C188 - $D188/2))</f>
        <v/>
      </c>
      <c r="F188" s="6">
        <f>IF($C188="","", IF($D188="", $C188, $C188 + $D188/2))</f>
        <v/>
      </c>
      <c r="G188" s="6">
        <f>IF($E188="","", DEGREES(ATAN((INDEX(Calc!$E:$E, MATCH("KminusZ_m", Calc!$C:$C, 0)) - $E188 + $B188) / INDEX(Calc!$E:$E, MATCH("L_ramp_m", Calc!$C:$C, 0)))))</f>
        <v/>
      </c>
      <c r="H188" s="3">
        <f>IF($E188="","", IF(AND($E188&gt;=INDEX(Calc!$E:$E, MATCH("min_fwd_draft_m", Calc!$C:$C, 0)), $E188&lt;=INDEX(Calc!$E:$E, MATCH("max_fwd_draft_m", Calc!$C:$C, 0)), $G188&lt;=INDEX(Calc!$E:$E, MATCH("theta_max_deg", Calc!$C:$C, 0))), "OK", "CHECK"))</f>
        <v/>
      </c>
      <c r="I188" s="6">
        <f>IF($E188="","", INDEX(Calc!$E:$E, MATCH("D_vessel_m", Calc!$C:$C, 0)) - $E188 + $B188)</f>
        <v/>
      </c>
      <c r="J188" s="6">
        <f>IF($F188="","", INDEX(Calc!$E:$E, MATCH("D_vessel_m", Calc!$C:$C, 0)) - $F188 + $B188)</f>
        <v/>
      </c>
      <c r="K188" s="3">
        <f>IF(D188=0, "Even Keel", "")</f>
        <v/>
      </c>
    </row>
    <row r="189">
      <c r="A189" s="3">
        <f>IF(December_Tide_2025!A189="","",December_Tide_2025!A189)</f>
        <v/>
      </c>
      <c r="B189" s="6">
        <f>IF(December_Tide_2025!B189="","",December_Tide_2025!B189)</f>
        <v/>
      </c>
      <c r="C189" s="6">
        <f>IF($A189="","", INDEX(Calc!$E:$E, MATCH("KminusZ_m", Calc!$C:$C, 0)) + $B189 - INDEX(Calc!$E:$E, MATCH("L_ramp_m", Calc!$C:$C, 0)) * TAN(RADIANS(INDEX(Calc!$E:$E, MATCH("theta_max_deg", Calc!$C:$C, 0)))))</f>
        <v/>
      </c>
      <c r="D189" s="6" t="n"/>
      <c r="E189" s="6">
        <f>IF($C189="","", IF($D189="", $C189, $C189 - $D189/2))</f>
        <v/>
      </c>
      <c r="F189" s="6">
        <f>IF($C189="","", IF($D189="", $C189, $C189 + $D189/2))</f>
        <v/>
      </c>
      <c r="G189" s="6">
        <f>IF($E189="","", DEGREES(ATAN((INDEX(Calc!$E:$E, MATCH("KminusZ_m", Calc!$C:$C, 0)) - $E189 + $B189) / INDEX(Calc!$E:$E, MATCH("L_ramp_m", Calc!$C:$C, 0)))))</f>
        <v/>
      </c>
      <c r="H189" s="3">
        <f>IF($E189="","", IF(AND($E189&gt;=INDEX(Calc!$E:$E, MATCH("min_fwd_draft_m", Calc!$C:$C, 0)), $E189&lt;=INDEX(Calc!$E:$E, MATCH("max_fwd_draft_m", Calc!$C:$C, 0)), $G189&lt;=INDEX(Calc!$E:$E, MATCH("theta_max_deg", Calc!$C:$C, 0))), "OK", "CHECK"))</f>
        <v/>
      </c>
      <c r="I189" s="6">
        <f>IF($E189="","", INDEX(Calc!$E:$E, MATCH("D_vessel_m", Calc!$C:$C, 0)) - $E189 + $B189)</f>
        <v/>
      </c>
      <c r="J189" s="6">
        <f>IF($F189="","", INDEX(Calc!$E:$E, MATCH("D_vessel_m", Calc!$C:$C, 0)) - $F189 + $B189)</f>
        <v/>
      </c>
      <c r="K189" s="3">
        <f>IF(D189=0, "Even Keel", "")</f>
        <v/>
      </c>
    </row>
    <row r="190">
      <c r="A190" s="3">
        <f>IF(December_Tide_2025!A190="","",December_Tide_2025!A190)</f>
        <v/>
      </c>
      <c r="B190" s="6">
        <f>IF(December_Tide_2025!B190="","",December_Tide_2025!B190)</f>
        <v/>
      </c>
      <c r="C190" s="6">
        <f>IF($A190="","", INDEX(Calc!$E:$E, MATCH("KminusZ_m", Calc!$C:$C, 0)) + $B190 - INDEX(Calc!$E:$E, MATCH("L_ramp_m", Calc!$C:$C, 0)) * TAN(RADIANS(INDEX(Calc!$E:$E, MATCH("theta_max_deg", Calc!$C:$C, 0)))))</f>
        <v/>
      </c>
      <c r="D190" s="6" t="n"/>
      <c r="E190" s="6">
        <f>IF($C190="","", IF($D190="", $C190, $C190 - $D190/2))</f>
        <v/>
      </c>
      <c r="F190" s="6">
        <f>IF($C190="","", IF($D190="", $C190, $C190 + $D190/2))</f>
        <v/>
      </c>
      <c r="G190" s="6">
        <f>IF($E190="","", DEGREES(ATAN((INDEX(Calc!$E:$E, MATCH("KminusZ_m", Calc!$C:$C, 0)) - $E190 + $B190) / INDEX(Calc!$E:$E, MATCH("L_ramp_m", Calc!$C:$C, 0)))))</f>
        <v/>
      </c>
      <c r="H190" s="3">
        <f>IF($E190="","", IF(AND($E190&gt;=INDEX(Calc!$E:$E, MATCH("min_fwd_draft_m", Calc!$C:$C, 0)), $E190&lt;=INDEX(Calc!$E:$E, MATCH("max_fwd_draft_m", Calc!$C:$C, 0)), $G190&lt;=INDEX(Calc!$E:$E, MATCH("theta_max_deg", Calc!$C:$C, 0))), "OK", "CHECK"))</f>
        <v/>
      </c>
      <c r="I190" s="6">
        <f>IF($E190="","", INDEX(Calc!$E:$E, MATCH("D_vessel_m", Calc!$C:$C, 0)) - $E190 + $B190)</f>
        <v/>
      </c>
      <c r="J190" s="6">
        <f>IF($F190="","", INDEX(Calc!$E:$E, MATCH("D_vessel_m", Calc!$C:$C, 0)) - $F190 + $B190)</f>
        <v/>
      </c>
      <c r="K190" s="3">
        <f>IF(D190=0, "Even Keel", "")</f>
        <v/>
      </c>
    </row>
    <row r="191">
      <c r="A191" s="3">
        <f>IF(December_Tide_2025!A191="","",December_Tide_2025!A191)</f>
        <v/>
      </c>
      <c r="B191" s="6">
        <f>IF(December_Tide_2025!B191="","",December_Tide_2025!B191)</f>
        <v/>
      </c>
      <c r="C191" s="6">
        <f>IF($A191="","", INDEX(Calc!$E:$E, MATCH("KminusZ_m", Calc!$C:$C, 0)) + $B191 - INDEX(Calc!$E:$E, MATCH("L_ramp_m", Calc!$C:$C, 0)) * TAN(RADIANS(INDEX(Calc!$E:$E, MATCH("theta_max_deg", Calc!$C:$C, 0)))))</f>
        <v/>
      </c>
      <c r="D191" s="6" t="n"/>
      <c r="E191" s="6">
        <f>IF($C191="","", IF($D191="", $C191, $C191 - $D191/2))</f>
        <v/>
      </c>
      <c r="F191" s="6">
        <f>IF($C191="","", IF($D191="", $C191, $C191 + $D191/2))</f>
        <v/>
      </c>
      <c r="G191" s="6">
        <f>IF($E191="","", DEGREES(ATAN((INDEX(Calc!$E:$E, MATCH("KminusZ_m", Calc!$C:$C, 0)) - $E191 + $B191) / INDEX(Calc!$E:$E, MATCH("L_ramp_m", Calc!$C:$C, 0)))))</f>
        <v/>
      </c>
      <c r="H191" s="3">
        <f>IF($E191="","", IF(AND($E191&gt;=INDEX(Calc!$E:$E, MATCH("min_fwd_draft_m", Calc!$C:$C, 0)), $E191&lt;=INDEX(Calc!$E:$E, MATCH("max_fwd_draft_m", Calc!$C:$C, 0)), $G191&lt;=INDEX(Calc!$E:$E, MATCH("theta_max_deg", Calc!$C:$C, 0))), "OK", "CHECK"))</f>
        <v/>
      </c>
      <c r="I191" s="6">
        <f>IF($E191="","", INDEX(Calc!$E:$E, MATCH("D_vessel_m", Calc!$C:$C, 0)) - $E191 + $B191)</f>
        <v/>
      </c>
      <c r="J191" s="6">
        <f>IF($F191="","", INDEX(Calc!$E:$E, MATCH("D_vessel_m", Calc!$C:$C, 0)) - $F191 + $B191)</f>
        <v/>
      </c>
      <c r="K191" s="3">
        <f>IF(D191=0, "Even Keel", "")</f>
        <v/>
      </c>
    </row>
    <row r="192">
      <c r="A192" s="3">
        <f>IF(December_Tide_2025!A192="","",December_Tide_2025!A192)</f>
        <v/>
      </c>
      <c r="B192" s="6">
        <f>IF(December_Tide_2025!B192="","",December_Tide_2025!B192)</f>
        <v/>
      </c>
      <c r="C192" s="6">
        <f>IF($A192="","", INDEX(Calc!$E:$E, MATCH("KminusZ_m", Calc!$C:$C, 0)) + $B192 - INDEX(Calc!$E:$E, MATCH("L_ramp_m", Calc!$C:$C, 0)) * TAN(RADIANS(INDEX(Calc!$E:$E, MATCH("theta_max_deg", Calc!$C:$C, 0)))))</f>
        <v/>
      </c>
      <c r="D192" s="6" t="n"/>
      <c r="E192" s="6">
        <f>IF($C192="","", IF($D192="", $C192, $C192 - $D192/2))</f>
        <v/>
      </c>
      <c r="F192" s="6">
        <f>IF($C192="","", IF($D192="", $C192, $C192 + $D192/2))</f>
        <v/>
      </c>
      <c r="G192" s="6">
        <f>IF($E192="","", DEGREES(ATAN((INDEX(Calc!$E:$E, MATCH("KminusZ_m", Calc!$C:$C, 0)) - $E192 + $B192) / INDEX(Calc!$E:$E, MATCH("L_ramp_m", Calc!$C:$C, 0)))))</f>
        <v/>
      </c>
      <c r="H192" s="3">
        <f>IF($E192="","", IF(AND($E192&gt;=INDEX(Calc!$E:$E, MATCH("min_fwd_draft_m", Calc!$C:$C, 0)), $E192&lt;=INDEX(Calc!$E:$E, MATCH("max_fwd_draft_m", Calc!$C:$C, 0)), $G192&lt;=INDEX(Calc!$E:$E, MATCH("theta_max_deg", Calc!$C:$C, 0))), "OK", "CHECK"))</f>
        <v/>
      </c>
      <c r="I192" s="6">
        <f>IF($E192="","", INDEX(Calc!$E:$E, MATCH("D_vessel_m", Calc!$C:$C, 0)) - $E192 + $B192)</f>
        <v/>
      </c>
      <c r="J192" s="6">
        <f>IF($F192="","", INDEX(Calc!$E:$E, MATCH("D_vessel_m", Calc!$C:$C, 0)) - $F192 + $B192)</f>
        <v/>
      </c>
      <c r="K192" s="3">
        <f>IF(D192=0, "Even Keel", "")</f>
        <v/>
      </c>
    </row>
    <row r="193">
      <c r="A193" s="3">
        <f>IF(December_Tide_2025!A193="","",December_Tide_2025!A193)</f>
        <v/>
      </c>
      <c r="B193" s="6">
        <f>IF(December_Tide_2025!B193="","",December_Tide_2025!B193)</f>
        <v/>
      </c>
      <c r="C193" s="6">
        <f>IF($A193="","", INDEX(Calc!$E:$E, MATCH("KminusZ_m", Calc!$C:$C, 0)) + $B193 - INDEX(Calc!$E:$E, MATCH("L_ramp_m", Calc!$C:$C, 0)) * TAN(RADIANS(INDEX(Calc!$E:$E, MATCH("theta_max_deg", Calc!$C:$C, 0)))))</f>
        <v/>
      </c>
      <c r="D193" s="6" t="n"/>
      <c r="E193" s="6">
        <f>IF($C193="","", IF($D193="", $C193, $C193 - $D193/2))</f>
        <v/>
      </c>
      <c r="F193" s="6">
        <f>IF($C193="","", IF($D193="", $C193, $C193 + $D193/2))</f>
        <v/>
      </c>
      <c r="G193" s="6">
        <f>IF($E193="","", DEGREES(ATAN((INDEX(Calc!$E:$E, MATCH("KminusZ_m", Calc!$C:$C, 0)) - $E193 + $B193) / INDEX(Calc!$E:$E, MATCH("L_ramp_m", Calc!$C:$C, 0)))))</f>
        <v/>
      </c>
      <c r="H193" s="3">
        <f>IF($E193="","", IF(AND($E193&gt;=INDEX(Calc!$E:$E, MATCH("min_fwd_draft_m", Calc!$C:$C, 0)), $E193&lt;=INDEX(Calc!$E:$E, MATCH("max_fwd_draft_m", Calc!$C:$C, 0)), $G193&lt;=INDEX(Calc!$E:$E, MATCH("theta_max_deg", Calc!$C:$C, 0))), "OK", "CHECK"))</f>
        <v/>
      </c>
      <c r="I193" s="6">
        <f>IF($E193="","", INDEX(Calc!$E:$E, MATCH("D_vessel_m", Calc!$C:$C, 0)) - $E193 + $B193)</f>
        <v/>
      </c>
      <c r="J193" s="6">
        <f>IF($F193="","", INDEX(Calc!$E:$E, MATCH("D_vessel_m", Calc!$C:$C, 0)) - $F193 + $B193)</f>
        <v/>
      </c>
      <c r="K193" s="3">
        <f>IF(D193=0, "Even Keel", "")</f>
        <v/>
      </c>
    </row>
    <row r="194">
      <c r="A194" s="3">
        <f>IF(December_Tide_2025!A194="","",December_Tide_2025!A194)</f>
        <v/>
      </c>
      <c r="B194" s="6">
        <f>IF(December_Tide_2025!B194="","",December_Tide_2025!B194)</f>
        <v/>
      </c>
      <c r="C194" s="6">
        <f>IF($A194="","", INDEX(Calc!$E:$E, MATCH("KminusZ_m", Calc!$C:$C, 0)) + $B194 - INDEX(Calc!$E:$E, MATCH("L_ramp_m", Calc!$C:$C, 0)) * TAN(RADIANS(INDEX(Calc!$E:$E, MATCH("theta_max_deg", Calc!$C:$C, 0)))))</f>
        <v/>
      </c>
      <c r="D194" s="6" t="n"/>
      <c r="E194" s="6">
        <f>IF($C194="","", IF($D194="", $C194, $C194 - $D194/2))</f>
        <v/>
      </c>
      <c r="F194" s="6">
        <f>IF($C194="","", IF($D194="", $C194, $C194 + $D194/2))</f>
        <v/>
      </c>
      <c r="G194" s="6">
        <f>IF($E194="","", DEGREES(ATAN((INDEX(Calc!$E:$E, MATCH("KminusZ_m", Calc!$C:$C, 0)) - $E194 + $B194) / INDEX(Calc!$E:$E, MATCH("L_ramp_m", Calc!$C:$C, 0)))))</f>
        <v/>
      </c>
      <c r="H194" s="3">
        <f>IF($E194="","", IF(AND($E194&gt;=INDEX(Calc!$E:$E, MATCH("min_fwd_draft_m", Calc!$C:$C, 0)), $E194&lt;=INDEX(Calc!$E:$E, MATCH("max_fwd_draft_m", Calc!$C:$C, 0)), $G194&lt;=INDEX(Calc!$E:$E, MATCH("theta_max_deg", Calc!$C:$C, 0))), "OK", "CHECK"))</f>
        <v/>
      </c>
      <c r="I194" s="6">
        <f>IF($E194="","", INDEX(Calc!$E:$E, MATCH("D_vessel_m", Calc!$C:$C, 0)) - $E194 + $B194)</f>
        <v/>
      </c>
      <c r="J194" s="6">
        <f>IF($F194="","", INDEX(Calc!$E:$E, MATCH("D_vessel_m", Calc!$C:$C, 0)) - $F194 + $B194)</f>
        <v/>
      </c>
      <c r="K194" s="3">
        <f>IF(D194=0, "Even Keel", "")</f>
        <v/>
      </c>
    </row>
    <row r="195">
      <c r="A195" s="3">
        <f>IF(December_Tide_2025!A195="","",December_Tide_2025!A195)</f>
        <v/>
      </c>
      <c r="B195" s="6">
        <f>IF(December_Tide_2025!B195="","",December_Tide_2025!B195)</f>
        <v/>
      </c>
      <c r="C195" s="6">
        <f>IF($A195="","", INDEX(Calc!$E:$E, MATCH("KminusZ_m", Calc!$C:$C, 0)) + $B195 - INDEX(Calc!$E:$E, MATCH("L_ramp_m", Calc!$C:$C, 0)) * TAN(RADIANS(INDEX(Calc!$E:$E, MATCH("theta_max_deg", Calc!$C:$C, 0)))))</f>
        <v/>
      </c>
      <c r="D195" s="6" t="n"/>
      <c r="E195" s="6">
        <f>IF($C195="","", IF($D195="", $C195, $C195 - $D195/2))</f>
        <v/>
      </c>
      <c r="F195" s="6">
        <f>IF($C195="","", IF($D195="", $C195, $C195 + $D195/2))</f>
        <v/>
      </c>
      <c r="G195" s="6">
        <f>IF($E195="","", DEGREES(ATAN((INDEX(Calc!$E:$E, MATCH("KminusZ_m", Calc!$C:$C, 0)) - $E195 + $B195) / INDEX(Calc!$E:$E, MATCH("L_ramp_m", Calc!$C:$C, 0)))))</f>
        <v/>
      </c>
      <c r="H195" s="3">
        <f>IF($E195="","", IF(AND($E195&gt;=INDEX(Calc!$E:$E, MATCH("min_fwd_draft_m", Calc!$C:$C, 0)), $E195&lt;=INDEX(Calc!$E:$E, MATCH("max_fwd_draft_m", Calc!$C:$C, 0)), $G195&lt;=INDEX(Calc!$E:$E, MATCH("theta_max_deg", Calc!$C:$C, 0))), "OK", "CHECK"))</f>
        <v/>
      </c>
      <c r="I195" s="6">
        <f>IF($E195="","", INDEX(Calc!$E:$E, MATCH("D_vessel_m", Calc!$C:$C, 0)) - $E195 + $B195)</f>
        <v/>
      </c>
      <c r="J195" s="6">
        <f>IF($F195="","", INDEX(Calc!$E:$E, MATCH("D_vessel_m", Calc!$C:$C, 0)) - $F195 + $B195)</f>
        <v/>
      </c>
      <c r="K195" s="3">
        <f>IF(D195=0, "Even Keel", "")</f>
        <v/>
      </c>
    </row>
    <row r="196">
      <c r="A196" s="3">
        <f>IF(December_Tide_2025!A196="","",December_Tide_2025!A196)</f>
        <v/>
      </c>
      <c r="B196" s="6">
        <f>IF(December_Tide_2025!B196="","",December_Tide_2025!B196)</f>
        <v/>
      </c>
      <c r="C196" s="6">
        <f>IF($A196="","", INDEX(Calc!$E:$E, MATCH("KminusZ_m", Calc!$C:$C, 0)) + $B196 - INDEX(Calc!$E:$E, MATCH("L_ramp_m", Calc!$C:$C, 0)) * TAN(RADIANS(INDEX(Calc!$E:$E, MATCH("theta_max_deg", Calc!$C:$C, 0)))))</f>
        <v/>
      </c>
      <c r="D196" s="6" t="n"/>
      <c r="E196" s="6">
        <f>IF($C196="","", IF($D196="", $C196, $C196 - $D196/2))</f>
        <v/>
      </c>
      <c r="F196" s="6">
        <f>IF($C196="","", IF($D196="", $C196, $C196 + $D196/2))</f>
        <v/>
      </c>
      <c r="G196" s="6">
        <f>IF($E196="","", DEGREES(ATAN((INDEX(Calc!$E:$E, MATCH("KminusZ_m", Calc!$C:$C, 0)) - $E196 + $B196) / INDEX(Calc!$E:$E, MATCH("L_ramp_m", Calc!$C:$C, 0)))))</f>
        <v/>
      </c>
      <c r="H196" s="3">
        <f>IF($E196="","", IF(AND($E196&gt;=INDEX(Calc!$E:$E, MATCH("min_fwd_draft_m", Calc!$C:$C, 0)), $E196&lt;=INDEX(Calc!$E:$E, MATCH("max_fwd_draft_m", Calc!$C:$C, 0)), $G196&lt;=INDEX(Calc!$E:$E, MATCH("theta_max_deg", Calc!$C:$C, 0))), "OK", "CHECK"))</f>
        <v/>
      </c>
      <c r="I196" s="6">
        <f>IF($E196="","", INDEX(Calc!$E:$E, MATCH("D_vessel_m", Calc!$C:$C, 0)) - $E196 + $B196)</f>
        <v/>
      </c>
      <c r="J196" s="6">
        <f>IF($F196="","", INDEX(Calc!$E:$E, MATCH("D_vessel_m", Calc!$C:$C, 0)) - $F196 + $B196)</f>
        <v/>
      </c>
      <c r="K196" s="3">
        <f>IF(D196=0, "Even Keel", "")</f>
        <v/>
      </c>
    </row>
    <row r="197">
      <c r="A197" s="3">
        <f>IF(December_Tide_2025!A197="","",December_Tide_2025!A197)</f>
        <v/>
      </c>
      <c r="B197" s="6">
        <f>IF(December_Tide_2025!B197="","",December_Tide_2025!B197)</f>
        <v/>
      </c>
      <c r="C197" s="6">
        <f>IF($A197="","", INDEX(Calc!$E:$E, MATCH("KminusZ_m", Calc!$C:$C, 0)) + $B197 - INDEX(Calc!$E:$E, MATCH("L_ramp_m", Calc!$C:$C, 0)) * TAN(RADIANS(INDEX(Calc!$E:$E, MATCH("theta_max_deg", Calc!$C:$C, 0)))))</f>
        <v/>
      </c>
      <c r="D197" s="6" t="n"/>
      <c r="E197" s="6">
        <f>IF($C197="","", IF($D197="", $C197, $C197 - $D197/2))</f>
        <v/>
      </c>
      <c r="F197" s="6">
        <f>IF($C197="","", IF($D197="", $C197, $C197 + $D197/2))</f>
        <v/>
      </c>
      <c r="G197" s="6">
        <f>IF($E197="","", DEGREES(ATAN((INDEX(Calc!$E:$E, MATCH("KminusZ_m", Calc!$C:$C, 0)) - $E197 + $B197) / INDEX(Calc!$E:$E, MATCH("L_ramp_m", Calc!$C:$C, 0)))))</f>
        <v/>
      </c>
      <c r="H197" s="3">
        <f>IF($E197="","", IF(AND($E197&gt;=INDEX(Calc!$E:$E, MATCH("min_fwd_draft_m", Calc!$C:$C, 0)), $E197&lt;=INDEX(Calc!$E:$E, MATCH("max_fwd_draft_m", Calc!$C:$C, 0)), $G197&lt;=INDEX(Calc!$E:$E, MATCH("theta_max_deg", Calc!$C:$C, 0))), "OK", "CHECK"))</f>
        <v/>
      </c>
      <c r="I197" s="6">
        <f>IF($E197="","", INDEX(Calc!$E:$E, MATCH("D_vessel_m", Calc!$C:$C, 0)) - $E197 + $B197)</f>
        <v/>
      </c>
      <c r="J197" s="6">
        <f>IF($F197="","", INDEX(Calc!$E:$E, MATCH("D_vessel_m", Calc!$C:$C, 0)) - $F197 + $B197)</f>
        <v/>
      </c>
      <c r="K197" s="3">
        <f>IF(D197=0, "Even Keel", "")</f>
        <v/>
      </c>
    </row>
    <row r="198">
      <c r="A198" s="3">
        <f>IF(December_Tide_2025!A198="","",December_Tide_2025!A198)</f>
        <v/>
      </c>
      <c r="B198" s="6">
        <f>IF(December_Tide_2025!B198="","",December_Tide_2025!B198)</f>
        <v/>
      </c>
      <c r="C198" s="6">
        <f>IF($A198="","", INDEX(Calc!$E:$E, MATCH("KminusZ_m", Calc!$C:$C, 0)) + $B198 - INDEX(Calc!$E:$E, MATCH("L_ramp_m", Calc!$C:$C, 0)) * TAN(RADIANS(INDEX(Calc!$E:$E, MATCH("theta_max_deg", Calc!$C:$C, 0)))))</f>
        <v/>
      </c>
      <c r="D198" s="6" t="n"/>
      <c r="E198" s="6">
        <f>IF($C198="","", IF($D198="", $C198, $C198 - $D198/2))</f>
        <v/>
      </c>
      <c r="F198" s="6">
        <f>IF($C198="","", IF($D198="", $C198, $C198 + $D198/2))</f>
        <v/>
      </c>
      <c r="G198" s="6">
        <f>IF($E198="","", DEGREES(ATAN((INDEX(Calc!$E:$E, MATCH("KminusZ_m", Calc!$C:$C, 0)) - $E198 + $B198) / INDEX(Calc!$E:$E, MATCH("L_ramp_m", Calc!$C:$C, 0)))))</f>
        <v/>
      </c>
      <c r="H198" s="3">
        <f>IF($E198="","", IF(AND($E198&gt;=INDEX(Calc!$E:$E, MATCH("min_fwd_draft_m", Calc!$C:$C, 0)), $E198&lt;=INDEX(Calc!$E:$E, MATCH("max_fwd_draft_m", Calc!$C:$C, 0)), $G198&lt;=INDEX(Calc!$E:$E, MATCH("theta_max_deg", Calc!$C:$C, 0))), "OK", "CHECK"))</f>
        <v/>
      </c>
      <c r="I198" s="6">
        <f>IF($E198="","", INDEX(Calc!$E:$E, MATCH("D_vessel_m", Calc!$C:$C, 0)) - $E198 + $B198)</f>
        <v/>
      </c>
      <c r="J198" s="6">
        <f>IF($F198="","", INDEX(Calc!$E:$E, MATCH("D_vessel_m", Calc!$C:$C, 0)) - $F198 + $B198)</f>
        <v/>
      </c>
      <c r="K198" s="3">
        <f>IF(D198=0, "Even Keel", "")</f>
        <v/>
      </c>
    </row>
    <row r="199">
      <c r="A199" s="3">
        <f>IF(December_Tide_2025!A199="","",December_Tide_2025!A199)</f>
        <v/>
      </c>
      <c r="B199" s="6">
        <f>IF(December_Tide_2025!B199="","",December_Tide_2025!B199)</f>
        <v/>
      </c>
      <c r="C199" s="6">
        <f>IF($A199="","", INDEX(Calc!$E:$E, MATCH("KminusZ_m", Calc!$C:$C, 0)) + $B199 - INDEX(Calc!$E:$E, MATCH("L_ramp_m", Calc!$C:$C, 0)) * TAN(RADIANS(INDEX(Calc!$E:$E, MATCH("theta_max_deg", Calc!$C:$C, 0)))))</f>
        <v/>
      </c>
      <c r="D199" s="6" t="n"/>
      <c r="E199" s="6">
        <f>IF($C199="","", IF($D199="", $C199, $C199 - $D199/2))</f>
        <v/>
      </c>
      <c r="F199" s="6">
        <f>IF($C199="","", IF($D199="", $C199, $C199 + $D199/2))</f>
        <v/>
      </c>
      <c r="G199" s="6">
        <f>IF($E199="","", DEGREES(ATAN((INDEX(Calc!$E:$E, MATCH("KminusZ_m", Calc!$C:$C, 0)) - $E199 + $B199) / INDEX(Calc!$E:$E, MATCH("L_ramp_m", Calc!$C:$C, 0)))))</f>
        <v/>
      </c>
      <c r="H199" s="3">
        <f>IF($E199="","", IF(AND($E199&gt;=INDEX(Calc!$E:$E, MATCH("min_fwd_draft_m", Calc!$C:$C, 0)), $E199&lt;=INDEX(Calc!$E:$E, MATCH("max_fwd_draft_m", Calc!$C:$C, 0)), $G199&lt;=INDEX(Calc!$E:$E, MATCH("theta_max_deg", Calc!$C:$C, 0))), "OK", "CHECK"))</f>
        <v/>
      </c>
      <c r="I199" s="6">
        <f>IF($E199="","", INDEX(Calc!$E:$E, MATCH("D_vessel_m", Calc!$C:$C, 0)) - $E199 + $B199)</f>
        <v/>
      </c>
      <c r="J199" s="6">
        <f>IF($F199="","", INDEX(Calc!$E:$E, MATCH("D_vessel_m", Calc!$C:$C, 0)) - $F199 + $B199)</f>
        <v/>
      </c>
      <c r="K199" s="3">
        <f>IF(D199=0, "Even Keel", "")</f>
        <v/>
      </c>
    </row>
    <row r="200">
      <c r="A200" s="3">
        <f>IF(December_Tide_2025!A200="","",December_Tide_2025!A200)</f>
        <v/>
      </c>
      <c r="B200" s="6">
        <f>IF(December_Tide_2025!B200="","",December_Tide_2025!B200)</f>
        <v/>
      </c>
      <c r="C200" s="6">
        <f>IF($A200="","", INDEX(Calc!$E:$E, MATCH("KminusZ_m", Calc!$C:$C, 0)) + $B200 - INDEX(Calc!$E:$E, MATCH("L_ramp_m", Calc!$C:$C, 0)) * TAN(RADIANS(INDEX(Calc!$E:$E, MATCH("theta_max_deg", Calc!$C:$C, 0)))))</f>
        <v/>
      </c>
      <c r="D200" s="6" t="n"/>
      <c r="E200" s="6">
        <f>IF($C200="","", IF($D200="", $C200, $C200 - $D200/2))</f>
        <v/>
      </c>
      <c r="F200" s="6">
        <f>IF($C200="","", IF($D200="", $C200, $C200 + $D200/2))</f>
        <v/>
      </c>
      <c r="G200" s="6">
        <f>IF($E200="","", DEGREES(ATAN((INDEX(Calc!$E:$E, MATCH("KminusZ_m", Calc!$C:$C, 0)) - $E200 + $B200) / INDEX(Calc!$E:$E, MATCH("L_ramp_m", Calc!$C:$C, 0)))))</f>
        <v/>
      </c>
      <c r="H200" s="3">
        <f>IF($E200="","", IF(AND($E200&gt;=INDEX(Calc!$E:$E, MATCH("min_fwd_draft_m", Calc!$C:$C, 0)), $E200&lt;=INDEX(Calc!$E:$E, MATCH("max_fwd_draft_m", Calc!$C:$C, 0)), $G200&lt;=INDEX(Calc!$E:$E, MATCH("theta_max_deg", Calc!$C:$C, 0))), "OK", "CHECK"))</f>
        <v/>
      </c>
      <c r="I200" s="6">
        <f>IF($E200="","", INDEX(Calc!$E:$E, MATCH("D_vessel_m", Calc!$C:$C, 0)) - $E200 + $B200)</f>
        <v/>
      </c>
      <c r="J200" s="6">
        <f>IF($F200="","", INDEX(Calc!$E:$E, MATCH("D_vessel_m", Calc!$C:$C, 0)) - $F200 + $B200)</f>
        <v/>
      </c>
      <c r="K200" s="3">
        <f>IF(D200=0, "Even Keel", "")</f>
        <v/>
      </c>
    </row>
    <row r="201">
      <c r="A201" s="3">
        <f>IF(December_Tide_2025!A201="","",December_Tide_2025!A201)</f>
        <v/>
      </c>
      <c r="B201" s="6">
        <f>IF(December_Tide_2025!B201="","",December_Tide_2025!B201)</f>
        <v/>
      </c>
      <c r="C201" s="6">
        <f>IF($A201="","", INDEX(Calc!$E:$E, MATCH("KminusZ_m", Calc!$C:$C, 0)) + $B201 - INDEX(Calc!$E:$E, MATCH("L_ramp_m", Calc!$C:$C, 0)) * TAN(RADIANS(INDEX(Calc!$E:$E, MATCH("theta_max_deg", Calc!$C:$C, 0)))))</f>
        <v/>
      </c>
      <c r="D201" s="6" t="n"/>
      <c r="E201" s="6">
        <f>IF($C201="","", IF($D201="", $C201, $C201 - $D201/2))</f>
        <v/>
      </c>
      <c r="F201" s="6">
        <f>IF($C201="","", IF($D201="", $C201, $C201 + $D201/2))</f>
        <v/>
      </c>
      <c r="G201" s="6">
        <f>IF($E201="","", DEGREES(ATAN((INDEX(Calc!$E:$E, MATCH("KminusZ_m", Calc!$C:$C, 0)) - $E201 + $B201) / INDEX(Calc!$E:$E, MATCH("L_ramp_m", Calc!$C:$C, 0)))))</f>
        <v/>
      </c>
      <c r="H201" s="3">
        <f>IF($E201="","", IF(AND($E201&gt;=INDEX(Calc!$E:$E, MATCH("min_fwd_draft_m", Calc!$C:$C, 0)), $E201&lt;=INDEX(Calc!$E:$E, MATCH("max_fwd_draft_m", Calc!$C:$C, 0)), $G201&lt;=INDEX(Calc!$E:$E, MATCH("theta_max_deg", Calc!$C:$C, 0))), "OK", "CHECK"))</f>
        <v/>
      </c>
      <c r="I201" s="6">
        <f>IF($E201="","", INDEX(Calc!$E:$E, MATCH("D_vessel_m", Calc!$C:$C, 0)) - $E201 + $B201)</f>
        <v/>
      </c>
      <c r="J201" s="6">
        <f>IF($F201="","", INDEX(Calc!$E:$E, MATCH("D_vessel_m", Calc!$C:$C, 0)) - $F201 + $B201)</f>
        <v/>
      </c>
      <c r="K201" s="3">
        <f>IF(D201=0, "Even Keel", "")</f>
        <v/>
      </c>
    </row>
    <row r="202">
      <c r="A202" s="3">
        <f>IF(December_Tide_2025!A202="","",December_Tide_2025!A202)</f>
        <v/>
      </c>
      <c r="B202" s="6">
        <f>IF(December_Tide_2025!B202="","",December_Tide_2025!B202)</f>
        <v/>
      </c>
      <c r="C202" s="6">
        <f>IF($A202="","", INDEX(Calc!$E:$E, MATCH("KminusZ_m", Calc!$C:$C, 0)) + $B202 - INDEX(Calc!$E:$E, MATCH("L_ramp_m", Calc!$C:$C, 0)) * TAN(RADIANS(INDEX(Calc!$E:$E, MATCH("theta_max_deg", Calc!$C:$C, 0)))))</f>
        <v/>
      </c>
      <c r="D202" s="6" t="n"/>
      <c r="E202" s="6">
        <f>IF($C202="","", IF($D202="", $C202, $C202 - $D202/2))</f>
        <v/>
      </c>
      <c r="F202" s="6">
        <f>IF($C202="","", IF($D202="", $C202, $C202 + $D202/2))</f>
        <v/>
      </c>
      <c r="G202" s="6">
        <f>IF($E202="","", DEGREES(ATAN((INDEX(Calc!$E:$E, MATCH("KminusZ_m", Calc!$C:$C, 0)) - $E202 + $B202) / INDEX(Calc!$E:$E, MATCH("L_ramp_m", Calc!$C:$C, 0)))))</f>
        <v/>
      </c>
      <c r="H202" s="3">
        <f>IF($E202="","", IF(AND($E202&gt;=INDEX(Calc!$E:$E, MATCH("min_fwd_draft_m", Calc!$C:$C, 0)), $E202&lt;=INDEX(Calc!$E:$E, MATCH("max_fwd_draft_m", Calc!$C:$C, 0)), $G202&lt;=INDEX(Calc!$E:$E, MATCH("theta_max_deg", Calc!$C:$C, 0))), "OK", "CHECK"))</f>
        <v/>
      </c>
      <c r="I202" s="6">
        <f>IF($E202="","", INDEX(Calc!$E:$E, MATCH("D_vessel_m", Calc!$C:$C, 0)) - $E202 + $B202)</f>
        <v/>
      </c>
      <c r="J202" s="6">
        <f>IF($F202="","", INDEX(Calc!$E:$E, MATCH("D_vessel_m", Calc!$C:$C, 0)) - $F202 + $B202)</f>
        <v/>
      </c>
      <c r="K202" s="3">
        <f>IF(D202=0, "Even Keel", "")</f>
        <v/>
      </c>
    </row>
    <row r="203">
      <c r="A203" s="3">
        <f>IF(December_Tide_2025!A203="","",December_Tide_2025!A203)</f>
        <v/>
      </c>
      <c r="B203" s="6">
        <f>IF(December_Tide_2025!B203="","",December_Tide_2025!B203)</f>
        <v/>
      </c>
      <c r="C203" s="6">
        <f>IF($A203="","", INDEX(Calc!$E:$E, MATCH("KminusZ_m", Calc!$C:$C, 0)) + $B203 - INDEX(Calc!$E:$E, MATCH("L_ramp_m", Calc!$C:$C, 0)) * TAN(RADIANS(INDEX(Calc!$E:$E, MATCH("theta_max_deg", Calc!$C:$C, 0)))))</f>
        <v/>
      </c>
      <c r="D203" s="6" t="n"/>
      <c r="E203" s="6">
        <f>IF($C203="","", IF($D203="", $C203, $C203 - $D203/2))</f>
        <v/>
      </c>
      <c r="F203" s="6">
        <f>IF($C203="","", IF($D203="", $C203, $C203 + $D203/2))</f>
        <v/>
      </c>
      <c r="G203" s="6">
        <f>IF($E203="","", DEGREES(ATAN((INDEX(Calc!$E:$E, MATCH("KminusZ_m", Calc!$C:$C, 0)) - $E203 + $B203) / INDEX(Calc!$E:$E, MATCH("L_ramp_m", Calc!$C:$C, 0)))))</f>
        <v/>
      </c>
      <c r="H203" s="3">
        <f>IF($E203="","", IF(AND($E203&gt;=INDEX(Calc!$E:$E, MATCH("min_fwd_draft_m", Calc!$C:$C, 0)), $E203&lt;=INDEX(Calc!$E:$E, MATCH("max_fwd_draft_m", Calc!$C:$C, 0)), $G203&lt;=INDEX(Calc!$E:$E, MATCH("theta_max_deg", Calc!$C:$C, 0))), "OK", "CHECK"))</f>
        <v/>
      </c>
      <c r="I203" s="6">
        <f>IF($E203="","", INDEX(Calc!$E:$E, MATCH("D_vessel_m", Calc!$C:$C, 0)) - $E203 + $B203)</f>
        <v/>
      </c>
      <c r="J203" s="6">
        <f>IF($F203="","", INDEX(Calc!$E:$E, MATCH("D_vessel_m", Calc!$C:$C, 0)) - $F203 + $B203)</f>
        <v/>
      </c>
      <c r="K203" s="3">
        <f>IF(D203=0, "Even Keel", "")</f>
        <v/>
      </c>
    </row>
    <row r="204">
      <c r="A204" s="3">
        <f>IF(December_Tide_2025!A204="","",December_Tide_2025!A204)</f>
        <v/>
      </c>
      <c r="B204" s="6">
        <f>IF(December_Tide_2025!B204="","",December_Tide_2025!B204)</f>
        <v/>
      </c>
      <c r="C204" s="6">
        <f>IF($A204="","", INDEX(Calc!$E:$E, MATCH("KminusZ_m", Calc!$C:$C, 0)) + $B204 - INDEX(Calc!$E:$E, MATCH("L_ramp_m", Calc!$C:$C, 0)) * TAN(RADIANS(INDEX(Calc!$E:$E, MATCH("theta_max_deg", Calc!$C:$C, 0)))))</f>
        <v/>
      </c>
      <c r="D204" s="6" t="n"/>
      <c r="E204" s="6">
        <f>IF($C204="","", IF($D204="", $C204, $C204 - $D204/2))</f>
        <v/>
      </c>
      <c r="F204" s="6">
        <f>IF($C204="","", IF($D204="", $C204, $C204 + $D204/2))</f>
        <v/>
      </c>
      <c r="G204" s="6">
        <f>IF($E204="","", DEGREES(ATAN((INDEX(Calc!$E:$E, MATCH("KminusZ_m", Calc!$C:$C, 0)) - $E204 + $B204) / INDEX(Calc!$E:$E, MATCH("L_ramp_m", Calc!$C:$C, 0)))))</f>
        <v/>
      </c>
      <c r="H204" s="3">
        <f>IF($E204="","", IF(AND($E204&gt;=INDEX(Calc!$E:$E, MATCH("min_fwd_draft_m", Calc!$C:$C, 0)), $E204&lt;=INDEX(Calc!$E:$E, MATCH("max_fwd_draft_m", Calc!$C:$C, 0)), $G204&lt;=INDEX(Calc!$E:$E, MATCH("theta_max_deg", Calc!$C:$C, 0))), "OK", "CHECK"))</f>
        <v/>
      </c>
      <c r="I204" s="6">
        <f>IF($E204="","", INDEX(Calc!$E:$E, MATCH("D_vessel_m", Calc!$C:$C, 0)) - $E204 + $B204)</f>
        <v/>
      </c>
      <c r="J204" s="6">
        <f>IF($F204="","", INDEX(Calc!$E:$E, MATCH("D_vessel_m", Calc!$C:$C, 0)) - $F204 + $B204)</f>
        <v/>
      </c>
      <c r="K204" s="3">
        <f>IF(D204=0, "Even Keel", "")</f>
        <v/>
      </c>
    </row>
    <row r="205">
      <c r="A205" s="3">
        <f>IF(December_Tide_2025!A205="","",December_Tide_2025!A205)</f>
        <v/>
      </c>
      <c r="B205" s="6">
        <f>IF(December_Tide_2025!B205="","",December_Tide_2025!B205)</f>
        <v/>
      </c>
      <c r="C205" s="6">
        <f>IF($A205="","", INDEX(Calc!$E:$E, MATCH("KminusZ_m", Calc!$C:$C, 0)) + $B205 - INDEX(Calc!$E:$E, MATCH("L_ramp_m", Calc!$C:$C, 0)) * TAN(RADIANS(INDEX(Calc!$E:$E, MATCH("theta_max_deg", Calc!$C:$C, 0)))))</f>
        <v/>
      </c>
      <c r="D205" s="6" t="n"/>
      <c r="E205" s="6">
        <f>IF($C205="","", IF($D205="", $C205, $C205 - $D205/2))</f>
        <v/>
      </c>
      <c r="F205" s="6">
        <f>IF($C205="","", IF($D205="", $C205, $C205 + $D205/2))</f>
        <v/>
      </c>
      <c r="G205" s="6">
        <f>IF($E205="","", DEGREES(ATAN((INDEX(Calc!$E:$E, MATCH("KminusZ_m", Calc!$C:$C, 0)) - $E205 + $B205) / INDEX(Calc!$E:$E, MATCH("L_ramp_m", Calc!$C:$C, 0)))))</f>
        <v/>
      </c>
      <c r="H205" s="3">
        <f>IF($E205="","", IF(AND($E205&gt;=INDEX(Calc!$E:$E, MATCH("min_fwd_draft_m", Calc!$C:$C, 0)), $E205&lt;=INDEX(Calc!$E:$E, MATCH("max_fwd_draft_m", Calc!$C:$C, 0)), $G205&lt;=INDEX(Calc!$E:$E, MATCH("theta_max_deg", Calc!$C:$C, 0))), "OK", "CHECK"))</f>
        <v/>
      </c>
      <c r="I205" s="6">
        <f>IF($E205="","", INDEX(Calc!$E:$E, MATCH("D_vessel_m", Calc!$C:$C, 0)) - $E205 + $B205)</f>
        <v/>
      </c>
      <c r="J205" s="6">
        <f>IF($F205="","", INDEX(Calc!$E:$E, MATCH("D_vessel_m", Calc!$C:$C, 0)) - $F205 + $B205)</f>
        <v/>
      </c>
      <c r="K205" s="3">
        <f>IF(D205=0, "Even Keel", "")</f>
        <v/>
      </c>
    </row>
    <row r="206">
      <c r="A206" s="3">
        <f>IF(December_Tide_2025!A206="","",December_Tide_2025!A206)</f>
        <v/>
      </c>
      <c r="B206" s="6">
        <f>IF(December_Tide_2025!B206="","",December_Tide_2025!B206)</f>
        <v/>
      </c>
      <c r="C206" s="6">
        <f>IF($A206="","", INDEX(Calc!$E:$E, MATCH("KminusZ_m", Calc!$C:$C, 0)) + $B206 - INDEX(Calc!$E:$E, MATCH("L_ramp_m", Calc!$C:$C, 0)) * TAN(RADIANS(INDEX(Calc!$E:$E, MATCH("theta_max_deg", Calc!$C:$C, 0)))))</f>
        <v/>
      </c>
      <c r="D206" s="6" t="n"/>
      <c r="E206" s="6">
        <f>IF($C206="","", IF($D206="", $C206, $C206 - $D206/2))</f>
        <v/>
      </c>
      <c r="F206" s="6">
        <f>IF($C206="","", IF($D206="", $C206, $C206 + $D206/2))</f>
        <v/>
      </c>
      <c r="G206" s="6">
        <f>IF($E206="","", DEGREES(ATAN((INDEX(Calc!$E:$E, MATCH("KminusZ_m", Calc!$C:$C, 0)) - $E206 + $B206) / INDEX(Calc!$E:$E, MATCH("L_ramp_m", Calc!$C:$C, 0)))))</f>
        <v/>
      </c>
      <c r="H206" s="3">
        <f>IF($E206="","", IF(AND($E206&gt;=INDEX(Calc!$E:$E, MATCH("min_fwd_draft_m", Calc!$C:$C, 0)), $E206&lt;=INDEX(Calc!$E:$E, MATCH("max_fwd_draft_m", Calc!$C:$C, 0)), $G206&lt;=INDEX(Calc!$E:$E, MATCH("theta_max_deg", Calc!$C:$C, 0))), "OK", "CHECK"))</f>
        <v/>
      </c>
      <c r="I206" s="6">
        <f>IF($E206="","", INDEX(Calc!$E:$E, MATCH("D_vessel_m", Calc!$C:$C, 0)) - $E206 + $B206)</f>
        <v/>
      </c>
      <c r="J206" s="6">
        <f>IF($F206="","", INDEX(Calc!$E:$E, MATCH("D_vessel_m", Calc!$C:$C, 0)) - $F206 + $B206)</f>
        <v/>
      </c>
      <c r="K206" s="3">
        <f>IF(D206=0, "Even Keel", "")</f>
        <v/>
      </c>
    </row>
    <row r="207">
      <c r="A207" s="3">
        <f>IF(December_Tide_2025!A207="","",December_Tide_2025!A207)</f>
        <v/>
      </c>
      <c r="B207" s="6">
        <f>IF(December_Tide_2025!B207="","",December_Tide_2025!B207)</f>
        <v/>
      </c>
      <c r="C207" s="6">
        <f>IF($A207="","", INDEX(Calc!$E:$E, MATCH("KminusZ_m", Calc!$C:$C, 0)) + $B207 - INDEX(Calc!$E:$E, MATCH("L_ramp_m", Calc!$C:$C, 0)) * TAN(RADIANS(INDEX(Calc!$E:$E, MATCH("theta_max_deg", Calc!$C:$C, 0)))))</f>
        <v/>
      </c>
      <c r="D207" s="6" t="n"/>
      <c r="E207" s="6">
        <f>IF($C207="","", IF($D207="", $C207, $C207 - $D207/2))</f>
        <v/>
      </c>
      <c r="F207" s="6">
        <f>IF($C207="","", IF($D207="", $C207, $C207 + $D207/2))</f>
        <v/>
      </c>
      <c r="G207" s="6">
        <f>IF($E207="","", DEGREES(ATAN((INDEX(Calc!$E:$E, MATCH("KminusZ_m", Calc!$C:$C, 0)) - $E207 + $B207) / INDEX(Calc!$E:$E, MATCH("L_ramp_m", Calc!$C:$C, 0)))))</f>
        <v/>
      </c>
      <c r="H207" s="3">
        <f>IF($E207="","", IF(AND($E207&gt;=INDEX(Calc!$E:$E, MATCH("min_fwd_draft_m", Calc!$C:$C, 0)), $E207&lt;=INDEX(Calc!$E:$E, MATCH("max_fwd_draft_m", Calc!$C:$C, 0)), $G207&lt;=INDEX(Calc!$E:$E, MATCH("theta_max_deg", Calc!$C:$C, 0))), "OK", "CHECK"))</f>
        <v/>
      </c>
      <c r="I207" s="6">
        <f>IF($E207="","", INDEX(Calc!$E:$E, MATCH("D_vessel_m", Calc!$C:$C, 0)) - $E207 + $B207)</f>
        <v/>
      </c>
      <c r="J207" s="6">
        <f>IF($F207="","", INDEX(Calc!$E:$E, MATCH("D_vessel_m", Calc!$C:$C, 0)) - $F207 + $B207)</f>
        <v/>
      </c>
      <c r="K207" s="3">
        <f>IF(D207=0, "Even Keel", "")</f>
        <v/>
      </c>
    </row>
    <row r="208">
      <c r="A208" s="3">
        <f>IF(December_Tide_2025!A208="","",December_Tide_2025!A208)</f>
        <v/>
      </c>
      <c r="B208" s="6">
        <f>IF(December_Tide_2025!B208="","",December_Tide_2025!B208)</f>
        <v/>
      </c>
      <c r="C208" s="6">
        <f>IF($A208="","", INDEX(Calc!$E:$E, MATCH("KminusZ_m", Calc!$C:$C, 0)) + $B208 - INDEX(Calc!$E:$E, MATCH("L_ramp_m", Calc!$C:$C, 0)) * TAN(RADIANS(INDEX(Calc!$E:$E, MATCH("theta_max_deg", Calc!$C:$C, 0)))))</f>
        <v/>
      </c>
      <c r="D208" s="6" t="n"/>
      <c r="E208" s="6">
        <f>IF($C208="","", IF($D208="", $C208, $C208 - $D208/2))</f>
        <v/>
      </c>
      <c r="F208" s="6">
        <f>IF($C208="","", IF($D208="", $C208, $C208 + $D208/2))</f>
        <v/>
      </c>
      <c r="G208" s="6">
        <f>IF($E208="","", DEGREES(ATAN((INDEX(Calc!$E:$E, MATCH("KminusZ_m", Calc!$C:$C, 0)) - $E208 + $B208) / INDEX(Calc!$E:$E, MATCH("L_ramp_m", Calc!$C:$C, 0)))))</f>
        <v/>
      </c>
      <c r="H208" s="3">
        <f>IF($E208="","", IF(AND($E208&gt;=INDEX(Calc!$E:$E, MATCH("min_fwd_draft_m", Calc!$C:$C, 0)), $E208&lt;=INDEX(Calc!$E:$E, MATCH("max_fwd_draft_m", Calc!$C:$C, 0)), $G208&lt;=INDEX(Calc!$E:$E, MATCH("theta_max_deg", Calc!$C:$C, 0))), "OK", "CHECK"))</f>
        <v/>
      </c>
      <c r="I208" s="6">
        <f>IF($E208="","", INDEX(Calc!$E:$E, MATCH("D_vessel_m", Calc!$C:$C, 0)) - $E208 + $B208)</f>
        <v/>
      </c>
      <c r="J208" s="6">
        <f>IF($F208="","", INDEX(Calc!$E:$E, MATCH("D_vessel_m", Calc!$C:$C, 0)) - $F208 + $B208)</f>
        <v/>
      </c>
      <c r="K208" s="3">
        <f>IF(D208=0, "Even Keel", "")</f>
        <v/>
      </c>
    </row>
    <row r="209">
      <c r="A209" s="3">
        <f>IF(December_Tide_2025!A209="","",December_Tide_2025!A209)</f>
        <v/>
      </c>
      <c r="B209" s="6">
        <f>IF(December_Tide_2025!B209="","",December_Tide_2025!B209)</f>
        <v/>
      </c>
      <c r="C209" s="6">
        <f>IF($A209="","", INDEX(Calc!$E:$E, MATCH("KminusZ_m", Calc!$C:$C, 0)) + $B209 - INDEX(Calc!$E:$E, MATCH("L_ramp_m", Calc!$C:$C, 0)) * TAN(RADIANS(INDEX(Calc!$E:$E, MATCH("theta_max_deg", Calc!$C:$C, 0)))))</f>
        <v/>
      </c>
      <c r="D209" s="6" t="n"/>
      <c r="E209" s="6">
        <f>IF($C209="","", IF($D209="", $C209, $C209 - $D209/2))</f>
        <v/>
      </c>
      <c r="F209" s="6">
        <f>IF($C209="","", IF($D209="", $C209, $C209 + $D209/2))</f>
        <v/>
      </c>
      <c r="G209" s="6">
        <f>IF($E209="","", DEGREES(ATAN((INDEX(Calc!$E:$E, MATCH("KminusZ_m", Calc!$C:$C, 0)) - $E209 + $B209) / INDEX(Calc!$E:$E, MATCH("L_ramp_m", Calc!$C:$C, 0)))))</f>
        <v/>
      </c>
      <c r="H209" s="3">
        <f>IF($E209="","", IF(AND($E209&gt;=INDEX(Calc!$E:$E, MATCH("min_fwd_draft_m", Calc!$C:$C, 0)), $E209&lt;=INDEX(Calc!$E:$E, MATCH("max_fwd_draft_m", Calc!$C:$C, 0)), $G209&lt;=INDEX(Calc!$E:$E, MATCH("theta_max_deg", Calc!$C:$C, 0))), "OK", "CHECK"))</f>
        <v/>
      </c>
      <c r="I209" s="6">
        <f>IF($E209="","", INDEX(Calc!$E:$E, MATCH("D_vessel_m", Calc!$C:$C, 0)) - $E209 + $B209)</f>
        <v/>
      </c>
      <c r="J209" s="6">
        <f>IF($F209="","", INDEX(Calc!$E:$E, MATCH("D_vessel_m", Calc!$C:$C, 0)) - $F209 + $B209)</f>
        <v/>
      </c>
      <c r="K209" s="3">
        <f>IF(D209=0, "Even Keel", "")</f>
        <v/>
      </c>
    </row>
    <row r="210">
      <c r="A210" s="3">
        <f>IF(December_Tide_2025!A210="","",December_Tide_2025!A210)</f>
        <v/>
      </c>
      <c r="B210" s="6">
        <f>IF(December_Tide_2025!B210="","",December_Tide_2025!B210)</f>
        <v/>
      </c>
      <c r="C210" s="6">
        <f>IF($A210="","", INDEX(Calc!$E:$E, MATCH("KminusZ_m", Calc!$C:$C, 0)) + $B210 - INDEX(Calc!$E:$E, MATCH("L_ramp_m", Calc!$C:$C, 0)) * TAN(RADIANS(INDEX(Calc!$E:$E, MATCH("theta_max_deg", Calc!$C:$C, 0)))))</f>
        <v/>
      </c>
      <c r="D210" s="6" t="n"/>
      <c r="E210" s="6">
        <f>IF($C210="","", IF($D210="", $C210, $C210 - $D210/2))</f>
        <v/>
      </c>
      <c r="F210" s="6">
        <f>IF($C210="","", IF($D210="", $C210, $C210 + $D210/2))</f>
        <v/>
      </c>
      <c r="G210" s="6">
        <f>IF($E210="","", DEGREES(ATAN((INDEX(Calc!$E:$E, MATCH("KminusZ_m", Calc!$C:$C, 0)) - $E210 + $B210) / INDEX(Calc!$E:$E, MATCH("L_ramp_m", Calc!$C:$C, 0)))))</f>
        <v/>
      </c>
      <c r="H210" s="3">
        <f>IF($E210="","", IF(AND($E210&gt;=INDEX(Calc!$E:$E, MATCH("min_fwd_draft_m", Calc!$C:$C, 0)), $E210&lt;=INDEX(Calc!$E:$E, MATCH("max_fwd_draft_m", Calc!$C:$C, 0)), $G210&lt;=INDEX(Calc!$E:$E, MATCH("theta_max_deg", Calc!$C:$C, 0))), "OK", "CHECK"))</f>
        <v/>
      </c>
      <c r="I210" s="6">
        <f>IF($E210="","", INDEX(Calc!$E:$E, MATCH("D_vessel_m", Calc!$C:$C, 0)) - $E210 + $B210)</f>
        <v/>
      </c>
      <c r="J210" s="6">
        <f>IF($F210="","", INDEX(Calc!$E:$E, MATCH("D_vessel_m", Calc!$C:$C, 0)) - $F210 + $B210)</f>
        <v/>
      </c>
      <c r="K210" s="3">
        <f>IF(D210=0, "Even Keel", "")</f>
        <v/>
      </c>
    </row>
    <row r="211">
      <c r="A211" s="3">
        <f>IF(December_Tide_2025!A211="","",December_Tide_2025!A211)</f>
        <v/>
      </c>
      <c r="B211" s="6">
        <f>IF(December_Tide_2025!B211="","",December_Tide_2025!B211)</f>
        <v/>
      </c>
      <c r="C211" s="6">
        <f>IF($A211="","", INDEX(Calc!$E:$E, MATCH("KminusZ_m", Calc!$C:$C, 0)) + $B211 - INDEX(Calc!$E:$E, MATCH("L_ramp_m", Calc!$C:$C, 0)) * TAN(RADIANS(INDEX(Calc!$E:$E, MATCH("theta_max_deg", Calc!$C:$C, 0)))))</f>
        <v/>
      </c>
      <c r="D211" s="6" t="n"/>
      <c r="E211" s="6">
        <f>IF($C211="","", IF($D211="", $C211, $C211 - $D211/2))</f>
        <v/>
      </c>
      <c r="F211" s="6">
        <f>IF($C211="","", IF($D211="", $C211, $C211 + $D211/2))</f>
        <v/>
      </c>
      <c r="G211" s="6">
        <f>IF($E211="","", DEGREES(ATAN((INDEX(Calc!$E:$E, MATCH("KminusZ_m", Calc!$C:$C, 0)) - $E211 + $B211) / INDEX(Calc!$E:$E, MATCH("L_ramp_m", Calc!$C:$C, 0)))))</f>
        <v/>
      </c>
      <c r="H211" s="3">
        <f>IF($E211="","", IF(AND($E211&gt;=INDEX(Calc!$E:$E, MATCH("min_fwd_draft_m", Calc!$C:$C, 0)), $E211&lt;=INDEX(Calc!$E:$E, MATCH("max_fwd_draft_m", Calc!$C:$C, 0)), $G211&lt;=INDEX(Calc!$E:$E, MATCH("theta_max_deg", Calc!$C:$C, 0))), "OK", "CHECK"))</f>
        <v/>
      </c>
      <c r="I211" s="6">
        <f>IF($E211="","", INDEX(Calc!$E:$E, MATCH("D_vessel_m", Calc!$C:$C, 0)) - $E211 + $B211)</f>
        <v/>
      </c>
      <c r="J211" s="6">
        <f>IF($F211="","", INDEX(Calc!$E:$E, MATCH("D_vessel_m", Calc!$C:$C, 0)) - $F211 + $B211)</f>
        <v/>
      </c>
      <c r="K211" s="3">
        <f>IF(D211=0, "Even Keel", "")</f>
        <v/>
      </c>
    </row>
    <row r="212">
      <c r="A212" s="3">
        <f>IF(December_Tide_2025!A212="","",December_Tide_2025!A212)</f>
        <v/>
      </c>
      <c r="B212" s="6">
        <f>IF(December_Tide_2025!B212="","",December_Tide_2025!B212)</f>
        <v/>
      </c>
      <c r="C212" s="6">
        <f>IF($A212="","", INDEX(Calc!$E:$E, MATCH("KminusZ_m", Calc!$C:$C, 0)) + $B212 - INDEX(Calc!$E:$E, MATCH("L_ramp_m", Calc!$C:$C, 0)) * TAN(RADIANS(INDEX(Calc!$E:$E, MATCH("theta_max_deg", Calc!$C:$C, 0)))))</f>
        <v/>
      </c>
      <c r="D212" s="6" t="n"/>
      <c r="E212" s="6">
        <f>IF($C212="","", IF($D212="", $C212, $C212 - $D212/2))</f>
        <v/>
      </c>
      <c r="F212" s="6">
        <f>IF($C212="","", IF($D212="", $C212, $C212 + $D212/2))</f>
        <v/>
      </c>
      <c r="G212" s="6">
        <f>IF($E212="","", DEGREES(ATAN((INDEX(Calc!$E:$E, MATCH("KminusZ_m", Calc!$C:$C, 0)) - $E212 + $B212) / INDEX(Calc!$E:$E, MATCH("L_ramp_m", Calc!$C:$C, 0)))))</f>
        <v/>
      </c>
      <c r="H212" s="3">
        <f>IF($E212="","", IF(AND($E212&gt;=INDEX(Calc!$E:$E, MATCH("min_fwd_draft_m", Calc!$C:$C, 0)), $E212&lt;=INDEX(Calc!$E:$E, MATCH("max_fwd_draft_m", Calc!$C:$C, 0)), $G212&lt;=INDEX(Calc!$E:$E, MATCH("theta_max_deg", Calc!$C:$C, 0))), "OK", "CHECK"))</f>
        <v/>
      </c>
      <c r="I212" s="6">
        <f>IF($E212="","", INDEX(Calc!$E:$E, MATCH("D_vessel_m", Calc!$C:$C, 0)) - $E212 + $B212)</f>
        <v/>
      </c>
      <c r="J212" s="6">
        <f>IF($F212="","", INDEX(Calc!$E:$E, MATCH("D_vessel_m", Calc!$C:$C, 0)) - $F212 + $B212)</f>
        <v/>
      </c>
      <c r="K212" s="3">
        <f>IF(D212=0, "Even Keel", "")</f>
        <v/>
      </c>
    </row>
    <row r="213">
      <c r="A213" s="3">
        <f>IF(December_Tide_2025!A213="","",December_Tide_2025!A213)</f>
        <v/>
      </c>
      <c r="B213" s="6">
        <f>IF(December_Tide_2025!B213="","",December_Tide_2025!B213)</f>
        <v/>
      </c>
      <c r="C213" s="6">
        <f>IF($A213="","", INDEX(Calc!$E:$E, MATCH("KminusZ_m", Calc!$C:$C, 0)) + $B213 - INDEX(Calc!$E:$E, MATCH("L_ramp_m", Calc!$C:$C, 0)) * TAN(RADIANS(INDEX(Calc!$E:$E, MATCH("theta_max_deg", Calc!$C:$C, 0)))))</f>
        <v/>
      </c>
      <c r="D213" s="6" t="n"/>
      <c r="E213" s="6">
        <f>IF($C213="","", IF($D213="", $C213, $C213 - $D213/2))</f>
        <v/>
      </c>
      <c r="F213" s="6">
        <f>IF($C213="","", IF($D213="", $C213, $C213 + $D213/2))</f>
        <v/>
      </c>
      <c r="G213" s="6">
        <f>IF($E213="","", DEGREES(ATAN((INDEX(Calc!$E:$E, MATCH("KminusZ_m", Calc!$C:$C, 0)) - $E213 + $B213) / INDEX(Calc!$E:$E, MATCH("L_ramp_m", Calc!$C:$C, 0)))))</f>
        <v/>
      </c>
      <c r="H213" s="3">
        <f>IF($E213="","", IF(AND($E213&gt;=INDEX(Calc!$E:$E, MATCH("min_fwd_draft_m", Calc!$C:$C, 0)), $E213&lt;=INDEX(Calc!$E:$E, MATCH("max_fwd_draft_m", Calc!$C:$C, 0)), $G213&lt;=INDEX(Calc!$E:$E, MATCH("theta_max_deg", Calc!$C:$C, 0))), "OK", "CHECK"))</f>
        <v/>
      </c>
      <c r="I213" s="6">
        <f>IF($E213="","", INDEX(Calc!$E:$E, MATCH("D_vessel_m", Calc!$C:$C, 0)) - $E213 + $B213)</f>
        <v/>
      </c>
      <c r="J213" s="6">
        <f>IF($F213="","", INDEX(Calc!$E:$E, MATCH("D_vessel_m", Calc!$C:$C, 0)) - $F213 + $B213)</f>
        <v/>
      </c>
      <c r="K213" s="3">
        <f>IF(D213=0, "Even Keel", "")</f>
        <v/>
      </c>
    </row>
    <row r="214">
      <c r="A214" s="3">
        <f>IF(December_Tide_2025!A214="","",December_Tide_2025!A214)</f>
        <v/>
      </c>
      <c r="B214" s="6">
        <f>IF(December_Tide_2025!B214="","",December_Tide_2025!B214)</f>
        <v/>
      </c>
      <c r="C214" s="6">
        <f>IF($A214="","", INDEX(Calc!$E:$E, MATCH("KminusZ_m", Calc!$C:$C, 0)) + $B214 - INDEX(Calc!$E:$E, MATCH("L_ramp_m", Calc!$C:$C, 0)) * TAN(RADIANS(INDEX(Calc!$E:$E, MATCH("theta_max_deg", Calc!$C:$C, 0)))))</f>
        <v/>
      </c>
      <c r="D214" s="6" t="n"/>
      <c r="E214" s="6">
        <f>IF($C214="","", IF($D214="", $C214, $C214 - $D214/2))</f>
        <v/>
      </c>
      <c r="F214" s="6">
        <f>IF($C214="","", IF($D214="", $C214, $C214 + $D214/2))</f>
        <v/>
      </c>
      <c r="G214" s="6">
        <f>IF($E214="","", DEGREES(ATAN((INDEX(Calc!$E:$E, MATCH("KminusZ_m", Calc!$C:$C, 0)) - $E214 + $B214) / INDEX(Calc!$E:$E, MATCH("L_ramp_m", Calc!$C:$C, 0)))))</f>
        <v/>
      </c>
      <c r="H214" s="3">
        <f>IF($E214="","", IF(AND($E214&gt;=INDEX(Calc!$E:$E, MATCH("min_fwd_draft_m", Calc!$C:$C, 0)), $E214&lt;=INDEX(Calc!$E:$E, MATCH("max_fwd_draft_m", Calc!$C:$C, 0)), $G214&lt;=INDEX(Calc!$E:$E, MATCH("theta_max_deg", Calc!$C:$C, 0))), "OK", "CHECK"))</f>
        <v/>
      </c>
      <c r="I214" s="6">
        <f>IF($E214="","", INDEX(Calc!$E:$E, MATCH("D_vessel_m", Calc!$C:$C, 0)) - $E214 + $B214)</f>
        <v/>
      </c>
      <c r="J214" s="6">
        <f>IF($F214="","", INDEX(Calc!$E:$E, MATCH("D_vessel_m", Calc!$C:$C, 0)) - $F214 + $B214)</f>
        <v/>
      </c>
      <c r="K214" s="3">
        <f>IF(D214=0, "Even Keel", "")</f>
        <v/>
      </c>
    </row>
    <row r="215">
      <c r="A215" s="3">
        <f>IF(December_Tide_2025!A215="","",December_Tide_2025!A215)</f>
        <v/>
      </c>
      <c r="B215" s="6">
        <f>IF(December_Tide_2025!B215="","",December_Tide_2025!B215)</f>
        <v/>
      </c>
      <c r="C215" s="6">
        <f>IF($A215="","", INDEX(Calc!$E:$E, MATCH("KminusZ_m", Calc!$C:$C, 0)) + $B215 - INDEX(Calc!$E:$E, MATCH("L_ramp_m", Calc!$C:$C, 0)) * TAN(RADIANS(INDEX(Calc!$E:$E, MATCH("theta_max_deg", Calc!$C:$C, 0)))))</f>
        <v/>
      </c>
      <c r="D215" s="6" t="n"/>
      <c r="E215" s="6">
        <f>IF($C215="","", IF($D215="", $C215, $C215 - $D215/2))</f>
        <v/>
      </c>
      <c r="F215" s="6">
        <f>IF($C215="","", IF($D215="", $C215, $C215 + $D215/2))</f>
        <v/>
      </c>
      <c r="G215" s="6">
        <f>IF($E215="","", DEGREES(ATAN((INDEX(Calc!$E:$E, MATCH("KminusZ_m", Calc!$C:$C, 0)) - $E215 + $B215) / INDEX(Calc!$E:$E, MATCH("L_ramp_m", Calc!$C:$C, 0)))))</f>
        <v/>
      </c>
      <c r="H215" s="3">
        <f>IF($E215="","", IF(AND($E215&gt;=INDEX(Calc!$E:$E, MATCH("min_fwd_draft_m", Calc!$C:$C, 0)), $E215&lt;=INDEX(Calc!$E:$E, MATCH("max_fwd_draft_m", Calc!$C:$C, 0)), $G215&lt;=INDEX(Calc!$E:$E, MATCH("theta_max_deg", Calc!$C:$C, 0))), "OK", "CHECK"))</f>
        <v/>
      </c>
      <c r="I215" s="6">
        <f>IF($E215="","", INDEX(Calc!$E:$E, MATCH("D_vessel_m", Calc!$C:$C, 0)) - $E215 + $B215)</f>
        <v/>
      </c>
      <c r="J215" s="6">
        <f>IF($F215="","", INDEX(Calc!$E:$E, MATCH("D_vessel_m", Calc!$C:$C, 0)) - $F215 + $B215)</f>
        <v/>
      </c>
      <c r="K215" s="3">
        <f>IF(D215=0, "Even Keel", "")</f>
        <v/>
      </c>
    </row>
    <row r="216">
      <c r="A216" s="3">
        <f>IF(December_Tide_2025!A216="","",December_Tide_2025!A216)</f>
        <v/>
      </c>
      <c r="B216" s="6">
        <f>IF(December_Tide_2025!B216="","",December_Tide_2025!B216)</f>
        <v/>
      </c>
      <c r="C216" s="6">
        <f>IF($A216="","", INDEX(Calc!$E:$E, MATCH("KminusZ_m", Calc!$C:$C, 0)) + $B216 - INDEX(Calc!$E:$E, MATCH("L_ramp_m", Calc!$C:$C, 0)) * TAN(RADIANS(INDEX(Calc!$E:$E, MATCH("theta_max_deg", Calc!$C:$C, 0)))))</f>
        <v/>
      </c>
      <c r="D216" s="6" t="n"/>
      <c r="E216" s="6">
        <f>IF($C216="","", IF($D216="", $C216, $C216 - $D216/2))</f>
        <v/>
      </c>
      <c r="F216" s="6">
        <f>IF($C216="","", IF($D216="", $C216, $C216 + $D216/2))</f>
        <v/>
      </c>
      <c r="G216" s="6">
        <f>IF($E216="","", DEGREES(ATAN((INDEX(Calc!$E:$E, MATCH("KminusZ_m", Calc!$C:$C, 0)) - $E216 + $B216) / INDEX(Calc!$E:$E, MATCH("L_ramp_m", Calc!$C:$C, 0)))))</f>
        <v/>
      </c>
      <c r="H216" s="3">
        <f>IF($E216="","", IF(AND($E216&gt;=INDEX(Calc!$E:$E, MATCH("min_fwd_draft_m", Calc!$C:$C, 0)), $E216&lt;=INDEX(Calc!$E:$E, MATCH("max_fwd_draft_m", Calc!$C:$C, 0)), $G216&lt;=INDEX(Calc!$E:$E, MATCH("theta_max_deg", Calc!$C:$C, 0))), "OK", "CHECK"))</f>
        <v/>
      </c>
      <c r="I216" s="6">
        <f>IF($E216="","", INDEX(Calc!$E:$E, MATCH("D_vessel_m", Calc!$C:$C, 0)) - $E216 + $B216)</f>
        <v/>
      </c>
      <c r="J216" s="6">
        <f>IF($F216="","", INDEX(Calc!$E:$E, MATCH("D_vessel_m", Calc!$C:$C, 0)) - $F216 + $B216)</f>
        <v/>
      </c>
      <c r="K216" s="3">
        <f>IF(D216=0, "Even Keel", "")</f>
        <v/>
      </c>
    </row>
    <row r="217">
      <c r="A217" s="3">
        <f>IF(December_Tide_2025!A217="","",December_Tide_2025!A217)</f>
        <v/>
      </c>
      <c r="B217" s="6">
        <f>IF(December_Tide_2025!B217="","",December_Tide_2025!B217)</f>
        <v/>
      </c>
      <c r="C217" s="6">
        <f>IF($A217="","", INDEX(Calc!$E:$E, MATCH("KminusZ_m", Calc!$C:$C, 0)) + $B217 - INDEX(Calc!$E:$E, MATCH("L_ramp_m", Calc!$C:$C, 0)) * TAN(RADIANS(INDEX(Calc!$E:$E, MATCH("theta_max_deg", Calc!$C:$C, 0)))))</f>
        <v/>
      </c>
      <c r="D217" s="6" t="n"/>
      <c r="E217" s="6">
        <f>IF($C217="","", IF($D217="", $C217, $C217 - $D217/2))</f>
        <v/>
      </c>
      <c r="F217" s="6">
        <f>IF($C217="","", IF($D217="", $C217, $C217 + $D217/2))</f>
        <v/>
      </c>
      <c r="G217" s="6">
        <f>IF($E217="","", DEGREES(ATAN((INDEX(Calc!$E:$E, MATCH("KminusZ_m", Calc!$C:$C, 0)) - $E217 + $B217) / INDEX(Calc!$E:$E, MATCH("L_ramp_m", Calc!$C:$C, 0)))))</f>
        <v/>
      </c>
      <c r="H217" s="3">
        <f>IF($E217="","", IF(AND($E217&gt;=INDEX(Calc!$E:$E, MATCH("min_fwd_draft_m", Calc!$C:$C, 0)), $E217&lt;=INDEX(Calc!$E:$E, MATCH("max_fwd_draft_m", Calc!$C:$C, 0)), $G217&lt;=INDEX(Calc!$E:$E, MATCH("theta_max_deg", Calc!$C:$C, 0))), "OK", "CHECK"))</f>
        <v/>
      </c>
      <c r="I217" s="6">
        <f>IF($E217="","", INDEX(Calc!$E:$E, MATCH("D_vessel_m", Calc!$C:$C, 0)) - $E217 + $B217)</f>
        <v/>
      </c>
      <c r="J217" s="6">
        <f>IF($F217="","", INDEX(Calc!$E:$E, MATCH("D_vessel_m", Calc!$C:$C, 0)) - $F217 + $B217)</f>
        <v/>
      </c>
      <c r="K217" s="3">
        <f>IF(D217=0, "Even Keel", "")</f>
        <v/>
      </c>
    </row>
    <row r="218">
      <c r="A218" s="3">
        <f>IF(December_Tide_2025!A218="","",December_Tide_2025!A218)</f>
        <v/>
      </c>
      <c r="B218" s="6">
        <f>IF(December_Tide_2025!B218="","",December_Tide_2025!B218)</f>
        <v/>
      </c>
      <c r="C218" s="6">
        <f>IF($A218="","", INDEX(Calc!$E:$E, MATCH("KminusZ_m", Calc!$C:$C, 0)) + $B218 - INDEX(Calc!$E:$E, MATCH("L_ramp_m", Calc!$C:$C, 0)) * TAN(RADIANS(INDEX(Calc!$E:$E, MATCH("theta_max_deg", Calc!$C:$C, 0)))))</f>
        <v/>
      </c>
      <c r="D218" s="6" t="n"/>
      <c r="E218" s="6">
        <f>IF($C218="","", IF($D218="", $C218, $C218 - $D218/2))</f>
        <v/>
      </c>
      <c r="F218" s="6">
        <f>IF($C218="","", IF($D218="", $C218, $C218 + $D218/2))</f>
        <v/>
      </c>
      <c r="G218" s="6">
        <f>IF($E218="","", DEGREES(ATAN((INDEX(Calc!$E:$E, MATCH("KminusZ_m", Calc!$C:$C, 0)) - $E218 + $B218) / INDEX(Calc!$E:$E, MATCH("L_ramp_m", Calc!$C:$C, 0)))))</f>
        <v/>
      </c>
      <c r="H218" s="3">
        <f>IF($E218="","", IF(AND($E218&gt;=INDEX(Calc!$E:$E, MATCH("min_fwd_draft_m", Calc!$C:$C, 0)), $E218&lt;=INDEX(Calc!$E:$E, MATCH("max_fwd_draft_m", Calc!$C:$C, 0)), $G218&lt;=INDEX(Calc!$E:$E, MATCH("theta_max_deg", Calc!$C:$C, 0))), "OK", "CHECK"))</f>
        <v/>
      </c>
      <c r="I218" s="6">
        <f>IF($E218="","", INDEX(Calc!$E:$E, MATCH("D_vessel_m", Calc!$C:$C, 0)) - $E218 + $B218)</f>
        <v/>
      </c>
      <c r="J218" s="6">
        <f>IF($F218="","", INDEX(Calc!$E:$E, MATCH("D_vessel_m", Calc!$C:$C, 0)) - $F218 + $B218)</f>
        <v/>
      </c>
      <c r="K218" s="3">
        <f>IF(D218=0, "Even Keel", "")</f>
        <v/>
      </c>
    </row>
    <row r="219">
      <c r="A219" s="3">
        <f>IF(December_Tide_2025!A219="","",December_Tide_2025!A219)</f>
        <v/>
      </c>
      <c r="B219" s="6">
        <f>IF(December_Tide_2025!B219="","",December_Tide_2025!B219)</f>
        <v/>
      </c>
      <c r="C219" s="6">
        <f>IF($A219="","", INDEX(Calc!$E:$E, MATCH("KminusZ_m", Calc!$C:$C, 0)) + $B219 - INDEX(Calc!$E:$E, MATCH("L_ramp_m", Calc!$C:$C, 0)) * TAN(RADIANS(INDEX(Calc!$E:$E, MATCH("theta_max_deg", Calc!$C:$C, 0)))))</f>
        <v/>
      </c>
      <c r="D219" s="6" t="n"/>
      <c r="E219" s="6">
        <f>IF($C219="","", IF($D219="", $C219, $C219 - $D219/2))</f>
        <v/>
      </c>
      <c r="F219" s="6">
        <f>IF($C219="","", IF($D219="", $C219, $C219 + $D219/2))</f>
        <v/>
      </c>
      <c r="G219" s="6">
        <f>IF($E219="","", DEGREES(ATAN((INDEX(Calc!$E:$E, MATCH("KminusZ_m", Calc!$C:$C, 0)) - $E219 + $B219) / INDEX(Calc!$E:$E, MATCH("L_ramp_m", Calc!$C:$C, 0)))))</f>
        <v/>
      </c>
      <c r="H219" s="3">
        <f>IF($E219="","", IF(AND($E219&gt;=INDEX(Calc!$E:$E, MATCH("min_fwd_draft_m", Calc!$C:$C, 0)), $E219&lt;=INDEX(Calc!$E:$E, MATCH("max_fwd_draft_m", Calc!$C:$C, 0)), $G219&lt;=INDEX(Calc!$E:$E, MATCH("theta_max_deg", Calc!$C:$C, 0))), "OK", "CHECK"))</f>
        <v/>
      </c>
      <c r="I219" s="6">
        <f>IF($E219="","", INDEX(Calc!$E:$E, MATCH("D_vessel_m", Calc!$C:$C, 0)) - $E219 + $B219)</f>
        <v/>
      </c>
      <c r="J219" s="6">
        <f>IF($F219="","", INDEX(Calc!$E:$E, MATCH("D_vessel_m", Calc!$C:$C, 0)) - $F219 + $B219)</f>
        <v/>
      </c>
      <c r="K219" s="3">
        <f>IF(D219=0, "Even Keel", "")</f>
        <v/>
      </c>
    </row>
    <row r="220">
      <c r="A220" s="3">
        <f>IF(December_Tide_2025!A220="","",December_Tide_2025!A220)</f>
        <v/>
      </c>
      <c r="B220" s="6">
        <f>IF(December_Tide_2025!B220="","",December_Tide_2025!B220)</f>
        <v/>
      </c>
      <c r="C220" s="6">
        <f>IF($A220="","", INDEX(Calc!$E:$E, MATCH("KminusZ_m", Calc!$C:$C, 0)) + $B220 - INDEX(Calc!$E:$E, MATCH("L_ramp_m", Calc!$C:$C, 0)) * TAN(RADIANS(INDEX(Calc!$E:$E, MATCH("theta_max_deg", Calc!$C:$C, 0)))))</f>
        <v/>
      </c>
      <c r="D220" s="6" t="n"/>
      <c r="E220" s="6">
        <f>IF($C220="","", IF($D220="", $C220, $C220 - $D220/2))</f>
        <v/>
      </c>
      <c r="F220" s="6">
        <f>IF($C220="","", IF($D220="", $C220, $C220 + $D220/2))</f>
        <v/>
      </c>
      <c r="G220" s="6">
        <f>IF($E220="","", DEGREES(ATAN((INDEX(Calc!$E:$E, MATCH("KminusZ_m", Calc!$C:$C, 0)) - $E220 + $B220) / INDEX(Calc!$E:$E, MATCH("L_ramp_m", Calc!$C:$C, 0)))))</f>
        <v/>
      </c>
      <c r="H220" s="3">
        <f>IF($E220="","", IF(AND($E220&gt;=INDEX(Calc!$E:$E, MATCH("min_fwd_draft_m", Calc!$C:$C, 0)), $E220&lt;=INDEX(Calc!$E:$E, MATCH("max_fwd_draft_m", Calc!$C:$C, 0)), $G220&lt;=INDEX(Calc!$E:$E, MATCH("theta_max_deg", Calc!$C:$C, 0))), "OK", "CHECK"))</f>
        <v/>
      </c>
      <c r="I220" s="6">
        <f>IF($E220="","", INDEX(Calc!$E:$E, MATCH("D_vessel_m", Calc!$C:$C, 0)) - $E220 + $B220)</f>
        <v/>
      </c>
      <c r="J220" s="6">
        <f>IF($F220="","", INDEX(Calc!$E:$E, MATCH("D_vessel_m", Calc!$C:$C, 0)) - $F220 + $B220)</f>
        <v/>
      </c>
      <c r="K220" s="3">
        <f>IF(D220=0, "Even Keel", "")</f>
        <v/>
      </c>
    </row>
    <row r="221">
      <c r="A221" s="3">
        <f>IF(December_Tide_2025!A221="","",December_Tide_2025!A221)</f>
        <v/>
      </c>
      <c r="B221" s="6">
        <f>IF(December_Tide_2025!B221="","",December_Tide_2025!B221)</f>
        <v/>
      </c>
      <c r="C221" s="6">
        <f>IF($A221="","", INDEX(Calc!$E:$E, MATCH("KminusZ_m", Calc!$C:$C, 0)) + $B221 - INDEX(Calc!$E:$E, MATCH("L_ramp_m", Calc!$C:$C, 0)) * TAN(RADIANS(INDEX(Calc!$E:$E, MATCH("theta_max_deg", Calc!$C:$C, 0)))))</f>
        <v/>
      </c>
      <c r="D221" s="6" t="n"/>
      <c r="E221" s="6">
        <f>IF($C221="","", IF($D221="", $C221, $C221 - $D221/2))</f>
        <v/>
      </c>
      <c r="F221" s="6">
        <f>IF($C221="","", IF($D221="", $C221, $C221 + $D221/2))</f>
        <v/>
      </c>
      <c r="G221" s="6">
        <f>IF($E221="","", DEGREES(ATAN((INDEX(Calc!$E:$E, MATCH("KminusZ_m", Calc!$C:$C, 0)) - $E221 + $B221) / INDEX(Calc!$E:$E, MATCH("L_ramp_m", Calc!$C:$C, 0)))))</f>
        <v/>
      </c>
      <c r="H221" s="3">
        <f>IF($E221="","", IF(AND($E221&gt;=INDEX(Calc!$E:$E, MATCH("min_fwd_draft_m", Calc!$C:$C, 0)), $E221&lt;=INDEX(Calc!$E:$E, MATCH("max_fwd_draft_m", Calc!$C:$C, 0)), $G221&lt;=INDEX(Calc!$E:$E, MATCH("theta_max_deg", Calc!$C:$C, 0))), "OK", "CHECK"))</f>
        <v/>
      </c>
      <c r="I221" s="6">
        <f>IF($E221="","", INDEX(Calc!$E:$E, MATCH("D_vessel_m", Calc!$C:$C, 0)) - $E221 + $B221)</f>
        <v/>
      </c>
      <c r="J221" s="6">
        <f>IF($F221="","", INDEX(Calc!$E:$E, MATCH("D_vessel_m", Calc!$C:$C, 0)) - $F221 + $B221)</f>
        <v/>
      </c>
      <c r="K221" s="3">
        <f>IF(D221=0, "Even Keel", "")</f>
        <v/>
      </c>
    </row>
    <row r="222">
      <c r="A222" s="3">
        <f>IF(December_Tide_2025!A222="","",December_Tide_2025!A222)</f>
        <v/>
      </c>
      <c r="B222" s="6">
        <f>IF(December_Tide_2025!B222="","",December_Tide_2025!B222)</f>
        <v/>
      </c>
      <c r="C222" s="6">
        <f>IF($A222="","", INDEX(Calc!$E:$E, MATCH("KminusZ_m", Calc!$C:$C, 0)) + $B222 - INDEX(Calc!$E:$E, MATCH("L_ramp_m", Calc!$C:$C, 0)) * TAN(RADIANS(INDEX(Calc!$E:$E, MATCH("theta_max_deg", Calc!$C:$C, 0)))))</f>
        <v/>
      </c>
      <c r="D222" s="6" t="n"/>
      <c r="E222" s="6">
        <f>IF($C222="","", IF($D222="", $C222, $C222 - $D222/2))</f>
        <v/>
      </c>
      <c r="F222" s="6">
        <f>IF($C222="","", IF($D222="", $C222, $C222 + $D222/2))</f>
        <v/>
      </c>
      <c r="G222" s="6">
        <f>IF($E222="","", DEGREES(ATAN((INDEX(Calc!$E:$E, MATCH("KminusZ_m", Calc!$C:$C, 0)) - $E222 + $B222) / INDEX(Calc!$E:$E, MATCH("L_ramp_m", Calc!$C:$C, 0)))))</f>
        <v/>
      </c>
      <c r="H222" s="3">
        <f>IF($E222="","", IF(AND($E222&gt;=INDEX(Calc!$E:$E, MATCH("min_fwd_draft_m", Calc!$C:$C, 0)), $E222&lt;=INDEX(Calc!$E:$E, MATCH("max_fwd_draft_m", Calc!$C:$C, 0)), $G222&lt;=INDEX(Calc!$E:$E, MATCH("theta_max_deg", Calc!$C:$C, 0))), "OK", "CHECK"))</f>
        <v/>
      </c>
      <c r="I222" s="6">
        <f>IF($E222="","", INDEX(Calc!$E:$E, MATCH("D_vessel_m", Calc!$C:$C, 0)) - $E222 + $B222)</f>
        <v/>
      </c>
      <c r="J222" s="6">
        <f>IF($F222="","", INDEX(Calc!$E:$E, MATCH("D_vessel_m", Calc!$C:$C, 0)) - $F222 + $B222)</f>
        <v/>
      </c>
      <c r="K222" s="3">
        <f>IF(D222=0, "Even Keel", "")</f>
        <v/>
      </c>
    </row>
    <row r="223">
      <c r="A223" s="3">
        <f>IF(December_Tide_2025!A223="","",December_Tide_2025!A223)</f>
        <v/>
      </c>
      <c r="B223" s="6">
        <f>IF(December_Tide_2025!B223="","",December_Tide_2025!B223)</f>
        <v/>
      </c>
      <c r="C223" s="6">
        <f>IF($A223="","", INDEX(Calc!$E:$E, MATCH("KminusZ_m", Calc!$C:$C, 0)) + $B223 - INDEX(Calc!$E:$E, MATCH("L_ramp_m", Calc!$C:$C, 0)) * TAN(RADIANS(INDEX(Calc!$E:$E, MATCH("theta_max_deg", Calc!$C:$C, 0)))))</f>
        <v/>
      </c>
      <c r="D223" s="6" t="n"/>
      <c r="E223" s="6">
        <f>IF($C223="","", IF($D223="", $C223, $C223 - $D223/2))</f>
        <v/>
      </c>
      <c r="F223" s="6">
        <f>IF($C223="","", IF($D223="", $C223, $C223 + $D223/2))</f>
        <v/>
      </c>
      <c r="G223" s="6">
        <f>IF($E223="","", DEGREES(ATAN((INDEX(Calc!$E:$E, MATCH("KminusZ_m", Calc!$C:$C, 0)) - $E223 + $B223) / INDEX(Calc!$E:$E, MATCH("L_ramp_m", Calc!$C:$C, 0)))))</f>
        <v/>
      </c>
      <c r="H223" s="3">
        <f>IF($E223="","", IF(AND($E223&gt;=INDEX(Calc!$E:$E, MATCH("min_fwd_draft_m", Calc!$C:$C, 0)), $E223&lt;=INDEX(Calc!$E:$E, MATCH("max_fwd_draft_m", Calc!$C:$C, 0)), $G223&lt;=INDEX(Calc!$E:$E, MATCH("theta_max_deg", Calc!$C:$C, 0))), "OK", "CHECK"))</f>
        <v/>
      </c>
      <c r="I223" s="6">
        <f>IF($E223="","", INDEX(Calc!$E:$E, MATCH("D_vessel_m", Calc!$C:$C, 0)) - $E223 + $B223)</f>
        <v/>
      </c>
      <c r="J223" s="6">
        <f>IF($F223="","", INDEX(Calc!$E:$E, MATCH("D_vessel_m", Calc!$C:$C, 0)) - $F223 + $B223)</f>
        <v/>
      </c>
      <c r="K223" s="3">
        <f>IF(D223=0, "Even Keel", "")</f>
        <v/>
      </c>
    </row>
    <row r="224">
      <c r="A224" s="3">
        <f>IF(December_Tide_2025!A224="","",December_Tide_2025!A224)</f>
        <v/>
      </c>
      <c r="B224" s="6">
        <f>IF(December_Tide_2025!B224="","",December_Tide_2025!B224)</f>
        <v/>
      </c>
      <c r="C224" s="6">
        <f>IF($A224="","", INDEX(Calc!$E:$E, MATCH("KminusZ_m", Calc!$C:$C, 0)) + $B224 - INDEX(Calc!$E:$E, MATCH("L_ramp_m", Calc!$C:$C, 0)) * TAN(RADIANS(INDEX(Calc!$E:$E, MATCH("theta_max_deg", Calc!$C:$C, 0)))))</f>
        <v/>
      </c>
      <c r="D224" s="6" t="n"/>
      <c r="E224" s="6">
        <f>IF($C224="","", IF($D224="", $C224, $C224 - $D224/2))</f>
        <v/>
      </c>
      <c r="F224" s="6">
        <f>IF($C224="","", IF($D224="", $C224, $C224 + $D224/2))</f>
        <v/>
      </c>
      <c r="G224" s="6">
        <f>IF($E224="","", DEGREES(ATAN((INDEX(Calc!$E:$E, MATCH("KminusZ_m", Calc!$C:$C, 0)) - $E224 + $B224) / INDEX(Calc!$E:$E, MATCH("L_ramp_m", Calc!$C:$C, 0)))))</f>
        <v/>
      </c>
      <c r="H224" s="3">
        <f>IF($E224="","", IF(AND($E224&gt;=INDEX(Calc!$E:$E, MATCH("min_fwd_draft_m", Calc!$C:$C, 0)), $E224&lt;=INDEX(Calc!$E:$E, MATCH("max_fwd_draft_m", Calc!$C:$C, 0)), $G224&lt;=INDEX(Calc!$E:$E, MATCH("theta_max_deg", Calc!$C:$C, 0))), "OK", "CHECK"))</f>
        <v/>
      </c>
      <c r="I224" s="6">
        <f>IF($E224="","", INDEX(Calc!$E:$E, MATCH("D_vessel_m", Calc!$C:$C, 0)) - $E224 + $B224)</f>
        <v/>
      </c>
      <c r="J224" s="6">
        <f>IF($F224="","", INDEX(Calc!$E:$E, MATCH("D_vessel_m", Calc!$C:$C, 0)) - $F224 + $B224)</f>
        <v/>
      </c>
      <c r="K224" s="3">
        <f>IF(D224=0, "Even Keel", "")</f>
        <v/>
      </c>
    </row>
    <row r="225">
      <c r="A225" s="3">
        <f>IF(December_Tide_2025!A225="","",December_Tide_2025!A225)</f>
        <v/>
      </c>
      <c r="B225" s="6">
        <f>IF(December_Tide_2025!B225="","",December_Tide_2025!B225)</f>
        <v/>
      </c>
      <c r="C225" s="6">
        <f>IF($A225="","", INDEX(Calc!$E:$E, MATCH("KminusZ_m", Calc!$C:$C, 0)) + $B225 - INDEX(Calc!$E:$E, MATCH("L_ramp_m", Calc!$C:$C, 0)) * TAN(RADIANS(INDEX(Calc!$E:$E, MATCH("theta_max_deg", Calc!$C:$C, 0)))))</f>
        <v/>
      </c>
      <c r="D225" s="6" t="n"/>
      <c r="E225" s="6">
        <f>IF($C225="","", IF($D225="", $C225, $C225 - $D225/2))</f>
        <v/>
      </c>
      <c r="F225" s="6">
        <f>IF($C225="","", IF($D225="", $C225, $C225 + $D225/2))</f>
        <v/>
      </c>
      <c r="G225" s="6">
        <f>IF($E225="","", DEGREES(ATAN((INDEX(Calc!$E:$E, MATCH("KminusZ_m", Calc!$C:$C, 0)) - $E225 + $B225) / INDEX(Calc!$E:$E, MATCH("L_ramp_m", Calc!$C:$C, 0)))))</f>
        <v/>
      </c>
      <c r="H225" s="3">
        <f>IF($E225="","", IF(AND($E225&gt;=INDEX(Calc!$E:$E, MATCH("min_fwd_draft_m", Calc!$C:$C, 0)), $E225&lt;=INDEX(Calc!$E:$E, MATCH("max_fwd_draft_m", Calc!$C:$C, 0)), $G225&lt;=INDEX(Calc!$E:$E, MATCH("theta_max_deg", Calc!$C:$C, 0))), "OK", "CHECK"))</f>
        <v/>
      </c>
      <c r="I225" s="6">
        <f>IF($E225="","", INDEX(Calc!$E:$E, MATCH("D_vessel_m", Calc!$C:$C, 0)) - $E225 + $B225)</f>
        <v/>
      </c>
      <c r="J225" s="6">
        <f>IF($F225="","", INDEX(Calc!$E:$E, MATCH("D_vessel_m", Calc!$C:$C, 0)) - $F225 + $B225)</f>
        <v/>
      </c>
      <c r="K225" s="3">
        <f>IF(D225=0, "Even Keel", "")</f>
        <v/>
      </c>
    </row>
    <row r="226">
      <c r="A226" s="3">
        <f>IF(December_Tide_2025!A226="","",December_Tide_2025!A226)</f>
        <v/>
      </c>
      <c r="B226" s="6">
        <f>IF(December_Tide_2025!B226="","",December_Tide_2025!B226)</f>
        <v/>
      </c>
      <c r="C226" s="6">
        <f>IF($A226="","", INDEX(Calc!$E:$E, MATCH("KminusZ_m", Calc!$C:$C, 0)) + $B226 - INDEX(Calc!$E:$E, MATCH("L_ramp_m", Calc!$C:$C, 0)) * TAN(RADIANS(INDEX(Calc!$E:$E, MATCH("theta_max_deg", Calc!$C:$C, 0)))))</f>
        <v/>
      </c>
      <c r="D226" s="6" t="n"/>
      <c r="E226" s="6">
        <f>IF($C226="","", IF($D226="", $C226, $C226 - $D226/2))</f>
        <v/>
      </c>
      <c r="F226" s="6">
        <f>IF($C226="","", IF($D226="", $C226, $C226 + $D226/2))</f>
        <v/>
      </c>
      <c r="G226" s="6">
        <f>IF($E226="","", DEGREES(ATAN((INDEX(Calc!$E:$E, MATCH("KminusZ_m", Calc!$C:$C, 0)) - $E226 + $B226) / INDEX(Calc!$E:$E, MATCH("L_ramp_m", Calc!$C:$C, 0)))))</f>
        <v/>
      </c>
      <c r="H226" s="3">
        <f>IF($E226="","", IF(AND($E226&gt;=INDEX(Calc!$E:$E, MATCH("min_fwd_draft_m", Calc!$C:$C, 0)), $E226&lt;=INDEX(Calc!$E:$E, MATCH("max_fwd_draft_m", Calc!$C:$C, 0)), $G226&lt;=INDEX(Calc!$E:$E, MATCH("theta_max_deg", Calc!$C:$C, 0))), "OK", "CHECK"))</f>
        <v/>
      </c>
      <c r="I226" s="6">
        <f>IF($E226="","", INDEX(Calc!$E:$E, MATCH("D_vessel_m", Calc!$C:$C, 0)) - $E226 + $B226)</f>
        <v/>
      </c>
      <c r="J226" s="6">
        <f>IF($F226="","", INDEX(Calc!$E:$E, MATCH("D_vessel_m", Calc!$C:$C, 0)) - $F226 + $B226)</f>
        <v/>
      </c>
      <c r="K226" s="3">
        <f>IF(D226=0, "Even Keel", "")</f>
        <v/>
      </c>
    </row>
    <row r="227">
      <c r="A227" s="3">
        <f>IF(December_Tide_2025!A227="","",December_Tide_2025!A227)</f>
        <v/>
      </c>
      <c r="B227" s="6">
        <f>IF(December_Tide_2025!B227="","",December_Tide_2025!B227)</f>
        <v/>
      </c>
      <c r="C227" s="6">
        <f>IF($A227="","", INDEX(Calc!$E:$E, MATCH("KminusZ_m", Calc!$C:$C, 0)) + $B227 - INDEX(Calc!$E:$E, MATCH("L_ramp_m", Calc!$C:$C, 0)) * TAN(RADIANS(INDEX(Calc!$E:$E, MATCH("theta_max_deg", Calc!$C:$C, 0)))))</f>
        <v/>
      </c>
      <c r="D227" s="6" t="n"/>
      <c r="E227" s="6">
        <f>IF($C227="","", IF($D227="", $C227, $C227 - $D227/2))</f>
        <v/>
      </c>
      <c r="F227" s="6">
        <f>IF($C227="","", IF($D227="", $C227, $C227 + $D227/2))</f>
        <v/>
      </c>
      <c r="G227" s="6">
        <f>IF($E227="","", DEGREES(ATAN((INDEX(Calc!$E:$E, MATCH("KminusZ_m", Calc!$C:$C, 0)) - $E227 + $B227) / INDEX(Calc!$E:$E, MATCH("L_ramp_m", Calc!$C:$C, 0)))))</f>
        <v/>
      </c>
      <c r="H227" s="3">
        <f>IF($E227="","", IF(AND($E227&gt;=INDEX(Calc!$E:$E, MATCH("min_fwd_draft_m", Calc!$C:$C, 0)), $E227&lt;=INDEX(Calc!$E:$E, MATCH("max_fwd_draft_m", Calc!$C:$C, 0)), $G227&lt;=INDEX(Calc!$E:$E, MATCH("theta_max_deg", Calc!$C:$C, 0))), "OK", "CHECK"))</f>
        <v/>
      </c>
      <c r="I227" s="6">
        <f>IF($E227="","", INDEX(Calc!$E:$E, MATCH("D_vessel_m", Calc!$C:$C, 0)) - $E227 + $B227)</f>
        <v/>
      </c>
      <c r="J227" s="6">
        <f>IF($F227="","", INDEX(Calc!$E:$E, MATCH("D_vessel_m", Calc!$C:$C, 0)) - $F227 + $B227)</f>
        <v/>
      </c>
      <c r="K227" s="3">
        <f>IF(D227=0, "Even Keel", "")</f>
        <v/>
      </c>
    </row>
    <row r="228">
      <c r="A228" s="3">
        <f>IF(December_Tide_2025!A228="","",December_Tide_2025!A228)</f>
        <v/>
      </c>
      <c r="B228" s="6">
        <f>IF(December_Tide_2025!B228="","",December_Tide_2025!B228)</f>
        <v/>
      </c>
      <c r="C228" s="6">
        <f>IF($A228="","", INDEX(Calc!$E:$E, MATCH("KminusZ_m", Calc!$C:$C, 0)) + $B228 - INDEX(Calc!$E:$E, MATCH("L_ramp_m", Calc!$C:$C, 0)) * TAN(RADIANS(INDEX(Calc!$E:$E, MATCH("theta_max_deg", Calc!$C:$C, 0)))))</f>
        <v/>
      </c>
      <c r="D228" s="6" t="n"/>
      <c r="E228" s="6">
        <f>IF($C228="","", IF($D228="", $C228, $C228 - $D228/2))</f>
        <v/>
      </c>
      <c r="F228" s="6">
        <f>IF($C228="","", IF($D228="", $C228, $C228 + $D228/2))</f>
        <v/>
      </c>
      <c r="G228" s="6">
        <f>IF($E228="","", DEGREES(ATAN((INDEX(Calc!$E:$E, MATCH("KminusZ_m", Calc!$C:$C, 0)) - $E228 + $B228) / INDEX(Calc!$E:$E, MATCH("L_ramp_m", Calc!$C:$C, 0)))))</f>
        <v/>
      </c>
      <c r="H228" s="3">
        <f>IF($E228="","", IF(AND($E228&gt;=INDEX(Calc!$E:$E, MATCH("min_fwd_draft_m", Calc!$C:$C, 0)), $E228&lt;=INDEX(Calc!$E:$E, MATCH("max_fwd_draft_m", Calc!$C:$C, 0)), $G228&lt;=INDEX(Calc!$E:$E, MATCH("theta_max_deg", Calc!$C:$C, 0))), "OK", "CHECK"))</f>
        <v/>
      </c>
      <c r="I228" s="6">
        <f>IF($E228="","", INDEX(Calc!$E:$E, MATCH("D_vessel_m", Calc!$C:$C, 0)) - $E228 + $B228)</f>
        <v/>
      </c>
      <c r="J228" s="6">
        <f>IF($F228="","", INDEX(Calc!$E:$E, MATCH("D_vessel_m", Calc!$C:$C, 0)) - $F228 + $B228)</f>
        <v/>
      </c>
      <c r="K228" s="3">
        <f>IF(D228=0, "Even Keel", "")</f>
        <v/>
      </c>
    </row>
    <row r="229">
      <c r="A229" s="3">
        <f>IF(December_Tide_2025!A229="","",December_Tide_2025!A229)</f>
        <v/>
      </c>
      <c r="B229" s="6">
        <f>IF(December_Tide_2025!B229="","",December_Tide_2025!B229)</f>
        <v/>
      </c>
      <c r="C229" s="6">
        <f>IF($A229="","", INDEX(Calc!$E:$E, MATCH("KminusZ_m", Calc!$C:$C, 0)) + $B229 - INDEX(Calc!$E:$E, MATCH("L_ramp_m", Calc!$C:$C, 0)) * TAN(RADIANS(INDEX(Calc!$E:$E, MATCH("theta_max_deg", Calc!$C:$C, 0)))))</f>
        <v/>
      </c>
      <c r="D229" s="6" t="n"/>
      <c r="E229" s="6">
        <f>IF($C229="","", IF($D229="", $C229, $C229 - $D229/2))</f>
        <v/>
      </c>
      <c r="F229" s="6">
        <f>IF($C229="","", IF($D229="", $C229, $C229 + $D229/2))</f>
        <v/>
      </c>
      <c r="G229" s="6">
        <f>IF($E229="","", DEGREES(ATAN((INDEX(Calc!$E:$E, MATCH("KminusZ_m", Calc!$C:$C, 0)) - $E229 + $B229) / INDEX(Calc!$E:$E, MATCH("L_ramp_m", Calc!$C:$C, 0)))))</f>
        <v/>
      </c>
      <c r="H229" s="3">
        <f>IF($E229="","", IF(AND($E229&gt;=INDEX(Calc!$E:$E, MATCH("min_fwd_draft_m", Calc!$C:$C, 0)), $E229&lt;=INDEX(Calc!$E:$E, MATCH("max_fwd_draft_m", Calc!$C:$C, 0)), $G229&lt;=INDEX(Calc!$E:$E, MATCH("theta_max_deg", Calc!$C:$C, 0))), "OK", "CHECK"))</f>
        <v/>
      </c>
      <c r="I229" s="6">
        <f>IF($E229="","", INDEX(Calc!$E:$E, MATCH("D_vessel_m", Calc!$C:$C, 0)) - $E229 + $B229)</f>
        <v/>
      </c>
      <c r="J229" s="6">
        <f>IF($F229="","", INDEX(Calc!$E:$E, MATCH("D_vessel_m", Calc!$C:$C, 0)) - $F229 + $B229)</f>
        <v/>
      </c>
      <c r="K229" s="3">
        <f>IF(D229=0, "Even Keel", "")</f>
        <v/>
      </c>
    </row>
    <row r="230">
      <c r="A230" s="3">
        <f>IF(December_Tide_2025!A230="","",December_Tide_2025!A230)</f>
        <v/>
      </c>
      <c r="B230" s="6">
        <f>IF(December_Tide_2025!B230="","",December_Tide_2025!B230)</f>
        <v/>
      </c>
      <c r="C230" s="6">
        <f>IF($A230="","", INDEX(Calc!$E:$E, MATCH("KminusZ_m", Calc!$C:$C, 0)) + $B230 - INDEX(Calc!$E:$E, MATCH("L_ramp_m", Calc!$C:$C, 0)) * TAN(RADIANS(INDEX(Calc!$E:$E, MATCH("theta_max_deg", Calc!$C:$C, 0)))))</f>
        <v/>
      </c>
      <c r="D230" s="6" t="n"/>
      <c r="E230" s="6">
        <f>IF($C230="","", IF($D230="", $C230, $C230 - $D230/2))</f>
        <v/>
      </c>
      <c r="F230" s="6">
        <f>IF($C230="","", IF($D230="", $C230, $C230 + $D230/2))</f>
        <v/>
      </c>
      <c r="G230" s="6">
        <f>IF($E230="","", DEGREES(ATAN((INDEX(Calc!$E:$E, MATCH("KminusZ_m", Calc!$C:$C, 0)) - $E230 + $B230) / INDEX(Calc!$E:$E, MATCH("L_ramp_m", Calc!$C:$C, 0)))))</f>
        <v/>
      </c>
      <c r="H230" s="3">
        <f>IF($E230="","", IF(AND($E230&gt;=INDEX(Calc!$E:$E, MATCH("min_fwd_draft_m", Calc!$C:$C, 0)), $E230&lt;=INDEX(Calc!$E:$E, MATCH("max_fwd_draft_m", Calc!$C:$C, 0)), $G230&lt;=INDEX(Calc!$E:$E, MATCH("theta_max_deg", Calc!$C:$C, 0))), "OK", "CHECK"))</f>
        <v/>
      </c>
      <c r="I230" s="6">
        <f>IF($E230="","", INDEX(Calc!$E:$E, MATCH("D_vessel_m", Calc!$C:$C, 0)) - $E230 + $B230)</f>
        <v/>
      </c>
      <c r="J230" s="6">
        <f>IF($F230="","", INDEX(Calc!$E:$E, MATCH("D_vessel_m", Calc!$C:$C, 0)) - $F230 + $B230)</f>
        <v/>
      </c>
      <c r="K230" s="3">
        <f>IF(D230=0, "Even Keel", "")</f>
        <v/>
      </c>
    </row>
    <row r="231">
      <c r="A231" s="3">
        <f>IF(December_Tide_2025!A231="","",December_Tide_2025!A231)</f>
        <v/>
      </c>
      <c r="B231" s="6">
        <f>IF(December_Tide_2025!B231="","",December_Tide_2025!B231)</f>
        <v/>
      </c>
      <c r="C231" s="6">
        <f>IF($A231="","", INDEX(Calc!$E:$E, MATCH("KminusZ_m", Calc!$C:$C, 0)) + $B231 - INDEX(Calc!$E:$E, MATCH("L_ramp_m", Calc!$C:$C, 0)) * TAN(RADIANS(INDEX(Calc!$E:$E, MATCH("theta_max_deg", Calc!$C:$C, 0)))))</f>
        <v/>
      </c>
      <c r="D231" s="6" t="n"/>
      <c r="E231" s="6">
        <f>IF($C231="","", IF($D231="", $C231, $C231 - $D231/2))</f>
        <v/>
      </c>
      <c r="F231" s="6">
        <f>IF($C231="","", IF($D231="", $C231, $C231 + $D231/2))</f>
        <v/>
      </c>
      <c r="G231" s="6">
        <f>IF($E231="","", DEGREES(ATAN((INDEX(Calc!$E:$E, MATCH("KminusZ_m", Calc!$C:$C, 0)) - $E231 + $B231) / INDEX(Calc!$E:$E, MATCH("L_ramp_m", Calc!$C:$C, 0)))))</f>
        <v/>
      </c>
      <c r="H231" s="3">
        <f>IF($E231="","", IF(AND($E231&gt;=INDEX(Calc!$E:$E, MATCH("min_fwd_draft_m", Calc!$C:$C, 0)), $E231&lt;=INDEX(Calc!$E:$E, MATCH("max_fwd_draft_m", Calc!$C:$C, 0)), $G231&lt;=INDEX(Calc!$E:$E, MATCH("theta_max_deg", Calc!$C:$C, 0))), "OK", "CHECK"))</f>
        <v/>
      </c>
      <c r="I231" s="6">
        <f>IF($E231="","", INDEX(Calc!$E:$E, MATCH("D_vessel_m", Calc!$C:$C, 0)) - $E231 + $B231)</f>
        <v/>
      </c>
      <c r="J231" s="6">
        <f>IF($F231="","", INDEX(Calc!$E:$E, MATCH("D_vessel_m", Calc!$C:$C, 0)) - $F231 + $B231)</f>
        <v/>
      </c>
      <c r="K231" s="3">
        <f>IF(D231=0, "Even Keel", "")</f>
        <v/>
      </c>
    </row>
    <row r="232">
      <c r="A232" s="3">
        <f>IF(December_Tide_2025!A232="","",December_Tide_2025!A232)</f>
        <v/>
      </c>
      <c r="B232" s="6">
        <f>IF(December_Tide_2025!B232="","",December_Tide_2025!B232)</f>
        <v/>
      </c>
      <c r="C232" s="6">
        <f>IF($A232="","", INDEX(Calc!$E:$E, MATCH("KminusZ_m", Calc!$C:$C, 0)) + $B232 - INDEX(Calc!$E:$E, MATCH("L_ramp_m", Calc!$C:$C, 0)) * TAN(RADIANS(INDEX(Calc!$E:$E, MATCH("theta_max_deg", Calc!$C:$C, 0)))))</f>
        <v/>
      </c>
      <c r="D232" s="6" t="n"/>
      <c r="E232" s="6">
        <f>IF($C232="","", IF($D232="", $C232, $C232 - $D232/2))</f>
        <v/>
      </c>
      <c r="F232" s="6">
        <f>IF($C232="","", IF($D232="", $C232, $C232 + $D232/2))</f>
        <v/>
      </c>
      <c r="G232" s="6">
        <f>IF($E232="","", DEGREES(ATAN((INDEX(Calc!$E:$E, MATCH("KminusZ_m", Calc!$C:$C, 0)) - $E232 + $B232) / INDEX(Calc!$E:$E, MATCH("L_ramp_m", Calc!$C:$C, 0)))))</f>
        <v/>
      </c>
      <c r="H232" s="3">
        <f>IF($E232="","", IF(AND($E232&gt;=INDEX(Calc!$E:$E, MATCH("min_fwd_draft_m", Calc!$C:$C, 0)), $E232&lt;=INDEX(Calc!$E:$E, MATCH("max_fwd_draft_m", Calc!$C:$C, 0)), $G232&lt;=INDEX(Calc!$E:$E, MATCH("theta_max_deg", Calc!$C:$C, 0))), "OK", "CHECK"))</f>
        <v/>
      </c>
      <c r="I232" s="6">
        <f>IF($E232="","", INDEX(Calc!$E:$E, MATCH("D_vessel_m", Calc!$C:$C, 0)) - $E232 + $B232)</f>
        <v/>
      </c>
      <c r="J232" s="6">
        <f>IF($F232="","", INDEX(Calc!$E:$E, MATCH("D_vessel_m", Calc!$C:$C, 0)) - $F232 + $B232)</f>
        <v/>
      </c>
      <c r="K232" s="3">
        <f>IF(D232=0, "Even Keel", "")</f>
        <v/>
      </c>
    </row>
    <row r="233">
      <c r="A233" s="3">
        <f>IF(December_Tide_2025!A233="","",December_Tide_2025!A233)</f>
        <v/>
      </c>
      <c r="B233" s="6">
        <f>IF(December_Tide_2025!B233="","",December_Tide_2025!B233)</f>
        <v/>
      </c>
      <c r="C233" s="6">
        <f>IF($A233="","", INDEX(Calc!$E:$E, MATCH("KminusZ_m", Calc!$C:$C, 0)) + $B233 - INDEX(Calc!$E:$E, MATCH("L_ramp_m", Calc!$C:$C, 0)) * TAN(RADIANS(INDEX(Calc!$E:$E, MATCH("theta_max_deg", Calc!$C:$C, 0)))))</f>
        <v/>
      </c>
      <c r="D233" s="6" t="n"/>
      <c r="E233" s="6">
        <f>IF($C233="","", IF($D233="", $C233, $C233 - $D233/2))</f>
        <v/>
      </c>
      <c r="F233" s="6">
        <f>IF($C233="","", IF($D233="", $C233, $C233 + $D233/2))</f>
        <v/>
      </c>
      <c r="G233" s="6">
        <f>IF($E233="","", DEGREES(ATAN((INDEX(Calc!$E:$E, MATCH("KminusZ_m", Calc!$C:$C, 0)) - $E233 + $B233) / INDEX(Calc!$E:$E, MATCH("L_ramp_m", Calc!$C:$C, 0)))))</f>
        <v/>
      </c>
      <c r="H233" s="3">
        <f>IF($E233="","", IF(AND($E233&gt;=INDEX(Calc!$E:$E, MATCH("min_fwd_draft_m", Calc!$C:$C, 0)), $E233&lt;=INDEX(Calc!$E:$E, MATCH("max_fwd_draft_m", Calc!$C:$C, 0)), $G233&lt;=INDEX(Calc!$E:$E, MATCH("theta_max_deg", Calc!$C:$C, 0))), "OK", "CHECK"))</f>
        <v/>
      </c>
      <c r="I233" s="6">
        <f>IF($E233="","", INDEX(Calc!$E:$E, MATCH("D_vessel_m", Calc!$C:$C, 0)) - $E233 + $B233)</f>
        <v/>
      </c>
      <c r="J233" s="6">
        <f>IF($F233="","", INDEX(Calc!$E:$E, MATCH("D_vessel_m", Calc!$C:$C, 0)) - $F233 + $B233)</f>
        <v/>
      </c>
      <c r="K233" s="3">
        <f>IF(D233=0, "Even Keel", "")</f>
        <v/>
      </c>
    </row>
    <row r="234">
      <c r="A234" s="3">
        <f>IF(December_Tide_2025!A234="","",December_Tide_2025!A234)</f>
        <v/>
      </c>
      <c r="B234" s="6">
        <f>IF(December_Tide_2025!B234="","",December_Tide_2025!B234)</f>
        <v/>
      </c>
      <c r="C234" s="6">
        <f>IF($A234="","", INDEX(Calc!$E:$E, MATCH("KminusZ_m", Calc!$C:$C, 0)) + $B234 - INDEX(Calc!$E:$E, MATCH("L_ramp_m", Calc!$C:$C, 0)) * TAN(RADIANS(INDEX(Calc!$E:$E, MATCH("theta_max_deg", Calc!$C:$C, 0)))))</f>
        <v/>
      </c>
      <c r="D234" s="6" t="n"/>
      <c r="E234" s="6">
        <f>IF($C234="","", IF($D234="", $C234, $C234 - $D234/2))</f>
        <v/>
      </c>
      <c r="F234" s="6">
        <f>IF($C234="","", IF($D234="", $C234, $C234 + $D234/2))</f>
        <v/>
      </c>
      <c r="G234" s="6">
        <f>IF($E234="","", DEGREES(ATAN((INDEX(Calc!$E:$E, MATCH("KminusZ_m", Calc!$C:$C, 0)) - $E234 + $B234) / INDEX(Calc!$E:$E, MATCH("L_ramp_m", Calc!$C:$C, 0)))))</f>
        <v/>
      </c>
      <c r="H234" s="3">
        <f>IF($E234="","", IF(AND($E234&gt;=INDEX(Calc!$E:$E, MATCH("min_fwd_draft_m", Calc!$C:$C, 0)), $E234&lt;=INDEX(Calc!$E:$E, MATCH("max_fwd_draft_m", Calc!$C:$C, 0)), $G234&lt;=INDEX(Calc!$E:$E, MATCH("theta_max_deg", Calc!$C:$C, 0))), "OK", "CHECK"))</f>
        <v/>
      </c>
      <c r="I234" s="6">
        <f>IF($E234="","", INDEX(Calc!$E:$E, MATCH("D_vessel_m", Calc!$C:$C, 0)) - $E234 + $B234)</f>
        <v/>
      </c>
      <c r="J234" s="6">
        <f>IF($F234="","", INDEX(Calc!$E:$E, MATCH("D_vessel_m", Calc!$C:$C, 0)) - $F234 + $B234)</f>
        <v/>
      </c>
      <c r="K234" s="3">
        <f>IF(D234=0, "Even Keel", "")</f>
        <v/>
      </c>
    </row>
    <row r="235">
      <c r="A235" s="3">
        <f>IF(December_Tide_2025!A235="","",December_Tide_2025!A235)</f>
        <v/>
      </c>
      <c r="B235" s="6">
        <f>IF(December_Tide_2025!B235="","",December_Tide_2025!B235)</f>
        <v/>
      </c>
      <c r="C235" s="6">
        <f>IF($A235="","", INDEX(Calc!$E:$E, MATCH("KminusZ_m", Calc!$C:$C, 0)) + $B235 - INDEX(Calc!$E:$E, MATCH("L_ramp_m", Calc!$C:$C, 0)) * TAN(RADIANS(INDEX(Calc!$E:$E, MATCH("theta_max_deg", Calc!$C:$C, 0)))))</f>
        <v/>
      </c>
      <c r="D235" s="6" t="n"/>
      <c r="E235" s="6">
        <f>IF($C235="","", IF($D235="", $C235, $C235 - $D235/2))</f>
        <v/>
      </c>
      <c r="F235" s="6">
        <f>IF($C235="","", IF($D235="", $C235, $C235 + $D235/2))</f>
        <v/>
      </c>
      <c r="G235" s="6">
        <f>IF($E235="","", DEGREES(ATAN((INDEX(Calc!$E:$E, MATCH("KminusZ_m", Calc!$C:$C, 0)) - $E235 + $B235) / INDEX(Calc!$E:$E, MATCH("L_ramp_m", Calc!$C:$C, 0)))))</f>
        <v/>
      </c>
      <c r="H235" s="3">
        <f>IF($E235="","", IF(AND($E235&gt;=INDEX(Calc!$E:$E, MATCH("min_fwd_draft_m", Calc!$C:$C, 0)), $E235&lt;=INDEX(Calc!$E:$E, MATCH("max_fwd_draft_m", Calc!$C:$C, 0)), $G235&lt;=INDEX(Calc!$E:$E, MATCH("theta_max_deg", Calc!$C:$C, 0))), "OK", "CHECK"))</f>
        <v/>
      </c>
      <c r="I235" s="6">
        <f>IF($E235="","", INDEX(Calc!$E:$E, MATCH("D_vessel_m", Calc!$C:$C, 0)) - $E235 + $B235)</f>
        <v/>
      </c>
      <c r="J235" s="6">
        <f>IF($F235="","", INDEX(Calc!$E:$E, MATCH("D_vessel_m", Calc!$C:$C, 0)) - $F235 + $B235)</f>
        <v/>
      </c>
      <c r="K235" s="3">
        <f>IF(D235=0, "Even Keel", "")</f>
        <v/>
      </c>
    </row>
    <row r="236">
      <c r="A236" s="3">
        <f>IF(December_Tide_2025!A236="","",December_Tide_2025!A236)</f>
        <v/>
      </c>
      <c r="B236" s="6">
        <f>IF(December_Tide_2025!B236="","",December_Tide_2025!B236)</f>
        <v/>
      </c>
      <c r="C236" s="6">
        <f>IF($A236="","", INDEX(Calc!$E:$E, MATCH("KminusZ_m", Calc!$C:$C, 0)) + $B236 - INDEX(Calc!$E:$E, MATCH("L_ramp_m", Calc!$C:$C, 0)) * TAN(RADIANS(INDEX(Calc!$E:$E, MATCH("theta_max_deg", Calc!$C:$C, 0)))))</f>
        <v/>
      </c>
      <c r="D236" s="6" t="n"/>
      <c r="E236" s="6">
        <f>IF($C236="","", IF($D236="", $C236, $C236 - $D236/2))</f>
        <v/>
      </c>
      <c r="F236" s="6">
        <f>IF($C236="","", IF($D236="", $C236, $C236 + $D236/2))</f>
        <v/>
      </c>
      <c r="G236" s="6">
        <f>IF($E236="","", DEGREES(ATAN((INDEX(Calc!$E:$E, MATCH("KminusZ_m", Calc!$C:$C, 0)) - $E236 + $B236) / INDEX(Calc!$E:$E, MATCH("L_ramp_m", Calc!$C:$C, 0)))))</f>
        <v/>
      </c>
      <c r="H236" s="3">
        <f>IF($E236="","", IF(AND($E236&gt;=INDEX(Calc!$E:$E, MATCH("min_fwd_draft_m", Calc!$C:$C, 0)), $E236&lt;=INDEX(Calc!$E:$E, MATCH("max_fwd_draft_m", Calc!$C:$C, 0)), $G236&lt;=INDEX(Calc!$E:$E, MATCH("theta_max_deg", Calc!$C:$C, 0))), "OK", "CHECK"))</f>
        <v/>
      </c>
      <c r="I236" s="6">
        <f>IF($E236="","", INDEX(Calc!$E:$E, MATCH("D_vessel_m", Calc!$C:$C, 0)) - $E236 + $B236)</f>
        <v/>
      </c>
      <c r="J236" s="6">
        <f>IF($F236="","", INDEX(Calc!$E:$E, MATCH("D_vessel_m", Calc!$C:$C, 0)) - $F236 + $B236)</f>
        <v/>
      </c>
      <c r="K236" s="3">
        <f>IF(D236=0, "Even Keel", "")</f>
        <v/>
      </c>
    </row>
    <row r="237">
      <c r="A237" s="3">
        <f>IF(December_Tide_2025!A237="","",December_Tide_2025!A237)</f>
        <v/>
      </c>
      <c r="B237" s="6">
        <f>IF(December_Tide_2025!B237="","",December_Tide_2025!B237)</f>
        <v/>
      </c>
      <c r="C237" s="6">
        <f>IF($A237="","", INDEX(Calc!$E:$E, MATCH("KminusZ_m", Calc!$C:$C, 0)) + $B237 - INDEX(Calc!$E:$E, MATCH("L_ramp_m", Calc!$C:$C, 0)) * TAN(RADIANS(INDEX(Calc!$E:$E, MATCH("theta_max_deg", Calc!$C:$C, 0)))))</f>
        <v/>
      </c>
      <c r="D237" s="6" t="n"/>
      <c r="E237" s="6">
        <f>IF($C237="","", IF($D237="", $C237, $C237 - $D237/2))</f>
        <v/>
      </c>
      <c r="F237" s="6">
        <f>IF($C237="","", IF($D237="", $C237, $C237 + $D237/2))</f>
        <v/>
      </c>
      <c r="G237" s="6">
        <f>IF($E237="","", DEGREES(ATAN((INDEX(Calc!$E:$E, MATCH("KminusZ_m", Calc!$C:$C, 0)) - $E237 + $B237) / INDEX(Calc!$E:$E, MATCH("L_ramp_m", Calc!$C:$C, 0)))))</f>
        <v/>
      </c>
      <c r="H237" s="3">
        <f>IF($E237="","", IF(AND($E237&gt;=INDEX(Calc!$E:$E, MATCH("min_fwd_draft_m", Calc!$C:$C, 0)), $E237&lt;=INDEX(Calc!$E:$E, MATCH("max_fwd_draft_m", Calc!$C:$C, 0)), $G237&lt;=INDEX(Calc!$E:$E, MATCH("theta_max_deg", Calc!$C:$C, 0))), "OK", "CHECK"))</f>
        <v/>
      </c>
      <c r="I237" s="6">
        <f>IF($E237="","", INDEX(Calc!$E:$E, MATCH("D_vessel_m", Calc!$C:$C, 0)) - $E237 + $B237)</f>
        <v/>
      </c>
      <c r="J237" s="6">
        <f>IF($F237="","", INDEX(Calc!$E:$E, MATCH("D_vessel_m", Calc!$C:$C, 0)) - $F237 + $B237)</f>
        <v/>
      </c>
      <c r="K237" s="3">
        <f>IF(D237=0, "Even Keel", "")</f>
        <v/>
      </c>
    </row>
    <row r="238">
      <c r="A238" s="3">
        <f>IF(December_Tide_2025!A238="","",December_Tide_2025!A238)</f>
        <v/>
      </c>
      <c r="B238" s="6">
        <f>IF(December_Tide_2025!B238="","",December_Tide_2025!B238)</f>
        <v/>
      </c>
      <c r="C238" s="6">
        <f>IF($A238="","", INDEX(Calc!$E:$E, MATCH("KminusZ_m", Calc!$C:$C, 0)) + $B238 - INDEX(Calc!$E:$E, MATCH("L_ramp_m", Calc!$C:$C, 0)) * TAN(RADIANS(INDEX(Calc!$E:$E, MATCH("theta_max_deg", Calc!$C:$C, 0)))))</f>
        <v/>
      </c>
      <c r="D238" s="6" t="n"/>
      <c r="E238" s="6">
        <f>IF($C238="","", IF($D238="", $C238, $C238 - $D238/2))</f>
        <v/>
      </c>
      <c r="F238" s="6">
        <f>IF($C238="","", IF($D238="", $C238, $C238 + $D238/2))</f>
        <v/>
      </c>
      <c r="G238" s="6">
        <f>IF($E238="","", DEGREES(ATAN((INDEX(Calc!$E:$E, MATCH("KminusZ_m", Calc!$C:$C, 0)) - $E238 + $B238) / INDEX(Calc!$E:$E, MATCH("L_ramp_m", Calc!$C:$C, 0)))))</f>
        <v/>
      </c>
      <c r="H238" s="3">
        <f>IF($E238="","", IF(AND($E238&gt;=INDEX(Calc!$E:$E, MATCH("min_fwd_draft_m", Calc!$C:$C, 0)), $E238&lt;=INDEX(Calc!$E:$E, MATCH("max_fwd_draft_m", Calc!$C:$C, 0)), $G238&lt;=INDEX(Calc!$E:$E, MATCH("theta_max_deg", Calc!$C:$C, 0))), "OK", "CHECK"))</f>
        <v/>
      </c>
      <c r="I238" s="6">
        <f>IF($E238="","", INDEX(Calc!$E:$E, MATCH("D_vessel_m", Calc!$C:$C, 0)) - $E238 + $B238)</f>
        <v/>
      </c>
      <c r="J238" s="6">
        <f>IF($F238="","", INDEX(Calc!$E:$E, MATCH("D_vessel_m", Calc!$C:$C, 0)) - $F238 + $B238)</f>
        <v/>
      </c>
      <c r="K238" s="3">
        <f>IF(D238=0, "Even Keel", "")</f>
        <v/>
      </c>
    </row>
    <row r="239">
      <c r="A239" s="3">
        <f>IF(December_Tide_2025!A239="","",December_Tide_2025!A239)</f>
        <v/>
      </c>
      <c r="B239" s="6">
        <f>IF(December_Tide_2025!B239="","",December_Tide_2025!B239)</f>
        <v/>
      </c>
      <c r="C239" s="6">
        <f>IF($A239="","", INDEX(Calc!$E:$E, MATCH("KminusZ_m", Calc!$C:$C, 0)) + $B239 - INDEX(Calc!$E:$E, MATCH("L_ramp_m", Calc!$C:$C, 0)) * TAN(RADIANS(INDEX(Calc!$E:$E, MATCH("theta_max_deg", Calc!$C:$C, 0)))))</f>
        <v/>
      </c>
      <c r="D239" s="6" t="n"/>
      <c r="E239" s="6">
        <f>IF($C239="","", IF($D239="", $C239, $C239 - $D239/2))</f>
        <v/>
      </c>
      <c r="F239" s="6">
        <f>IF($C239="","", IF($D239="", $C239, $C239 + $D239/2))</f>
        <v/>
      </c>
      <c r="G239" s="6">
        <f>IF($E239="","", DEGREES(ATAN((INDEX(Calc!$E:$E, MATCH("KminusZ_m", Calc!$C:$C, 0)) - $E239 + $B239) / INDEX(Calc!$E:$E, MATCH("L_ramp_m", Calc!$C:$C, 0)))))</f>
        <v/>
      </c>
      <c r="H239" s="3">
        <f>IF($E239="","", IF(AND($E239&gt;=INDEX(Calc!$E:$E, MATCH("min_fwd_draft_m", Calc!$C:$C, 0)), $E239&lt;=INDEX(Calc!$E:$E, MATCH("max_fwd_draft_m", Calc!$C:$C, 0)), $G239&lt;=INDEX(Calc!$E:$E, MATCH("theta_max_deg", Calc!$C:$C, 0))), "OK", "CHECK"))</f>
        <v/>
      </c>
      <c r="I239" s="6">
        <f>IF($E239="","", INDEX(Calc!$E:$E, MATCH("D_vessel_m", Calc!$C:$C, 0)) - $E239 + $B239)</f>
        <v/>
      </c>
      <c r="J239" s="6">
        <f>IF($F239="","", INDEX(Calc!$E:$E, MATCH("D_vessel_m", Calc!$C:$C, 0)) - $F239 + $B239)</f>
        <v/>
      </c>
      <c r="K239" s="3">
        <f>IF(D239=0, "Even Keel", "")</f>
        <v/>
      </c>
    </row>
    <row r="240">
      <c r="A240" s="3">
        <f>IF(December_Tide_2025!A240="","",December_Tide_2025!A240)</f>
        <v/>
      </c>
      <c r="B240" s="6">
        <f>IF(December_Tide_2025!B240="","",December_Tide_2025!B240)</f>
        <v/>
      </c>
      <c r="C240" s="6">
        <f>IF($A240="","", INDEX(Calc!$E:$E, MATCH("KminusZ_m", Calc!$C:$C, 0)) + $B240 - INDEX(Calc!$E:$E, MATCH("L_ramp_m", Calc!$C:$C, 0)) * TAN(RADIANS(INDEX(Calc!$E:$E, MATCH("theta_max_deg", Calc!$C:$C, 0)))))</f>
        <v/>
      </c>
      <c r="D240" s="6" t="n"/>
      <c r="E240" s="6">
        <f>IF($C240="","", IF($D240="", $C240, $C240 - $D240/2))</f>
        <v/>
      </c>
      <c r="F240" s="6">
        <f>IF($C240="","", IF($D240="", $C240, $C240 + $D240/2))</f>
        <v/>
      </c>
      <c r="G240" s="6">
        <f>IF($E240="","", DEGREES(ATAN((INDEX(Calc!$E:$E, MATCH("KminusZ_m", Calc!$C:$C, 0)) - $E240 + $B240) / INDEX(Calc!$E:$E, MATCH("L_ramp_m", Calc!$C:$C, 0)))))</f>
        <v/>
      </c>
      <c r="H240" s="3">
        <f>IF($E240="","", IF(AND($E240&gt;=INDEX(Calc!$E:$E, MATCH("min_fwd_draft_m", Calc!$C:$C, 0)), $E240&lt;=INDEX(Calc!$E:$E, MATCH("max_fwd_draft_m", Calc!$C:$C, 0)), $G240&lt;=INDEX(Calc!$E:$E, MATCH("theta_max_deg", Calc!$C:$C, 0))), "OK", "CHECK"))</f>
        <v/>
      </c>
      <c r="I240" s="6">
        <f>IF($E240="","", INDEX(Calc!$E:$E, MATCH("D_vessel_m", Calc!$C:$C, 0)) - $E240 + $B240)</f>
        <v/>
      </c>
      <c r="J240" s="6">
        <f>IF($F240="","", INDEX(Calc!$E:$E, MATCH("D_vessel_m", Calc!$C:$C, 0)) - $F240 + $B240)</f>
        <v/>
      </c>
      <c r="K240" s="3">
        <f>IF(D240=0, "Even Keel", "")</f>
        <v/>
      </c>
    </row>
    <row r="241">
      <c r="A241" s="3">
        <f>IF(December_Tide_2025!A241="","",December_Tide_2025!A241)</f>
        <v/>
      </c>
      <c r="B241" s="6">
        <f>IF(December_Tide_2025!B241="","",December_Tide_2025!B241)</f>
        <v/>
      </c>
      <c r="C241" s="6">
        <f>IF($A241="","", INDEX(Calc!$E:$E, MATCH("KminusZ_m", Calc!$C:$C, 0)) + $B241 - INDEX(Calc!$E:$E, MATCH("L_ramp_m", Calc!$C:$C, 0)) * TAN(RADIANS(INDEX(Calc!$E:$E, MATCH("theta_max_deg", Calc!$C:$C, 0)))))</f>
        <v/>
      </c>
      <c r="D241" s="6" t="n"/>
      <c r="E241" s="6">
        <f>IF($C241="","", IF($D241="", $C241, $C241 - $D241/2))</f>
        <v/>
      </c>
      <c r="F241" s="6">
        <f>IF($C241="","", IF($D241="", $C241, $C241 + $D241/2))</f>
        <v/>
      </c>
      <c r="G241" s="6">
        <f>IF($E241="","", DEGREES(ATAN((INDEX(Calc!$E:$E, MATCH("KminusZ_m", Calc!$C:$C, 0)) - $E241 + $B241) / INDEX(Calc!$E:$E, MATCH("L_ramp_m", Calc!$C:$C, 0)))))</f>
        <v/>
      </c>
      <c r="H241" s="3">
        <f>IF($E241="","", IF(AND($E241&gt;=INDEX(Calc!$E:$E, MATCH("min_fwd_draft_m", Calc!$C:$C, 0)), $E241&lt;=INDEX(Calc!$E:$E, MATCH("max_fwd_draft_m", Calc!$C:$C, 0)), $G241&lt;=INDEX(Calc!$E:$E, MATCH("theta_max_deg", Calc!$C:$C, 0))), "OK", "CHECK"))</f>
        <v/>
      </c>
      <c r="I241" s="6">
        <f>IF($E241="","", INDEX(Calc!$E:$E, MATCH("D_vessel_m", Calc!$C:$C, 0)) - $E241 + $B241)</f>
        <v/>
      </c>
      <c r="J241" s="6">
        <f>IF($F241="","", INDEX(Calc!$E:$E, MATCH("D_vessel_m", Calc!$C:$C, 0)) - $F241 + $B241)</f>
        <v/>
      </c>
      <c r="K241" s="3">
        <f>IF(D241=0, "Even Keel", "")</f>
        <v/>
      </c>
    </row>
    <row r="242">
      <c r="A242" s="3">
        <f>IF(December_Tide_2025!A242="","",December_Tide_2025!A242)</f>
        <v/>
      </c>
      <c r="B242" s="6">
        <f>IF(December_Tide_2025!B242="","",December_Tide_2025!B242)</f>
        <v/>
      </c>
      <c r="C242" s="6">
        <f>IF($A242="","", INDEX(Calc!$E:$E, MATCH("KminusZ_m", Calc!$C:$C, 0)) + $B242 - INDEX(Calc!$E:$E, MATCH("L_ramp_m", Calc!$C:$C, 0)) * TAN(RADIANS(INDEX(Calc!$E:$E, MATCH("theta_max_deg", Calc!$C:$C, 0)))))</f>
        <v/>
      </c>
      <c r="D242" s="6" t="n"/>
      <c r="E242" s="6">
        <f>IF($C242="","", IF($D242="", $C242, $C242 - $D242/2))</f>
        <v/>
      </c>
      <c r="F242" s="6">
        <f>IF($C242="","", IF($D242="", $C242, $C242 + $D242/2))</f>
        <v/>
      </c>
      <c r="G242" s="6">
        <f>IF($E242="","", DEGREES(ATAN((INDEX(Calc!$E:$E, MATCH("KminusZ_m", Calc!$C:$C, 0)) - $E242 + $B242) / INDEX(Calc!$E:$E, MATCH("L_ramp_m", Calc!$C:$C, 0)))))</f>
        <v/>
      </c>
      <c r="H242" s="3">
        <f>IF($E242="","", IF(AND($E242&gt;=INDEX(Calc!$E:$E, MATCH("min_fwd_draft_m", Calc!$C:$C, 0)), $E242&lt;=INDEX(Calc!$E:$E, MATCH("max_fwd_draft_m", Calc!$C:$C, 0)), $G242&lt;=INDEX(Calc!$E:$E, MATCH("theta_max_deg", Calc!$C:$C, 0))), "OK", "CHECK"))</f>
        <v/>
      </c>
      <c r="I242" s="6">
        <f>IF($E242="","", INDEX(Calc!$E:$E, MATCH("D_vessel_m", Calc!$C:$C, 0)) - $E242 + $B242)</f>
        <v/>
      </c>
      <c r="J242" s="6">
        <f>IF($F242="","", INDEX(Calc!$E:$E, MATCH("D_vessel_m", Calc!$C:$C, 0)) - $F242 + $B242)</f>
        <v/>
      </c>
      <c r="K242" s="3">
        <f>IF(D242=0, "Even Keel", "")</f>
        <v/>
      </c>
    </row>
    <row r="243">
      <c r="A243" s="3">
        <f>IF(December_Tide_2025!A243="","",December_Tide_2025!A243)</f>
        <v/>
      </c>
      <c r="B243" s="6">
        <f>IF(December_Tide_2025!B243="","",December_Tide_2025!B243)</f>
        <v/>
      </c>
      <c r="C243" s="6">
        <f>IF($A243="","", INDEX(Calc!$E:$E, MATCH("KminusZ_m", Calc!$C:$C, 0)) + $B243 - INDEX(Calc!$E:$E, MATCH("L_ramp_m", Calc!$C:$C, 0)) * TAN(RADIANS(INDEX(Calc!$E:$E, MATCH("theta_max_deg", Calc!$C:$C, 0)))))</f>
        <v/>
      </c>
      <c r="D243" s="6" t="n"/>
      <c r="E243" s="6">
        <f>IF($C243="","", IF($D243="", $C243, $C243 - $D243/2))</f>
        <v/>
      </c>
      <c r="F243" s="6">
        <f>IF($C243="","", IF($D243="", $C243, $C243 + $D243/2))</f>
        <v/>
      </c>
      <c r="G243" s="6">
        <f>IF($E243="","", DEGREES(ATAN((INDEX(Calc!$E:$E, MATCH("KminusZ_m", Calc!$C:$C, 0)) - $E243 + $B243) / INDEX(Calc!$E:$E, MATCH("L_ramp_m", Calc!$C:$C, 0)))))</f>
        <v/>
      </c>
      <c r="H243" s="3">
        <f>IF($E243="","", IF(AND($E243&gt;=INDEX(Calc!$E:$E, MATCH("min_fwd_draft_m", Calc!$C:$C, 0)), $E243&lt;=INDEX(Calc!$E:$E, MATCH("max_fwd_draft_m", Calc!$C:$C, 0)), $G243&lt;=INDEX(Calc!$E:$E, MATCH("theta_max_deg", Calc!$C:$C, 0))), "OK", "CHECK"))</f>
        <v/>
      </c>
      <c r="I243" s="6">
        <f>IF($E243="","", INDEX(Calc!$E:$E, MATCH("D_vessel_m", Calc!$C:$C, 0)) - $E243 + $B243)</f>
        <v/>
      </c>
      <c r="J243" s="6">
        <f>IF($F243="","", INDEX(Calc!$E:$E, MATCH("D_vessel_m", Calc!$C:$C, 0)) - $F243 + $B243)</f>
        <v/>
      </c>
      <c r="K243" s="3">
        <f>IF(D243=0, "Even Keel", "")</f>
        <v/>
      </c>
    </row>
    <row r="244">
      <c r="A244" s="3">
        <f>IF(December_Tide_2025!A244="","",December_Tide_2025!A244)</f>
        <v/>
      </c>
      <c r="B244" s="6">
        <f>IF(December_Tide_2025!B244="","",December_Tide_2025!B244)</f>
        <v/>
      </c>
      <c r="C244" s="6">
        <f>IF($A244="","", INDEX(Calc!$E:$E, MATCH("KminusZ_m", Calc!$C:$C, 0)) + $B244 - INDEX(Calc!$E:$E, MATCH("L_ramp_m", Calc!$C:$C, 0)) * TAN(RADIANS(INDEX(Calc!$E:$E, MATCH("theta_max_deg", Calc!$C:$C, 0)))))</f>
        <v/>
      </c>
      <c r="D244" s="6" t="n"/>
      <c r="E244" s="6">
        <f>IF($C244="","", IF($D244="", $C244, $C244 - $D244/2))</f>
        <v/>
      </c>
      <c r="F244" s="6">
        <f>IF($C244="","", IF($D244="", $C244, $C244 + $D244/2))</f>
        <v/>
      </c>
      <c r="G244" s="6">
        <f>IF($E244="","", DEGREES(ATAN((INDEX(Calc!$E:$E, MATCH("KminusZ_m", Calc!$C:$C, 0)) - $E244 + $B244) / INDEX(Calc!$E:$E, MATCH("L_ramp_m", Calc!$C:$C, 0)))))</f>
        <v/>
      </c>
      <c r="H244" s="3">
        <f>IF($E244="","", IF(AND($E244&gt;=INDEX(Calc!$E:$E, MATCH("min_fwd_draft_m", Calc!$C:$C, 0)), $E244&lt;=INDEX(Calc!$E:$E, MATCH("max_fwd_draft_m", Calc!$C:$C, 0)), $G244&lt;=INDEX(Calc!$E:$E, MATCH("theta_max_deg", Calc!$C:$C, 0))), "OK", "CHECK"))</f>
        <v/>
      </c>
      <c r="I244" s="6">
        <f>IF($E244="","", INDEX(Calc!$E:$E, MATCH("D_vessel_m", Calc!$C:$C, 0)) - $E244 + $B244)</f>
        <v/>
      </c>
      <c r="J244" s="6">
        <f>IF($F244="","", INDEX(Calc!$E:$E, MATCH("D_vessel_m", Calc!$C:$C, 0)) - $F244 + $B244)</f>
        <v/>
      </c>
      <c r="K244" s="3">
        <f>IF(D244=0, "Even Keel", "")</f>
        <v/>
      </c>
    </row>
    <row r="245">
      <c r="A245" s="3">
        <f>IF(December_Tide_2025!A245="","",December_Tide_2025!A245)</f>
        <v/>
      </c>
      <c r="B245" s="6">
        <f>IF(December_Tide_2025!B245="","",December_Tide_2025!B245)</f>
        <v/>
      </c>
      <c r="C245" s="6">
        <f>IF($A245="","", INDEX(Calc!$E:$E, MATCH("KminusZ_m", Calc!$C:$C, 0)) + $B245 - INDEX(Calc!$E:$E, MATCH("L_ramp_m", Calc!$C:$C, 0)) * TAN(RADIANS(INDEX(Calc!$E:$E, MATCH("theta_max_deg", Calc!$C:$C, 0)))))</f>
        <v/>
      </c>
      <c r="D245" s="6" t="n"/>
      <c r="E245" s="6">
        <f>IF($C245="","", IF($D245="", $C245, $C245 - $D245/2))</f>
        <v/>
      </c>
      <c r="F245" s="6">
        <f>IF($C245="","", IF($D245="", $C245, $C245 + $D245/2))</f>
        <v/>
      </c>
      <c r="G245" s="6">
        <f>IF($E245="","", DEGREES(ATAN((INDEX(Calc!$E:$E, MATCH("KminusZ_m", Calc!$C:$C, 0)) - $E245 + $B245) / INDEX(Calc!$E:$E, MATCH("L_ramp_m", Calc!$C:$C, 0)))))</f>
        <v/>
      </c>
      <c r="H245" s="3">
        <f>IF($E245="","", IF(AND($E245&gt;=INDEX(Calc!$E:$E, MATCH("min_fwd_draft_m", Calc!$C:$C, 0)), $E245&lt;=INDEX(Calc!$E:$E, MATCH("max_fwd_draft_m", Calc!$C:$C, 0)), $G245&lt;=INDEX(Calc!$E:$E, MATCH("theta_max_deg", Calc!$C:$C, 0))), "OK", "CHECK"))</f>
        <v/>
      </c>
      <c r="I245" s="6">
        <f>IF($E245="","", INDEX(Calc!$E:$E, MATCH("D_vessel_m", Calc!$C:$C, 0)) - $E245 + $B245)</f>
        <v/>
      </c>
      <c r="J245" s="6">
        <f>IF($F245="","", INDEX(Calc!$E:$E, MATCH("D_vessel_m", Calc!$C:$C, 0)) - $F245 + $B245)</f>
        <v/>
      </c>
      <c r="K245" s="3">
        <f>IF(D245=0, "Even Keel", "")</f>
        <v/>
      </c>
    </row>
    <row r="246">
      <c r="A246" s="3">
        <f>IF(December_Tide_2025!A246="","",December_Tide_2025!A246)</f>
        <v/>
      </c>
      <c r="B246" s="6">
        <f>IF(December_Tide_2025!B246="","",December_Tide_2025!B246)</f>
        <v/>
      </c>
      <c r="C246" s="6">
        <f>IF($A246="","", INDEX(Calc!$E:$E, MATCH("KminusZ_m", Calc!$C:$C, 0)) + $B246 - INDEX(Calc!$E:$E, MATCH("L_ramp_m", Calc!$C:$C, 0)) * TAN(RADIANS(INDEX(Calc!$E:$E, MATCH("theta_max_deg", Calc!$C:$C, 0)))))</f>
        <v/>
      </c>
      <c r="D246" s="6" t="n"/>
      <c r="E246" s="6">
        <f>IF($C246="","", IF($D246="", $C246, $C246 - $D246/2))</f>
        <v/>
      </c>
      <c r="F246" s="6">
        <f>IF($C246="","", IF($D246="", $C246, $C246 + $D246/2))</f>
        <v/>
      </c>
      <c r="G246" s="6">
        <f>IF($E246="","", DEGREES(ATAN((INDEX(Calc!$E:$E, MATCH("KminusZ_m", Calc!$C:$C, 0)) - $E246 + $B246) / INDEX(Calc!$E:$E, MATCH("L_ramp_m", Calc!$C:$C, 0)))))</f>
        <v/>
      </c>
      <c r="H246" s="3">
        <f>IF($E246="","", IF(AND($E246&gt;=INDEX(Calc!$E:$E, MATCH("min_fwd_draft_m", Calc!$C:$C, 0)), $E246&lt;=INDEX(Calc!$E:$E, MATCH("max_fwd_draft_m", Calc!$C:$C, 0)), $G246&lt;=INDEX(Calc!$E:$E, MATCH("theta_max_deg", Calc!$C:$C, 0))), "OK", "CHECK"))</f>
        <v/>
      </c>
      <c r="I246" s="6">
        <f>IF($E246="","", INDEX(Calc!$E:$E, MATCH("D_vessel_m", Calc!$C:$C, 0)) - $E246 + $B246)</f>
        <v/>
      </c>
      <c r="J246" s="6">
        <f>IF($F246="","", INDEX(Calc!$E:$E, MATCH("D_vessel_m", Calc!$C:$C, 0)) - $F246 + $B246)</f>
        <v/>
      </c>
      <c r="K246" s="3">
        <f>IF(D246=0, "Even Keel", "")</f>
        <v/>
      </c>
    </row>
    <row r="247">
      <c r="A247" s="3">
        <f>IF(December_Tide_2025!A247="","",December_Tide_2025!A247)</f>
        <v/>
      </c>
      <c r="B247" s="6">
        <f>IF(December_Tide_2025!B247="","",December_Tide_2025!B247)</f>
        <v/>
      </c>
      <c r="C247" s="6">
        <f>IF($A247="","", INDEX(Calc!$E:$E, MATCH("KminusZ_m", Calc!$C:$C, 0)) + $B247 - INDEX(Calc!$E:$E, MATCH("L_ramp_m", Calc!$C:$C, 0)) * TAN(RADIANS(INDEX(Calc!$E:$E, MATCH("theta_max_deg", Calc!$C:$C, 0)))))</f>
        <v/>
      </c>
      <c r="D247" s="6" t="n"/>
      <c r="E247" s="6">
        <f>IF($C247="","", IF($D247="", $C247, $C247 - $D247/2))</f>
        <v/>
      </c>
      <c r="F247" s="6">
        <f>IF($C247="","", IF($D247="", $C247, $C247 + $D247/2))</f>
        <v/>
      </c>
      <c r="G247" s="6">
        <f>IF($E247="","", DEGREES(ATAN((INDEX(Calc!$E:$E, MATCH("KminusZ_m", Calc!$C:$C, 0)) - $E247 + $B247) / INDEX(Calc!$E:$E, MATCH("L_ramp_m", Calc!$C:$C, 0)))))</f>
        <v/>
      </c>
      <c r="H247" s="3">
        <f>IF($E247="","", IF(AND($E247&gt;=INDEX(Calc!$E:$E, MATCH("min_fwd_draft_m", Calc!$C:$C, 0)), $E247&lt;=INDEX(Calc!$E:$E, MATCH("max_fwd_draft_m", Calc!$C:$C, 0)), $G247&lt;=INDEX(Calc!$E:$E, MATCH("theta_max_deg", Calc!$C:$C, 0))), "OK", "CHECK"))</f>
        <v/>
      </c>
      <c r="I247" s="6">
        <f>IF($E247="","", INDEX(Calc!$E:$E, MATCH("D_vessel_m", Calc!$C:$C, 0)) - $E247 + $B247)</f>
        <v/>
      </c>
      <c r="J247" s="6">
        <f>IF($F247="","", INDEX(Calc!$E:$E, MATCH("D_vessel_m", Calc!$C:$C, 0)) - $F247 + $B247)</f>
        <v/>
      </c>
      <c r="K247" s="3">
        <f>IF(D247=0, "Even Keel", "")</f>
        <v/>
      </c>
    </row>
    <row r="248">
      <c r="A248" s="3">
        <f>IF(December_Tide_2025!A248="","",December_Tide_2025!A248)</f>
        <v/>
      </c>
      <c r="B248" s="6">
        <f>IF(December_Tide_2025!B248="","",December_Tide_2025!B248)</f>
        <v/>
      </c>
      <c r="C248" s="6">
        <f>IF($A248="","", INDEX(Calc!$E:$E, MATCH("KminusZ_m", Calc!$C:$C, 0)) + $B248 - INDEX(Calc!$E:$E, MATCH("L_ramp_m", Calc!$C:$C, 0)) * TAN(RADIANS(INDEX(Calc!$E:$E, MATCH("theta_max_deg", Calc!$C:$C, 0)))))</f>
        <v/>
      </c>
      <c r="D248" s="6" t="n"/>
      <c r="E248" s="6">
        <f>IF($C248="","", IF($D248="", $C248, $C248 - $D248/2))</f>
        <v/>
      </c>
      <c r="F248" s="6">
        <f>IF($C248="","", IF($D248="", $C248, $C248 + $D248/2))</f>
        <v/>
      </c>
      <c r="G248" s="6">
        <f>IF($E248="","", DEGREES(ATAN((INDEX(Calc!$E:$E, MATCH("KminusZ_m", Calc!$C:$C, 0)) - $E248 + $B248) / INDEX(Calc!$E:$E, MATCH("L_ramp_m", Calc!$C:$C, 0)))))</f>
        <v/>
      </c>
      <c r="H248" s="3">
        <f>IF($E248="","", IF(AND($E248&gt;=INDEX(Calc!$E:$E, MATCH("min_fwd_draft_m", Calc!$C:$C, 0)), $E248&lt;=INDEX(Calc!$E:$E, MATCH("max_fwd_draft_m", Calc!$C:$C, 0)), $G248&lt;=INDEX(Calc!$E:$E, MATCH("theta_max_deg", Calc!$C:$C, 0))), "OK", "CHECK"))</f>
        <v/>
      </c>
      <c r="I248" s="6">
        <f>IF($E248="","", INDEX(Calc!$E:$E, MATCH("D_vessel_m", Calc!$C:$C, 0)) - $E248 + $B248)</f>
        <v/>
      </c>
      <c r="J248" s="6">
        <f>IF($F248="","", INDEX(Calc!$E:$E, MATCH("D_vessel_m", Calc!$C:$C, 0)) - $F248 + $B248)</f>
        <v/>
      </c>
      <c r="K248" s="3">
        <f>IF(D248=0, "Even Keel", "")</f>
        <v/>
      </c>
    </row>
    <row r="249">
      <c r="A249" s="3">
        <f>IF(December_Tide_2025!A249="","",December_Tide_2025!A249)</f>
        <v/>
      </c>
      <c r="B249" s="6">
        <f>IF(December_Tide_2025!B249="","",December_Tide_2025!B249)</f>
        <v/>
      </c>
      <c r="C249" s="6">
        <f>IF($A249="","", INDEX(Calc!$E:$E, MATCH("KminusZ_m", Calc!$C:$C, 0)) + $B249 - INDEX(Calc!$E:$E, MATCH("L_ramp_m", Calc!$C:$C, 0)) * TAN(RADIANS(INDEX(Calc!$E:$E, MATCH("theta_max_deg", Calc!$C:$C, 0)))))</f>
        <v/>
      </c>
      <c r="D249" s="6" t="n"/>
      <c r="E249" s="6">
        <f>IF($C249="","", IF($D249="", $C249, $C249 - $D249/2))</f>
        <v/>
      </c>
      <c r="F249" s="6">
        <f>IF($C249="","", IF($D249="", $C249, $C249 + $D249/2))</f>
        <v/>
      </c>
      <c r="G249" s="6">
        <f>IF($E249="","", DEGREES(ATAN((INDEX(Calc!$E:$E, MATCH("KminusZ_m", Calc!$C:$C, 0)) - $E249 + $B249) / INDEX(Calc!$E:$E, MATCH("L_ramp_m", Calc!$C:$C, 0)))))</f>
        <v/>
      </c>
      <c r="H249" s="3">
        <f>IF($E249="","", IF(AND($E249&gt;=INDEX(Calc!$E:$E, MATCH("min_fwd_draft_m", Calc!$C:$C, 0)), $E249&lt;=INDEX(Calc!$E:$E, MATCH("max_fwd_draft_m", Calc!$C:$C, 0)), $G249&lt;=INDEX(Calc!$E:$E, MATCH("theta_max_deg", Calc!$C:$C, 0))), "OK", "CHECK"))</f>
        <v/>
      </c>
      <c r="I249" s="6">
        <f>IF($E249="","", INDEX(Calc!$E:$E, MATCH("D_vessel_m", Calc!$C:$C, 0)) - $E249 + $B249)</f>
        <v/>
      </c>
      <c r="J249" s="6">
        <f>IF($F249="","", INDEX(Calc!$E:$E, MATCH("D_vessel_m", Calc!$C:$C, 0)) - $F249 + $B249)</f>
        <v/>
      </c>
      <c r="K249" s="3">
        <f>IF(D249=0, "Even Keel", "")</f>
        <v/>
      </c>
    </row>
    <row r="250">
      <c r="A250" s="3">
        <f>IF(December_Tide_2025!A250="","",December_Tide_2025!A250)</f>
        <v/>
      </c>
      <c r="B250" s="6">
        <f>IF(December_Tide_2025!B250="","",December_Tide_2025!B250)</f>
        <v/>
      </c>
      <c r="C250" s="6">
        <f>IF($A250="","", INDEX(Calc!$E:$E, MATCH("KminusZ_m", Calc!$C:$C, 0)) + $B250 - INDEX(Calc!$E:$E, MATCH("L_ramp_m", Calc!$C:$C, 0)) * TAN(RADIANS(INDEX(Calc!$E:$E, MATCH("theta_max_deg", Calc!$C:$C, 0)))))</f>
        <v/>
      </c>
      <c r="D250" s="6" t="n"/>
      <c r="E250" s="6">
        <f>IF($C250="","", IF($D250="", $C250, $C250 - $D250/2))</f>
        <v/>
      </c>
      <c r="F250" s="6">
        <f>IF($C250="","", IF($D250="", $C250, $C250 + $D250/2))</f>
        <v/>
      </c>
      <c r="G250" s="6">
        <f>IF($E250="","", DEGREES(ATAN((INDEX(Calc!$E:$E, MATCH("KminusZ_m", Calc!$C:$C, 0)) - $E250 + $B250) / INDEX(Calc!$E:$E, MATCH("L_ramp_m", Calc!$C:$C, 0)))))</f>
        <v/>
      </c>
      <c r="H250" s="3">
        <f>IF($E250="","", IF(AND($E250&gt;=INDEX(Calc!$E:$E, MATCH("min_fwd_draft_m", Calc!$C:$C, 0)), $E250&lt;=INDEX(Calc!$E:$E, MATCH("max_fwd_draft_m", Calc!$C:$C, 0)), $G250&lt;=INDEX(Calc!$E:$E, MATCH("theta_max_deg", Calc!$C:$C, 0))), "OK", "CHECK"))</f>
        <v/>
      </c>
      <c r="I250" s="6">
        <f>IF($E250="","", INDEX(Calc!$E:$E, MATCH("D_vessel_m", Calc!$C:$C, 0)) - $E250 + $B250)</f>
        <v/>
      </c>
      <c r="J250" s="6">
        <f>IF($F250="","", INDEX(Calc!$E:$E, MATCH("D_vessel_m", Calc!$C:$C, 0)) - $F250 + $B250)</f>
        <v/>
      </c>
      <c r="K250" s="3">
        <f>IF(D250=0, "Even Keel", "")</f>
        <v/>
      </c>
    </row>
    <row r="251">
      <c r="A251" s="3">
        <f>IF(December_Tide_2025!A251="","",December_Tide_2025!A251)</f>
        <v/>
      </c>
      <c r="B251" s="6">
        <f>IF(December_Tide_2025!B251="","",December_Tide_2025!B251)</f>
        <v/>
      </c>
      <c r="C251" s="6">
        <f>IF($A251="","", INDEX(Calc!$E:$E, MATCH("KminusZ_m", Calc!$C:$C, 0)) + $B251 - INDEX(Calc!$E:$E, MATCH("L_ramp_m", Calc!$C:$C, 0)) * TAN(RADIANS(INDEX(Calc!$E:$E, MATCH("theta_max_deg", Calc!$C:$C, 0)))))</f>
        <v/>
      </c>
      <c r="D251" s="6" t="n"/>
      <c r="E251" s="6">
        <f>IF($C251="","", IF($D251="", $C251, $C251 - $D251/2))</f>
        <v/>
      </c>
      <c r="F251" s="6">
        <f>IF($C251="","", IF($D251="", $C251, $C251 + $D251/2))</f>
        <v/>
      </c>
      <c r="G251" s="6">
        <f>IF($E251="","", DEGREES(ATAN((INDEX(Calc!$E:$E, MATCH("KminusZ_m", Calc!$C:$C, 0)) - $E251 + $B251) / INDEX(Calc!$E:$E, MATCH("L_ramp_m", Calc!$C:$C, 0)))))</f>
        <v/>
      </c>
      <c r="H251" s="3">
        <f>IF($E251="","", IF(AND($E251&gt;=INDEX(Calc!$E:$E, MATCH("min_fwd_draft_m", Calc!$C:$C, 0)), $E251&lt;=INDEX(Calc!$E:$E, MATCH("max_fwd_draft_m", Calc!$C:$C, 0)), $G251&lt;=INDEX(Calc!$E:$E, MATCH("theta_max_deg", Calc!$C:$C, 0))), "OK", "CHECK"))</f>
        <v/>
      </c>
      <c r="I251" s="6">
        <f>IF($E251="","", INDEX(Calc!$E:$E, MATCH("D_vessel_m", Calc!$C:$C, 0)) - $E251 + $B251)</f>
        <v/>
      </c>
      <c r="J251" s="6">
        <f>IF($F251="","", INDEX(Calc!$E:$E, MATCH("D_vessel_m", Calc!$C:$C, 0)) - $F251 + $B251)</f>
        <v/>
      </c>
      <c r="K251" s="3">
        <f>IF(D251=0, "Even Keel", "")</f>
        <v/>
      </c>
    </row>
    <row r="252">
      <c r="A252" s="3">
        <f>IF(December_Tide_2025!A252="","",December_Tide_2025!A252)</f>
        <v/>
      </c>
      <c r="B252" s="6">
        <f>IF(December_Tide_2025!B252="","",December_Tide_2025!B252)</f>
        <v/>
      </c>
      <c r="C252" s="6">
        <f>IF($A252="","", INDEX(Calc!$E:$E, MATCH("KminusZ_m", Calc!$C:$C, 0)) + $B252 - INDEX(Calc!$E:$E, MATCH("L_ramp_m", Calc!$C:$C, 0)) * TAN(RADIANS(INDEX(Calc!$E:$E, MATCH("theta_max_deg", Calc!$C:$C, 0)))))</f>
        <v/>
      </c>
      <c r="D252" s="6" t="n"/>
      <c r="E252" s="6">
        <f>IF($C252="","", IF($D252="", $C252, $C252 - $D252/2))</f>
        <v/>
      </c>
      <c r="F252" s="6">
        <f>IF($C252="","", IF($D252="", $C252, $C252 + $D252/2))</f>
        <v/>
      </c>
      <c r="G252" s="6">
        <f>IF($E252="","", DEGREES(ATAN((INDEX(Calc!$E:$E, MATCH("KminusZ_m", Calc!$C:$C, 0)) - $E252 + $B252) / INDEX(Calc!$E:$E, MATCH("L_ramp_m", Calc!$C:$C, 0)))))</f>
        <v/>
      </c>
      <c r="H252" s="3">
        <f>IF($E252="","", IF(AND($E252&gt;=INDEX(Calc!$E:$E, MATCH("min_fwd_draft_m", Calc!$C:$C, 0)), $E252&lt;=INDEX(Calc!$E:$E, MATCH("max_fwd_draft_m", Calc!$C:$C, 0)), $G252&lt;=INDEX(Calc!$E:$E, MATCH("theta_max_deg", Calc!$C:$C, 0))), "OK", "CHECK"))</f>
        <v/>
      </c>
      <c r="I252" s="6">
        <f>IF($E252="","", INDEX(Calc!$E:$E, MATCH("D_vessel_m", Calc!$C:$C, 0)) - $E252 + $B252)</f>
        <v/>
      </c>
      <c r="J252" s="6">
        <f>IF($F252="","", INDEX(Calc!$E:$E, MATCH("D_vessel_m", Calc!$C:$C, 0)) - $F252 + $B252)</f>
        <v/>
      </c>
      <c r="K252" s="3">
        <f>IF(D252=0, "Even Keel", "")</f>
        <v/>
      </c>
    </row>
    <row r="253">
      <c r="A253" s="3">
        <f>IF(December_Tide_2025!A253="","",December_Tide_2025!A253)</f>
        <v/>
      </c>
      <c r="B253" s="6">
        <f>IF(December_Tide_2025!B253="","",December_Tide_2025!B253)</f>
        <v/>
      </c>
      <c r="C253" s="6">
        <f>IF($A253="","", INDEX(Calc!$E:$E, MATCH("KminusZ_m", Calc!$C:$C, 0)) + $B253 - INDEX(Calc!$E:$E, MATCH("L_ramp_m", Calc!$C:$C, 0)) * TAN(RADIANS(INDEX(Calc!$E:$E, MATCH("theta_max_deg", Calc!$C:$C, 0)))))</f>
        <v/>
      </c>
      <c r="D253" s="6" t="n"/>
      <c r="E253" s="6">
        <f>IF($C253="","", IF($D253="", $C253, $C253 - $D253/2))</f>
        <v/>
      </c>
      <c r="F253" s="6">
        <f>IF($C253="","", IF($D253="", $C253, $C253 + $D253/2))</f>
        <v/>
      </c>
      <c r="G253" s="6">
        <f>IF($E253="","", DEGREES(ATAN((INDEX(Calc!$E:$E, MATCH("KminusZ_m", Calc!$C:$C, 0)) - $E253 + $B253) / INDEX(Calc!$E:$E, MATCH("L_ramp_m", Calc!$C:$C, 0)))))</f>
        <v/>
      </c>
      <c r="H253" s="3">
        <f>IF($E253="","", IF(AND($E253&gt;=INDEX(Calc!$E:$E, MATCH("min_fwd_draft_m", Calc!$C:$C, 0)), $E253&lt;=INDEX(Calc!$E:$E, MATCH("max_fwd_draft_m", Calc!$C:$C, 0)), $G253&lt;=INDEX(Calc!$E:$E, MATCH("theta_max_deg", Calc!$C:$C, 0))), "OK", "CHECK"))</f>
        <v/>
      </c>
      <c r="I253" s="6">
        <f>IF($E253="","", INDEX(Calc!$E:$E, MATCH("D_vessel_m", Calc!$C:$C, 0)) - $E253 + $B253)</f>
        <v/>
      </c>
      <c r="J253" s="6">
        <f>IF($F253="","", INDEX(Calc!$E:$E, MATCH("D_vessel_m", Calc!$C:$C, 0)) - $F253 + $B253)</f>
        <v/>
      </c>
      <c r="K253" s="3">
        <f>IF(D253=0, "Even Keel", "")</f>
        <v/>
      </c>
    </row>
    <row r="254">
      <c r="A254" s="3">
        <f>IF(December_Tide_2025!A254="","",December_Tide_2025!A254)</f>
        <v/>
      </c>
      <c r="B254" s="6">
        <f>IF(December_Tide_2025!B254="","",December_Tide_2025!B254)</f>
        <v/>
      </c>
      <c r="C254" s="6">
        <f>IF($A254="","", INDEX(Calc!$E:$E, MATCH("KminusZ_m", Calc!$C:$C, 0)) + $B254 - INDEX(Calc!$E:$E, MATCH("L_ramp_m", Calc!$C:$C, 0)) * TAN(RADIANS(INDEX(Calc!$E:$E, MATCH("theta_max_deg", Calc!$C:$C, 0)))))</f>
        <v/>
      </c>
      <c r="D254" s="6" t="n"/>
      <c r="E254" s="6">
        <f>IF($C254="","", IF($D254="", $C254, $C254 - $D254/2))</f>
        <v/>
      </c>
      <c r="F254" s="6">
        <f>IF($C254="","", IF($D254="", $C254, $C254 + $D254/2))</f>
        <v/>
      </c>
      <c r="G254" s="6">
        <f>IF($E254="","", DEGREES(ATAN((INDEX(Calc!$E:$E, MATCH("KminusZ_m", Calc!$C:$C, 0)) - $E254 + $B254) / INDEX(Calc!$E:$E, MATCH("L_ramp_m", Calc!$C:$C, 0)))))</f>
        <v/>
      </c>
      <c r="H254" s="3">
        <f>IF($E254="","", IF(AND($E254&gt;=INDEX(Calc!$E:$E, MATCH("min_fwd_draft_m", Calc!$C:$C, 0)), $E254&lt;=INDEX(Calc!$E:$E, MATCH("max_fwd_draft_m", Calc!$C:$C, 0)), $G254&lt;=INDEX(Calc!$E:$E, MATCH("theta_max_deg", Calc!$C:$C, 0))), "OK", "CHECK"))</f>
        <v/>
      </c>
      <c r="I254" s="6">
        <f>IF($E254="","", INDEX(Calc!$E:$E, MATCH("D_vessel_m", Calc!$C:$C, 0)) - $E254 + $B254)</f>
        <v/>
      </c>
      <c r="J254" s="6">
        <f>IF($F254="","", INDEX(Calc!$E:$E, MATCH("D_vessel_m", Calc!$C:$C, 0)) - $F254 + $B254)</f>
        <v/>
      </c>
      <c r="K254" s="3">
        <f>IF(D254=0, "Even Keel", "")</f>
        <v/>
      </c>
    </row>
    <row r="255">
      <c r="A255" s="3">
        <f>IF(December_Tide_2025!A255="","",December_Tide_2025!A255)</f>
        <v/>
      </c>
      <c r="B255" s="6">
        <f>IF(December_Tide_2025!B255="","",December_Tide_2025!B255)</f>
        <v/>
      </c>
      <c r="C255" s="6">
        <f>IF($A255="","", INDEX(Calc!$E:$E, MATCH("KminusZ_m", Calc!$C:$C, 0)) + $B255 - INDEX(Calc!$E:$E, MATCH("L_ramp_m", Calc!$C:$C, 0)) * TAN(RADIANS(INDEX(Calc!$E:$E, MATCH("theta_max_deg", Calc!$C:$C, 0)))))</f>
        <v/>
      </c>
      <c r="D255" s="6" t="n"/>
      <c r="E255" s="6">
        <f>IF($C255="","", IF($D255="", $C255, $C255 - $D255/2))</f>
        <v/>
      </c>
      <c r="F255" s="6">
        <f>IF($C255="","", IF($D255="", $C255, $C255 + $D255/2))</f>
        <v/>
      </c>
      <c r="G255" s="6">
        <f>IF($E255="","", DEGREES(ATAN((INDEX(Calc!$E:$E, MATCH("KminusZ_m", Calc!$C:$C, 0)) - $E255 + $B255) / INDEX(Calc!$E:$E, MATCH("L_ramp_m", Calc!$C:$C, 0)))))</f>
        <v/>
      </c>
      <c r="H255" s="3">
        <f>IF($E255="","", IF(AND($E255&gt;=INDEX(Calc!$E:$E, MATCH("min_fwd_draft_m", Calc!$C:$C, 0)), $E255&lt;=INDEX(Calc!$E:$E, MATCH("max_fwd_draft_m", Calc!$C:$C, 0)), $G255&lt;=INDEX(Calc!$E:$E, MATCH("theta_max_deg", Calc!$C:$C, 0))), "OK", "CHECK"))</f>
        <v/>
      </c>
      <c r="I255" s="6">
        <f>IF($E255="","", INDEX(Calc!$E:$E, MATCH("D_vessel_m", Calc!$C:$C, 0)) - $E255 + $B255)</f>
        <v/>
      </c>
      <c r="J255" s="6">
        <f>IF($F255="","", INDEX(Calc!$E:$E, MATCH("D_vessel_m", Calc!$C:$C, 0)) - $F255 + $B255)</f>
        <v/>
      </c>
      <c r="K255" s="3">
        <f>IF(D255=0, "Even Keel", "")</f>
        <v/>
      </c>
    </row>
    <row r="256">
      <c r="A256" s="3">
        <f>IF(December_Tide_2025!A256="","",December_Tide_2025!A256)</f>
        <v/>
      </c>
      <c r="B256" s="6">
        <f>IF(December_Tide_2025!B256="","",December_Tide_2025!B256)</f>
        <v/>
      </c>
      <c r="C256" s="6">
        <f>IF($A256="","", INDEX(Calc!$E:$E, MATCH("KminusZ_m", Calc!$C:$C, 0)) + $B256 - INDEX(Calc!$E:$E, MATCH("L_ramp_m", Calc!$C:$C, 0)) * TAN(RADIANS(INDEX(Calc!$E:$E, MATCH("theta_max_deg", Calc!$C:$C, 0)))))</f>
        <v/>
      </c>
      <c r="D256" s="6" t="n"/>
      <c r="E256" s="6">
        <f>IF($C256="","", IF($D256="", $C256, $C256 - $D256/2))</f>
        <v/>
      </c>
      <c r="F256" s="6">
        <f>IF($C256="","", IF($D256="", $C256, $C256 + $D256/2))</f>
        <v/>
      </c>
      <c r="G256" s="6">
        <f>IF($E256="","", DEGREES(ATAN((INDEX(Calc!$E:$E, MATCH("KminusZ_m", Calc!$C:$C, 0)) - $E256 + $B256) / INDEX(Calc!$E:$E, MATCH("L_ramp_m", Calc!$C:$C, 0)))))</f>
        <v/>
      </c>
      <c r="H256" s="3">
        <f>IF($E256="","", IF(AND($E256&gt;=INDEX(Calc!$E:$E, MATCH("min_fwd_draft_m", Calc!$C:$C, 0)), $E256&lt;=INDEX(Calc!$E:$E, MATCH("max_fwd_draft_m", Calc!$C:$C, 0)), $G256&lt;=INDEX(Calc!$E:$E, MATCH("theta_max_deg", Calc!$C:$C, 0))), "OK", "CHECK"))</f>
        <v/>
      </c>
      <c r="I256" s="6">
        <f>IF($E256="","", INDEX(Calc!$E:$E, MATCH("D_vessel_m", Calc!$C:$C, 0)) - $E256 + $B256)</f>
        <v/>
      </c>
      <c r="J256" s="6">
        <f>IF($F256="","", INDEX(Calc!$E:$E, MATCH("D_vessel_m", Calc!$C:$C, 0)) - $F256 + $B256)</f>
        <v/>
      </c>
      <c r="K256" s="3">
        <f>IF(D256=0, "Even Keel", "")</f>
        <v/>
      </c>
    </row>
    <row r="257">
      <c r="A257" s="3">
        <f>IF(December_Tide_2025!A257="","",December_Tide_2025!A257)</f>
        <v/>
      </c>
      <c r="B257" s="6">
        <f>IF(December_Tide_2025!B257="","",December_Tide_2025!B257)</f>
        <v/>
      </c>
      <c r="C257" s="6">
        <f>IF($A257="","", INDEX(Calc!$E:$E, MATCH("KminusZ_m", Calc!$C:$C, 0)) + $B257 - INDEX(Calc!$E:$E, MATCH("L_ramp_m", Calc!$C:$C, 0)) * TAN(RADIANS(INDEX(Calc!$E:$E, MATCH("theta_max_deg", Calc!$C:$C, 0)))))</f>
        <v/>
      </c>
      <c r="D257" s="6" t="n"/>
      <c r="E257" s="6">
        <f>IF($C257="","", IF($D257="", $C257, $C257 - $D257/2))</f>
        <v/>
      </c>
      <c r="F257" s="6">
        <f>IF($C257="","", IF($D257="", $C257, $C257 + $D257/2))</f>
        <v/>
      </c>
      <c r="G257" s="6">
        <f>IF($E257="","", DEGREES(ATAN((INDEX(Calc!$E:$E, MATCH("KminusZ_m", Calc!$C:$C, 0)) - $E257 + $B257) / INDEX(Calc!$E:$E, MATCH("L_ramp_m", Calc!$C:$C, 0)))))</f>
        <v/>
      </c>
      <c r="H257" s="3">
        <f>IF($E257="","", IF(AND($E257&gt;=INDEX(Calc!$E:$E, MATCH("min_fwd_draft_m", Calc!$C:$C, 0)), $E257&lt;=INDEX(Calc!$E:$E, MATCH("max_fwd_draft_m", Calc!$C:$C, 0)), $G257&lt;=INDEX(Calc!$E:$E, MATCH("theta_max_deg", Calc!$C:$C, 0))), "OK", "CHECK"))</f>
        <v/>
      </c>
      <c r="I257" s="6">
        <f>IF($E257="","", INDEX(Calc!$E:$E, MATCH("D_vessel_m", Calc!$C:$C, 0)) - $E257 + $B257)</f>
        <v/>
      </c>
      <c r="J257" s="6">
        <f>IF($F257="","", INDEX(Calc!$E:$E, MATCH("D_vessel_m", Calc!$C:$C, 0)) - $F257 + $B257)</f>
        <v/>
      </c>
      <c r="K257" s="3">
        <f>IF(D257=0, "Even Keel", "")</f>
        <v/>
      </c>
    </row>
    <row r="258">
      <c r="A258" s="3">
        <f>IF(December_Tide_2025!A258="","",December_Tide_2025!A258)</f>
        <v/>
      </c>
      <c r="B258" s="6">
        <f>IF(December_Tide_2025!B258="","",December_Tide_2025!B258)</f>
        <v/>
      </c>
      <c r="C258" s="6">
        <f>IF($A258="","", INDEX(Calc!$E:$E, MATCH("KminusZ_m", Calc!$C:$C, 0)) + $B258 - INDEX(Calc!$E:$E, MATCH("L_ramp_m", Calc!$C:$C, 0)) * TAN(RADIANS(INDEX(Calc!$E:$E, MATCH("theta_max_deg", Calc!$C:$C, 0)))))</f>
        <v/>
      </c>
      <c r="D258" s="6" t="n"/>
      <c r="E258" s="6">
        <f>IF($C258="","", IF($D258="", $C258, $C258 - $D258/2))</f>
        <v/>
      </c>
      <c r="F258" s="6">
        <f>IF($C258="","", IF($D258="", $C258, $C258 + $D258/2))</f>
        <v/>
      </c>
      <c r="G258" s="6">
        <f>IF($E258="","", DEGREES(ATAN((INDEX(Calc!$E:$E, MATCH("KminusZ_m", Calc!$C:$C, 0)) - $E258 + $B258) / INDEX(Calc!$E:$E, MATCH("L_ramp_m", Calc!$C:$C, 0)))))</f>
        <v/>
      </c>
      <c r="H258" s="3">
        <f>IF($E258="","", IF(AND($E258&gt;=INDEX(Calc!$E:$E, MATCH("min_fwd_draft_m", Calc!$C:$C, 0)), $E258&lt;=INDEX(Calc!$E:$E, MATCH("max_fwd_draft_m", Calc!$C:$C, 0)), $G258&lt;=INDEX(Calc!$E:$E, MATCH("theta_max_deg", Calc!$C:$C, 0))), "OK", "CHECK"))</f>
        <v/>
      </c>
      <c r="I258" s="6">
        <f>IF($E258="","", INDEX(Calc!$E:$E, MATCH("D_vessel_m", Calc!$C:$C, 0)) - $E258 + $B258)</f>
        <v/>
      </c>
      <c r="J258" s="6">
        <f>IF($F258="","", INDEX(Calc!$E:$E, MATCH("D_vessel_m", Calc!$C:$C, 0)) - $F258 + $B258)</f>
        <v/>
      </c>
      <c r="K258" s="3">
        <f>IF(D258=0, "Even Keel", "")</f>
        <v/>
      </c>
    </row>
    <row r="259">
      <c r="A259" s="3">
        <f>IF(December_Tide_2025!A259="","",December_Tide_2025!A259)</f>
        <v/>
      </c>
      <c r="B259" s="6">
        <f>IF(December_Tide_2025!B259="","",December_Tide_2025!B259)</f>
        <v/>
      </c>
      <c r="C259" s="6">
        <f>IF($A259="","", INDEX(Calc!$E:$E, MATCH("KminusZ_m", Calc!$C:$C, 0)) + $B259 - INDEX(Calc!$E:$E, MATCH("L_ramp_m", Calc!$C:$C, 0)) * TAN(RADIANS(INDEX(Calc!$E:$E, MATCH("theta_max_deg", Calc!$C:$C, 0)))))</f>
        <v/>
      </c>
      <c r="D259" s="6" t="n"/>
      <c r="E259" s="6">
        <f>IF($C259="","", IF($D259="", $C259, $C259 - $D259/2))</f>
        <v/>
      </c>
      <c r="F259" s="6">
        <f>IF($C259="","", IF($D259="", $C259, $C259 + $D259/2))</f>
        <v/>
      </c>
      <c r="G259" s="6">
        <f>IF($E259="","", DEGREES(ATAN((INDEX(Calc!$E:$E, MATCH("KminusZ_m", Calc!$C:$C, 0)) - $E259 + $B259) / INDEX(Calc!$E:$E, MATCH("L_ramp_m", Calc!$C:$C, 0)))))</f>
        <v/>
      </c>
      <c r="H259" s="3">
        <f>IF($E259="","", IF(AND($E259&gt;=INDEX(Calc!$E:$E, MATCH("min_fwd_draft_m", Calc!$C:$C, 0)), $E259&lt;=INDEX(Calc!$E:$E, MATCH("max_fwd_draft_m", Calc!$C:$C, 0)), $G259&lt;=INDEX(Calc!$E:$E, MATCH("theta_max_deg", Calc!$C:$C, 0))), "OK", "CHECK"))</f>
        <v/>
      </c>
      <c r="I259" s="6">
        <f>IF($E259="","", INDEX(Calc!$E:$E, MATCH("D_vessel_m", Calc!$C:$C, 0)) - $E259 + $B259)</f>
        <v/>
      </c>
      <c r="J259" s="6">
        <f>IF($F259="","", INDEX(Calc!$E:$E, MATCH("D_vessel_m", Calc!$C:$C, 0)) - $F259 + $B259)</f>
        <v/>
      </c>
      <c r="K259" s="3">
        <f>IF(D259=0, "Even Keel", "")</f>
        <v/>
      </c>
    </row>
    <row r="260">
      <c r="A260" s="3">
        <f>IF(December_Tide_2025!A260="","",December_Tide_2025!A260)</f>
        <v/>
      </c>
      <c r="B260" s="6">
        <f>IF(December_Tide_2025!B260="","",December_Tide_2025!B260)</f>
        <v/>
      </c>
      <c r="C260" s="6">
        <f>IF($A260="","", INDEX(Calc!$E:$E, MATCH("KminusZ_m", Calc!$C:$C, 0)) + $B260 - INDEX(Calc!$E:$E, MATCH("L_ramp_m", Calc!$C:$C, 0)) * TAN(RADIANS(INDEX(Calc!$E:$E, MATCH("theta_max_deg", Calc!$C:$C, 0)))))</f>
        <v/>
      </c>
      <c r="D260" s="6" t="n"/>
      <c r="E260" s="6">
        <f>IF($C260="","", IF($D260="", $C260, $C260 - $D260/2))</f>
        <v/>
      </c>
      <c r="F260" s="6">
        <f>IF($C260="","", IF($D260="", $C260, $C260 + $D260/2))</f>
        <v/>
      </c>
      <c r="G260" s="6">
        <f>IF($E260="","", DEGREES(ATAN((INDEX(Calc!$E:$E, MATCH("KminusZ_m", Calc!$C:$C, 0)) - $E260 + $B260) / INDEX(Calc!$E:$E, MATCH("L_ramp_m", Calc!$C:$C, 0)))))</f>
        <v/>
      </c>
      <c r="H260" s="3">
        <f>IF($E260="","", IF(AND($E260&gt;=INDEX(Calc!$E:$E, MATCH("min_fwd_draft_m", Calc!$C:$C, 0)), $E260&lt;=INDEX(Calc!$E:$E, MATCH("max_fwd_draft_m", Calc!$C:$C, 0)), $G260&lt;=INDEX(Calc!$E:$E, MATCH("theta_max_deg", Calc!$C:$C, 0))), "OK", "CHECK"))</f>
        <v/>
      </c>
      <c r="I260" s="6">
        <f>IF($E260="","", INDEX(Calc!$E:$E, MATCH("D_vessel_m", Calc!$C:$C, 0)) - $E260 + $B260)</f>
        <v/>
      </c>
      <c r="J260" s="6">
        <f>IF($F260="","", INDEX(Calc!$E:$E, MATCH("D_vessel_m", Calc!$C:$C, 0)) - $F260 + $B260)</f>
        <v/>
      </c>
      <c r="K260" s="3">
        <f>IF(D260=0, "Even Keel", "")</f>
        <v/>
      </c>
    </row>
    <row r="261">
      <c r="A261" s="3">
        <f>IF(December_Tide_2025!A261="","",December_Tide_2025!A261)</f>
        <v/>
      </c>
      <c r="B261" s="6">
        <f>IF(December_Tide_2025!B261="","",December_Tide_2025!B261)</f>
        <v/>
      </c>
      <c r="C261" s="6">
        <f>IF($A261="","", INDEX(Calc!$E:$E, MATCH("KminusZ_m", Calc!$C:$C, 0)) + $B261 - INDEX(Calc!$E:$E, MATCH("L_ramp_m", Calc!$C:$C, 0)) * TAN(RADIANS(INDEX(Calc!$E:$E, MATCH("theta_max_deg", Calc!$C:$C, 0)))))</f>
        <v/>
      </c>
      <c r="D261" s="6" t="n"/>
      <c r="E261" s="6">
        <f>IF($C261="","", IF($D261="", $C261, $C261 - $D261/2))</f>
        <v/>
      </c>
      <c r="F261" s="6">
        <f>IF($C261="","", IF($D261="", $C261, $C261 + $D261/2))</f>
        <v/>
      </c>
      <c r="G261" s="6">
        <f>IF($E261="","", DEGREES(ATAN((INDEX(Calc!$E:$E, MATCH("KminusZ_m", Calc!$C:$C, 0)) - $E261 + $B261) / INDEX(Calc!$E:$E, MATCH("L_ramp_m", Calc!$C:$C, 0)))))</f>
        <v/>
      </c>
      <c r="H261" s="3">
        <f>IF($E261="","", IF(AND($E261&gt;=INDEX(Calc!$E:$E, MATCH("min_fwd_draft_m", Calc!$C:$C, 0)), $E261&lt;=INDEX(Calc!$E:$E, MATCH("max_fwd_draft_m", Calc!$C:$C, 0)), $G261&lt;=INDEX(Calc!$E:$E, MATCH("theta_max_deg", Calc!$C:$C, 0))), "OK", "CHECK"))</f>
        <v/>
      </c>
      <c r="I261" s="6">
        <f>IF($E261="","", INDEX(Calc!$E:$E, MATCH("D_vessel_m", Calc!$C:$C, 0)) - $E261 + $B261)</f>
        <v/>
      </c>
      <c r="J261" s="6">
        <f>IF($F261="","", INDEX(Calc!$E:$E, MATCH("D_vessel_m", Calc!$C:$C, 0)) - $F261 + $B261)</f>
        <v/>
      </c>
      <c r="K261" s="3">
        <f>IF(D261=0, "Even Keel", "")</f>
        <v/>
      </c>
    </row>
    <row r="262">
      <c r="A262" s="3">
        <f>IF(December_Tide_2025!A262="","",December_Tide_2025!A262)</f>
        <v/>
      </c>
      <c r="B262" s="6">
        <f>IF(December_Tide_2025!B262="","",December_Tide_2025!B262)</f>
        <v/>
      </c>
      <c r="C262" s="6">
        <f>IF($A262="","", INDEX(Calc!$E:$E, MATCH("KminusZ_m", Calc!$C:$C, 0)) + $B262 - INDEX(Calc!$E:$E, MATCH("L_ramp_m", Calc!$C:$C, 0)) * TAN(RADIANS(INDEX(Calc!$E:$E, MATCH("theta_max_deg", Calc!$C:$C, 0)))))</f>
        <v/>
      </c>
      <c r="D262" s="6" t="n"/>
      <c r="E262" s="6">
        <f>IF($C262="","", IF($D262="", $C262, $C262 - $D262/2))</f>
        <v/>
      </c>
      <c r="F262" s="6">
        <f>IF($C262="","", IF($D262="", $C262, $C262 + $D262/2))</f>
        <v/>
      </c>
      <c r="G262" s="6">
        <f>IF($E262="","", DEGREES(ATAN((INDEX(Calc!$E:$E, MATCH("KminusZ_m", Calc!$C:$C, 0)) - $E262 + $B262) / INDEX(Calc!$E:$E, MATCH("L_ramp_m", Calc!$C:$C, 0)))))</f>
        <v/>
      </c>
      <c r="H262" s="3">
        <f>IF($E262="","", IF(AND($E262&gt;=INDEX(Calc!$E:$E, MATCH("min_fwd_draft_m", Calc!$C:$C, 0)), $E262&lt;=INDEX(Calc!$E:$E, MATCH("max_fwd_draft_m", Calc!$C:$C, 0)), $G262&lt;=INDEX(Calc!$E:$E, MATCH("theta_max_deg", Calc!$C:$C, 0))), "OK", "CHECK"))</f>
        <v/>
      </c>
      <c r="I262" s="6">
        <f>IF($E262="","", INDEX(Calc!$E:$E, MATCH("D_vessel_m", Calc!$C:$C, 0)) - $E262 + $B262)</f>
        <v/>
      </c>
      <c r="J262" s="6">
        <f>IF($F262="","", INDEX(Calc!$E:$E, MATCH("D_vessel_m", Calc!$C:$C, 0)) - $F262 + $B262)</f>
        <v/>
      </c>
      <c r="K262" s="3">
        <f>IF(D262=0, "Even Keel", "")</f>
        <v/>
      </c>
    </row>
    <row r="263">
      <c r="A263" s="3">
        <f>IF(December_Tide_2025!A263="","",December_Tide_2025!A263)</f>
        <v/>
      </c>
      <c r="B263" s="6">
        <f>IF(December_Tide_2025!B263="","",December_Tide_2025!B263)</f>
        <v/>
      </c>
      <c r="C263" s="6">
        <f>IF($A263="","", INDEX(Calc!$E:$E, MATCH("KminusZ_m", Calc!$C:$C, 0)) + $B263 - INDEX(Calc!$E:$E, MATCH("L_ramp_m", Calc!$C:$C, 0)) * TAN(RADIANS(INDEX(Calc!$E:$E, MATCH("theta_max_deg", Calc!$C:$C, 0)))))</f>
        <v/>
      </c>
      <c r="D263" s="6" t="n"/>
      <c r="E263" s="6">
        <f>IF($C263="","", IF($D263="", $C263, $C263 - $D263/2))</f>
        <v/>
      </c>
      <c r="F263" s="6">
        <f>IF($C263="","", IF($D263="", $C263, $C263 + $D263/2))</f>
        <v/>
      </c>
      <c r="G263" s="6">
        <f>IF($E263="","", DEGREES(ATAN((INDEX(Calc!$E:$E, MATCH("KminusZ_m", Calc!$C:$C, 0)) - $E263 + $B263) / INDEX(Calc!$E:$E, MATCH("L_ramp_m", Calc!$C:$C, 0)))))</f>
        <v/>
      </c>
      <c r="H263" s="3">
        <f>IF($E263="","", IF(AND($E263&gt;=INDEX(Calc!$E:$E, MATCH("min_fwd_draft_m", Calc!$C:$C, 0)), $E263&lt;=INDEX(Calc!$E:$E, MATCH("max_fwd_draft_m", Calc!$C:$C, 0)), $G263&lt;=INDEX(Calc!$E:$E, MATCH("theta_max_deg", Calc!$C:$C, 0))), "OK", "CHECK"))</f>
        <v/>
      </c>
      <c r="I263" s="6">
        <f>IF($E263="","", INDEX(Calc!$E:$E, MATCH("D_vessel_m", Calc!$C:$C, 0)) - $E263 + $B263)</f>
        <v/>
      </c>
      <c r="J263" s="6">
        <f>IF($F263="","", INDEX(Calc!$E:$E, MATCH("D_vessel_m", Calc!$C:$C, 0)) - $F263 + $B263)</f>
        <v/>
      </c>
      <c r="K263" s="3">
        <f>IF(D263=0, "Even Keel", "")</f>
        <v/>
      </c>
    </row>
    <row r="264">
      <c r="A264" s="3">
        <f>IF(December_Tide_2025!A264="","",December_Tide_2025!A264)</f>
        <v/>
      </c>
      <c r="B264" s="6">
        <f>IF(December_Tide_2025!B264="","",December_Tide_2025!B264)</f>
        <v/>
      </c>
      <c r="C264" s="6">
        <f>IF($A264="","", INDEX(Calc!$E:$E, MATCH("KminusZ_m", Calc!$C:$C, 0)) + $B264 - INDEX(Calc!$E:$E, MATCH("L_ramp_m", Calc!$C:$C, 0)) * TAN(RADIANS(INDEX(Calc!$E:$E, MATCH("theta_max_deg", Calc!$C:$C, 0)))))</f>
        <v/>
      </c>
      <c r="D264" s="6" t="n"/>
      <c r="E264" s="6">
        <f>IF($C264="","", IF($D264="", $C264, $C264 - $D264/2))</f>
        <v/>
      </c>
      <c r="F264" s="6">
        <f>IF($C264="","", IF($D264="", $C264, $C264 + $D264/2))</f>
        <v/>
      </c>
      <c r="G264" s="6">
        <f>IF($E264="","", DEGREES(ATAN((INDEX(Calc!$E:$E, MATCH("KminusZ_m", Calc!$C:$C, 0)) - $E264 + $B264) / INDEX(Calc!$E:$E, MATCH("L_ramp_m", Calc!$C:$C, 0)))))</f>
        <v/>
      </c>
      <c r="H264" s="3">
        <f>IF($E264="","", IF(AND($E264&gt;=INDEX(Calc!$E:$E, MATCH("min_fwd_draft_m", Calc!$C:$C, 0)), $E264&lt;=INDEX(Calc!$E:$E, MATCH("max_fwd_draft_m", Calc!$C:$C, 0)), $G264&lt;=INDEX(Calc!$E:$E, MATCH("theta_max_deg", Calc!$C:$C, 0))), "OK", "CHECK"))</f>
        <v/>
      </c>
      <c r="I264" s="6">
        <f>IF($E264="","", INDEX(Calc!$E:$E, MATCH("D_vessel_m", Calc!$C:$C, 0)) - $E264 + $B264)</f>
        <v/>
      </c>
      <c r="J264" s="6">
        <f>IF($F264="","", INDEX(Calc!$E:$E, MATCH("D_vessel_m", Calc!$C:$C, 0)) - $F264 + $B264)</f>
        <v/>
      </c>
      <c r="K264" s="3">
        <f>IF(D264=0, "Even Keel", "")</f>
        <v/>
      </c>
    </row>
    <row r="265">
      <c r="A265" s="3">
        <f>IF(December_Tide_2025!A265="","",December_Tide_2025!A265)</f>
        <v/>
      </c>
      <c r="B265" s="6">
        <f>IF(December_Tide_2025!B265="","",December_Tide_2025!B265)</f>
        <v/>
      </c>
      <c r="C265" s="6">
        <f>IF($A265="","", INDEX(Calc!$E:$E, MATCH("KminusZ_m", Calc!$C:$C, 0)) + $B265 - INDEX(Calc!$E:$E, MATCH("L_ramp_m", Calc!$C:$C, 0)) * TAN(RADIANS(INDEX(Calc!$E:$E, MATCH("theta_max_deg", Calc!$C:$C, 0)))))</f>
        <v/>
      </c>
      <c r="D265" s="6" t="n"/>
      <c r="E265" s="6">
        <f>IF($C265="","", IF($D265="", $C265, $C265 - $D265/2))</f>
        <v/>
      </c>
      <c r="F265" s="6">
        <f>IF($C265="","", IF($D265="", $C265, $C265 + $D265/2))</f>
        <v/>
      </c>
      <c r="G265" s="6">
        <f>IF($E265="","", DEGREES(ATAN((INDEX(Calc!$E:$E, MATCH("KminusZ_m", Calc!$C:$C, 0)) - $E265 + $B265) / INDEX(Calc!$E:$E, MATCH("L_ramp_m", Calc!$C:$C, 0)))))</f>
        <v/>
      </c>
      <c r="H265" s="3">
        <f>IF($E265="","", IF(AND($E265&gt;=INDEX(Calc!$E:$E, MATCH("min_fwd_draft_m", Calc!$C:$C, 0)), $E265&lt;=INDEX(Calc!$E:$E, MATCH("max_fwd_draft_m", Calc!$C:$C, 0)), $G265&lt;=INDEX(Calc!$E:$E, MATCH("theta_max_deg", Calc!$C:$C, 0))), "OK", "CHECK"))</f>
        <v/>
      </c>
      <c r="I265" s="6">
        <f>IF($E265="","", INDEX(Calc!$E:$E, MATCH("D_vessel_m", Calc!$C:$C, 0)) - $E265 + $B265)</f>
        <v/>
      </c>
      <c r="J265" s="6">
        <f>IF($F265="","", INDEX(Calc!$E:$E, MATCH("D_vessel_m", Calc!$C:$C, 0)) - $F265 + $B265)</f>
        <v/>
      </c>
      <c r="K265" s="3">
        <f>IF(D265=0, "Even Keel", "")</f>
        <v/>
      </c>
    </row>
    <row r="266">
      <c r="A266" s="3">
        <f>IF(December_Tide_2025!A266="","",December_Tide_2025!A266)</f>
        <v/>
      </c>
      <c r="B266" s="6">
        <f>IF(December_Tide_2025!B266="","",December_Tide_2025!B266)</f>
        <v/>
      </c>
      <c r="C266" s="6">
        <f>IF($A266="","", INDEX(Calc!$E:$E, MATCH("KminusZ_m", Calc!$C:$C, 0)) + $B266 - INDEX(Calc!$E:$E, MATCH("L_ramp_m", Calc!$C:$C, 0)) * TAN(RADIANS(INDEX(Calc!$E:$E, MATCH("theta_max_deg", Calc!$C:$C, 0)))))</f>
        <v/>
      </c>
      <c r="D266" s="6" t="n"/>
      <c r="E266" s="6">
        <f>IF($C266="","", IF($D266="", $C266, $C266 - $D266/2))</f>
        <v/>
      </c>
      <c r="F266" s="6">
        <f>IF($C266="","", IF($D266="", $C266, $C266 + $D266/2))</f>
        <v/>
      </c>
      <c r="G266" s="6">
        <f>IF($E266="","", DEGREES(ATAN((INDEX(Calc!$E:$E, MATCH("KminusZ_m", Calc!$C:$C, 0)) - $E266 + $B266) / INDEX(Calc!$E:$E, MATCH("L_ramp_m", Calc!$C:$C, 0)))))</f>
        <v/>
      </c>
      <c r="H266" s="3">
        <f>IF($E266="","", IF(AND($E266&gt;=INDEX(Calc!$E:$E, MATCH("min_fwd_draft_m", Calc!$C:$C, 0)), $E266&lt;=INDEX(Calc!$E:$E, MATCH("max_fwd_draft_m", Calc!$C:$C, 0)), $G266&lt;=INDEX(Calc!$E:$E, MATCH("theta_max_deg", Calc!$C:$C, 0))), "OK", "CHECK"))</f>
        <v/>
      </c>
      <c r="I266" s="6">
        <f>IF($E266="","", INDEX(Calc!$E:$E, MATCH("D_vessel_m", Calc!$C:$C, 0)) - $E266 + $B266)</f>
        <v/>
      </c>
      <c r="J266" s="6">
        <f>IF($F266="","", INDEX(Calc!$E:$E, MATCH("D_vessel_m", Calc!$C:$C, 0)) - $F266 + $B266)</f>
        <v/>
      </c>
      <c r="K266" s="3">
        <f>IF(D266=0, "Even Keel", "")</f>
        <v/>
      </c>
    </row>
    <row r="267">
      <c r="A267" s="3">
        <f>IF(December_Tide_2025!A267="","",December_Tide_2025!A267)</f>
        <v/>
      </c>
      <c r="B267" s="6">
        <f>IF(December_Tide_2025!B267="","",December_Tide_2025!B267)</f>
        <v/>
      </c>
      <c r="C267" s="6">
        <f>IF($A267="","", INDEX(Calc!$E:$E, MATCH("KminusZ_m", Calc!$C:$C, 0)) + $B267 - INDEX(Calc!$E:$E, MATCH("L_ramp_m", Calc!$C:$C, 0)) * TAN(RADIANS(INDEX(Calc!$E:$E, MATCH("theta_max_deg", Calc!$C:$C, 0)))))</f>
        <v/>
      </c>
      <c r="D267" s="6" t="n"/>
      <c r="E267" s="6">
        <f>IF($C267="","", IF($D267="", $C267, $C267 - $D267/2))</f>
        <v/>
      </c>
      <c r="F267" s="6">
        <f>IF($C267="","", IF($D267="", $C267, $C267 + $D267/2))</f>
        <v/>
      </c>
      <c r="G267" s="6">
        <f>IF($E267="","", DEGREES(ATAN((INDEX(Calc!$E:$E, MATCH("KminusZ_m", Calc!$C:$C, 0)) - $E267 + $B267) / INDEX(Calc!$E:$E, MATCH("L_ramp_m", Calc!$C:$C, 0)))))</f>
        <v/>
      </c>
      <c r="H267" s="3">
        <f>IF($E267="","", IF(AND($E267&gt;=INDEX(Calc!$E:$E, MATCH("min_fwd_draft_m", Calc!$C:$C, 0)), $E267&lt;=INDEX(Calc!$E:$E, MATCH("max_fwd_draft_m", Calc!$C:$C, 0)), $G267&lt;=INDEX(Calc!$E:$E, MATCH("theta_max_deg", Calc!$C:$C, 0))), "OK", "CHECK"))</f>
        <v/>
      </c>
      <c r="I267" s="6">
        <f>IF($E267="","", INDEX(Calc!$E:$E, MATCH("D_vessel_m", Calc!$C:$C, 0)) - $E267 + $B267)</f>
        <v/>
      </c>
      <c r="J267" s="6">
        <f>IF($F267="","", INDEX(Calc!$E:$E, MATCH("D_vessel_m", Calc!$C:$C, 0)) - $F267 + $B267)</f>
        <v/>
      </c>
      <c r="K267" s="3">
        <f>IF(D267=0, "Even Keel", "")</f>
        <v/>
      </c>
    </row>
    <row r="268">
      <c r="A268" s="3">
        <f>IF(December_Tide_2025!A268="","",December_Tide_2025!A268)</f>
        <v/>
      </c>
      <c r="B268" s="6">
        <f>IF(December_Tide_2025!B268="","",December_Tide_2025!B268)</f>
        <v/>
      </c>
      <c r="C268" s="6">
        <f>IF($A268="","", INDEX(Calc!$E:$E, MATCH("KminusZ_m", Calc!$C:$C, 0)) + $B268 - INDEX(Calc!$E:$E, MATCH("L_ramp_m", Calc!$C:$C, 0)) * TAN(RADIANS(INDEX(Calc!$E:$E, MATCH("theta_max_deg", Calc!$C:$C, 0)))))</f>
        <v/>
      </c>
      <c r="D268" s="6" t="n"/>
      <c r="E268" s="6">
        <f>IF($C268="","", IF($D268="", $C268, $C268 - $D268/2))</f>
        <v/>
      </c>
      <c r="F268" s="6">
        <f>IF($C268="","", IF($D268="", $C268, $C268 + $D268/2))</f>
        <v/>
      </c>
      <c r="G268" s="6">
        <f>IF($E268="","", DEGREES(ATAN((INDEX(Calc!$E:$E, MATCH("KminusZ_m", Calc!$C:$C, 0)) - $E268 + $B268) / INDEX(Calc!$E:$E, MATCH("L_ramp_m", Calc!$C:$C, 0)))))</f>
        <v/>
      </c>
      <c r="H268" s="3">
        <f>IF($E268="","", IF(AND($E268&gt;=INDEX(Calc!$E:$E, MATCH("min_fwd_draft_m", Calc!$C:$C, 0)), $E268&lt;=INDEX(Calc!$E:$E, MATCH("max_fwd_draft_m", Calc!$C:$C, 0)), $G268&lt;=INDEX(Calc!$E:$E, MATCH("theta_max_deg", Calc!$C:$C, 0))), "OK", "CHECK"))</f>
        <v/>
      </c>
      <c r="I268" s="6">
        <f>IF($E268="","", INDEX(Calc!$E:$E, MATCH("D_vessel_m", Calc!$C:$C, 0)) - $E268 + $B268)</f>
        <v/>
      </c>
      <c r="J268" s="6">
        <f>IF($F268="","", INDEX(Calc!$E:$E, MATCH("D_vessel_m", Calc!$C:$C, 0)) - $F268 + $B268)</f>
        <v/>
      </c>
      <c r="K268" s="3">
        <f>IF(D268=0, "Even Keel", "")</f>
        <v/>
      </c>
    </row>
    <row r="269">
      <c r="A269" s="3">
        <f>IF(December_Tide_2025!A269="","",December_Tide_2025!A269)</f>
        <v/>
      </c>
      <c r="B269" s="6">
        <f>IF(December_Tide_2025!B269="","",December_Tide_2025!B269)</f>
        <v/>
      </c>
      <c r="C269" s="6">
        <f>IF($A269="","", INDEX(Calc!$E:$E, MATCH("KminusZ_m", Calc!$C:$C, 0)) + $B269 - INDEX(Calc!$E:$E, MATCH("L_ramp_m", Calc!$C:$C, 0)) * TAN(RADIANS(INDEX(Calc!$E:$E, MATCH("theta_max_deg", Calc!$C:$C, 0)))))</f>
        <v/>
      </c>
      <c r="D269" s="6" t="n"/>
      <c r="E269" s="6">
        <f>IF($C269="","", IF($D269="", $C269, $C269 - $D269/2))</f>
        <v/>
      </c>
      <c r="F269" s="6">
        <f>IF($C269="","", IF($D269="", $C269, $C269 + $D269/2))</f>
        <v/>
      </c>
      <c r="G269" s="6">
        <f>IF($E269="","", DEGREES(ATAN((INDEX(Calc!$E:$E, MATCH("KminusZ_m", Calc!$C:$C, 0)) - $E269 + $B269) / INDEX(Calc!$E:$E, MATCH("L_ramp_m", Calc!$C:$C, 0)))))</f>
        <v/>
      </c>
      <c r="H269" s="3">
        <f>IF($E269="","", IF(AND($E269&gt;=INDEX(Calc!$E:$E, MATCH("min_fwd_draft_m", Calc!$C:$C, 0)), $E269&lt;=INDEX(Calc!$E:$E, MATCH("max_fwd_draft_m", Calc!$C:$C, 0)), $G269&lt;=INDEX(Calc!$E:$E, MATCH("theta_max_deg", Calc!$C:$C, 0))), "OK", "CHECK"))</f>
        <v/>
      </c>
      <c r="I269" s="6">
        <f>IF($E269="","", INDEX(Calc!$E:$E, MATCH("D_vessel_m", Calc!$C:$C, 0)) - $E269 + $B269)</f>
        <v/>
      </c>
      <c r="J269" s="6">
        <f>IF($F269="","", INDEX(Calc!$E:$E, MATCH("D_vessel_m", Calc!$C:$C, 0)) - $F269 + $B269)</f>
        <v/>
      </c>
      <c r="K269" s="3">
        <f>IF(D269=0, "Even Keel", "")</f>
        <v/>
      </c>
    </row>
    <row r="270">
      <c r="A270" s="3">
        <f>IF(December_Tide_2025!A270="","",December_Tide_2025!A270)</f>
        <v/>
      </c>
      <c r="B270" s="6">
        <f>IF(December_Tide_2025!B270="","",December_Tide_2025!B270)</f>
        <v/>
      </c>
      <c r="C270" s="6">
        <f>IF($A270="","", INDEX(Calc!$E:$E, MATCH("KminusZ_m", Calc!$C:$C, 0)) + $B270 - INDEX(Calc!$E:$E, MATCH("L_ramp_m", Calc!$C:$C, 0)) * TAN(RADIANS(INDEX(Calc!$E:$E, MATCH("theta_max_deg", Calc!$C:$C, 0)))))</f>
        <v/>
      </c>
      <c r="D270" s="6" t="n"/>
      <c r="E270" s="6">
        <f>IF($C270="","", IF($D270="", $C270, $C270 - $D270/2))</f>
        <v/>
      </c>
      <c r="F270" s="6">
        <f>IF($C270="","", IF($D270="", $C270, $C270 + $D270/2))</f>
        <v/>
      </c>
      <c r="G270" s="6">
        <f>IF($E270="","", DEGREES(ATAN((INDEX(Calc!$E:$E, MATCH("KminusZ_m", Calc!$C:$C, 0)) - $E270 + $B270) / INDEX(Calc!$E:$E, MATCH("L_ramp_m", Calc!$C:$C, 0)))))</f>
        <v/>
      </c>
      <c r="H270" s="3">
        <f>IF($E270="","", IF(AND($E270&gt;=INDEX(Calc!$E:$E, MATCH("min_fwd_draft_m", Calc!$C:$C, 0)), $E270&lt;=INDEX(Calc!$E:$E, MATCH("max_fwd_draft_m", Calc!$C:$C, 0)), $G270&lt;=INDEX(Calc!$E:$E, MATCH("theta_max_deg", Calc!$C:$C, 0))), "OK", "CHECK"))</f>
        <v/>
      </c>
      <c r="I270" s="6">
        <f>IF($E270="","", INDEX(Calc!$E:$E, MATCH("D_vessel_m", Calc!$C:$C, 0)) - $E270 + $B270)</f>
        <v/>
      </c>
      <c r="J270" s="6">
        <f>IF($F270="","", INDEX(Calc!$E:$E, MATCH("D_vessel_m", Calc!$C:$C, 0)) - $F270 + $B270)</f>
        <v/>
      </c>
      <c r="K270" s="3">
        <f>IF(D270=0, "Even Keel", "")</f>
        <v/>
      </c>
    </row>
    <row r="271">
      <c r="A271" s="3">
        <f>IF(December_Tide_2025!A271="","",December_Tide_2025!A271)</f>
        <v/>
      </c>
      <c r="B271" s="6">
        <f>IF(December_Tide_2025!B271="","",December_Tide_2025!B271)</f>
        <v/>
      </c>
      <c r="C271" s="6">
        <f>IF($A271="","", INDEX(Calc!$E:$E, MATCH("KminusZ_m", Calc!$C:$C, 0)) + $B271 - INDEX(Calc!$E:$E, MATCH("L_ramp_m", Calc!$C:$C, 0)) * TAN(RADIANS(INDEX(Calc!$E:$E, MATCH("theta_max_deg", Calc!$C:$C, 0)))))</f>
        <v/>
      </c>
      <c r="D271" s="6" t="n"/>
      <c r="E271" s="6">
        <f>IF($C271="","", IF($D271="", $C271, $C271 - $D271/2))</f>
        <v/>
      </c>
      <c r="F271" s="6">
        <f>IF($C271="","", IF($D271="", $C271, $C271 + $D271/2))</f>
        <v/>
      </c>
      <c r="G271" s="6">
        <f>IF($E271="","", DEGREES(ATAN((INDEX(Calc!$E:$E, MATCH("KminusZ_m", Calc!$C:$C, 0)) - $E271 + $B271) / INDEX(Calc!$E:$E, MATCH("L_ramp_m", Calc!$C:$C, 0)))))</f>
        <v/>
      </c>
      <c r="H271" s="3">
        <f>IF($E271="","", IF(AND($E271&gt;=INDEX(Calc!$E:$E, MATCH("min_fwd_draft_m", Calc!$C:$C, 0)), $E271&lt;=INDEX(Calc!$E:$E, MATCH("max_fwd_draft_m", Calc!$C:$C, 0)), $G271&lt;=INDEX(Calc!$E:$E, MATCH("theta_max_deg", Calc!$C:$C, 0))), "OK", "CHECK"))</f>
        <v/>
      </c>
      <c r="I271" s="6">
        <f>IF($E271="","", INDEX(Calc!$E:$E, MATCH("D_vessel_m", Calc!$C:$C, 0)) - $E271 + $B271)</f>
        <v/>
      </c>
      <c r="J271" s="6">
        <f>IF($F271="","", INDEX(Calc!$E:$E, MATCH("D_vessel_m", Calc!$C:$C, 0)) - $F271 + $B271)</f>
        <v/>
      </c>
      <c r="K271" s="3">
        <f>IF(D271=0, "Even Keel", "")</f>
        <v/>
      </c>
    </row>
    <row r="272">
      <c r="A272" s="3">
        <f>IF(December_Tide_2025!A272="","",December_Tide_2025!A272)</f>
        <v/>
      </c>
      <c r="B272" s="6">
        <f>IF(December_Tide_2025!B272="","",December_Tide_2025!B272)</f>
        <v/>
      </c>
      <c r="C272" s="6">
        <f>IF($A272="","", INDEX(Calc!$E:$E, MATCH("KminusZ_m", Calc!$C:$C, 0)) + $B272 - INDEX(Calc!$E:$E, MATCH("L_ramp_m", Calc!$C:$C, 0)) * TAN(RADIANS(INDEX(Calc!$E:$E, MATCH("theta_max_deg", Calc!$C:$C, 0)))))</f>
        <v/>
      </c>
      <c r="D272" s="6" t="n"/>
      <c r="E272" s="6">
        <f>IF($C272="","", IF($D272="", $C272, $C272 - $D272/2))</f>
        <v/>
      </c>
      <c r="F272" s="6">
        <f>IF($C272="","", IF($D272="", $C272, $C272 + $D272/2))</f>
        <v/>
      </c>
      <c r="G272" s="6">
        <f>IF($E272="","", DEGREES(ATAN((INDEX(Calc!$E:$E, MATCH("KminusZ_m", Calc!$C:$C, 0)) - $E272 + $B272) / INDEX(Calc!$E:$E, MATCH("L_ramp_m", Calc!$C:$C, 0)))))</f>
        <v/>
      </c>
      <c r="H272" s="3">
        <f>IF($E272="","", IF(AND($E272&gt;=INDEX(Calc!$E:$E, MATCH("min_fwd_draft_m", Calc!$C:$C, 0)), $E272&lt;=INDEX(Calc!$E:$E, MATCH("max_fwd_draft_m", Calc!$C:$C, 0)), $G272&lt;=INDEX(Calc!$E:$E, MATCH("theta_max_deg", Calc!$C:$C, 0))), "OK", "CHECK"))</f>
        <v/>
      </c>
      <c r="I272" s="6">
        <f>IF($E272="","", INDEX(Calc!$E:$E, MATCH("D_vessel_m", Calc!$C:$C, 0)) - $E272 + $B272)</f>
        <v/>
      </c>
      <c r="J272" s="6">
        <f>IF($F272="","", INDEX(Calc!$E:$E, MATCH("D_vessel_m", Calc!$C:$C, 0)) - $F272 + $B272)</f>
        <v/>
      </c>
      <c r="K272" s="3">
        <f>IF(D272=0, "Even Keel", "")</f>
        <v/>
      </c>
    </row>
    <row r="273">
      <c r="A273" s="3">
        <f>IF(December_Tide_2025!A273="","",December_Tide_2025!A273)</f>
        <v/>
      </c>
      <c r="B273" s="6">
        <f>IF(December_Tide_2025!B273="","",December_Tide_2025!B273)</f>
        <v/>
      </c>
      <c r="C273" s="6">
        <f>IF($A273="","", INDEX(Calc!$E:$E, MATCH("KminusZ_m", Calc!$C:$C, 0)) + $B273 - INDEX(Calc!$E:$E, MATCH("L_ramp_m", Calc!$C:$C, 0)) * TAN(RADIANS(INDEX(Calc!$E:$E, MATCH("theta_max_deg", Calc!$C:$C, 0)))))</f>
        <v/>
      </c>
      <c r="D273" s="6" t="n"/>
      <c r="E273" s="6">
        <f>IF($C273="","", IF($D273="", $C273, $C273 - $D273/2))</f>
        <v/>
      </c>
      <c r="F273" s="6">
        <f>IF($C273="","", IF($D273="", $C273, $C273 + $D273/2))</f>
        <v/>
      </c>
      <c r="G273" s="6">
        <f>IF($E273="","", DEGREES(ATAN((INDEX(Calc!$E:$E, MATCH("KminusZ_m", Calc!$C:$C, 0)) - $E273 + $B273) / INDEX(Calc!$E:$E, MATCH("L_ramp_m", Calc!$C:$C, 0)))))</f>
        <v/>
      </c>
      <c r="H273" s="3">
        <f>IF($E273="","", IF(AND($E273&gt;=INDEX(Calc!$E:$E, MATCH("min_fwd_draft_m", Calc!$C:$C, 0)), $E273&lt;=INDEX(Calc!$E:$E, MATCH("max_fwd_draft_m", Calc!$C:$C, 0)), $G273&lt;=INDEX(Calc!$E:$E, MATCH("theta_max_deg", Calc!$C:$C, 0))), "OK", "CHECK"))</f>
        <v/>
      </c>
      <c r="I273" s="6">
        <f>IF($E273="","", INDEX(Calc!$E:$E, MATCH("D_vessel_m", Calc!$C:$C, 0)) - $E273 + $B273)</f>
        <v/>
      </c>
      <c r="J273" s="6">
        <f>IF($F273="","", INDEX(Calc!$E:$E, MATCH("D_vessel_m", Calc!$C:$C, 0)) - $F273 + $B273)</f>
        <v/>
      </c>
      <c r="K273" s="3">
        <f>IF(D273=0, "Even Keel", "")</f>
        <v/>
      </c>
    </row>
    <row r="274">
      <c r="A274" s="3">
        <f>IF(December_Tide_2025!A274="","",December_Tide_2025!A274)</f>
        <v/>
      </c>
      <c r="B274" s="6">
        <f>IF(December_Tide_2025!B274="","",December_Tide_2025!B274)</f>
        <v/>
      </c>
      <c r="C274" s="6">
        <f>IF($A274="","", INDEX(Calc!$E:$E, MATCH("KminusZ_m", Calc!$C:$C, 0)) + $B274 - INDEX(Calc!$E:$E, MATCH("L_ramp_m", Calc!$C:$C, 0)) * TAN(RADIANS(INDEX(Calc!$E:$E, MATCH("theta_max_deg", Calc!$C:$C, 0)))))</f>
        <v/>
      </c>
      <c r="D274" s="6" t="n"/>
      <c r="E274" s="6">
        <f>IF($C274="","", IF($D274="", $C274, $C274 - $D274/2))</f>
        <v/>
      </c>
      <c r="F274" s="6">
        <f>IF($C274="","", IF($D274="", $C274, $C274 + $D274/2))</f>
        <v/>
      </c>
      <c r="G274" s="6">
        <f>IF($E274="","", DEGREES(ATAN((INDEX(Calc!$E:$E, MATCH("KminusZ_m", Calc!$C:$C, 0)) - $E274 + $B274) / INDEX(Calc!$E:$E, MATCH("L_ramp_m", Calc!$C:$C, 0)))))</f>
        <v/>
      </c>
      <c r="H274" s="3">
        <f>IF($E274="","", IF(AND($E274&gt;=INDEX(Calc!$E:$E, MATCH("min_fwd_draft_m", Calc!$C:$C, 0)), $E274&lt;=INDEX(Calc!$E:$E, MATCH("max_fwd_draft_m", Calc!$C:$C, 0)), $G274&lt;=INDEX(Calc!$E:$E, MATCH("theta_max_deg", Calc!$C:$C, 0))), "OK", "CHECK"))</f>
        <v/>
      </c>
      <c r="I274" s="6">
        <f>IF($E274="","", INDEX(Calc!$E:$E, MATCH("D_vessel_m", Calc!$C:$C, 0)) - $E274 + $B274)</f>
        <v/>
      </c>
      <c r="J274" s="6">
        <f>IF($F274="","", INDEX(Calc!$E:$E, MATCH("D_vessel_m", Calc!$C:$C, 0)) - $F274 + $B274)</f>
        <v/>
      </c>
      <c r="K274" s="3">
        <f>IF(D274=0, "Even Keel", "")</f>
        <v/>
      </c>
    </row>
    <row r="275">
      <c r="A275" s="3">
        <f>IF(December_Tide_2025!A275="","",December_Tide_2025!A275)</f>
        <v/>
      </c>
      <c r="B275" s="6">
        <f>IF(December_Tide_2025!B275="","",December_Tide_2025!B275)</f>
        <v/>
      </c>
      <c r="C275" s="6">
        <f>IF($A275="","", INDEX(Calc!$E:$E, MATCH("KminusZ_m", Calc!$C:$C, 0)) + $B275 - INDEX(Calc!$E:$E, MATCH("L_ramp_m", Calc!$C:$C, 0)) * TAN(RADIANS(INDEX(Calc!$E:$E, MATCH("theta_max_deg", Calc!$C:$C, 0)))))</f>
        <v/>
      </c>
      <c r="D275" s="6" t="n"/>
      <c r="E275" s="6">
        <f>IF($C275="","", IF($D275="", $C275, $C275 - $D275/2))</f>
        <v/>
      </c>
      <c r="F275" s="6">
        <f>IF($C275="","", IF($D275="", $C275, $C275 + $D275/2))</f>
        <v/>
      </c>
      <c r="G275" s="6">
        <f>IF($E275="","", DEGREES(ATAN((INDEX(Calc!$E:$E, MATCH("KminusZ_m", Calc!$C:$C, 0)) - $E275 + $B275) / INDEX(Calc!$E:$E, MATCH("L_ramp_m", Calc!$C:$C, 0)))))</f>
        <v/>
      </c>
      <c r="H275" s="3">
        <f>IF($E275="","", IF(AND($E275&gt;=INDEX(Calc!$E:$E, MATCH("min_fwd_draft_m", Calc!$C:$C, 0)), $E275&lt;=INDEX(Calc!$E:$E, MATCH("max_fwd_draft_m", Calc!$C:$C, 0)), $G275&lt;=INDEX(Calc!$E:$E, MATCH("theta_max_deg", Calc!$C:$C, 0))), "OK", "CHECK"))</f>
        <v/>
      </c>
      <c r="I275" s="6">
        <f>IF($E275="","", INDEX(Calc!$E:$E, MATCH("D_vessel_m", Calc!$C:$C, 0)) - $E275 + $B275)</f>
        <v/>
      </c>
      <c r="J275" s="6">
        <f>IF($F275="","", INDEX(Calc!$E:$E, MATCH("D_vessel_m", Calc!$C:$C, 0)) - $F275 + $B275)</f>
        <v/>
      </c>
      <c r="K275" s="3">
        <f>IF(D275=0, "Even Keel", "")</f>
        <v/>
      </c>
    </row>
    <row r="276">
      <c r="A276" s="3">
        <f>IF(December_Tide_2025!A276="","",December_Tide_2025!A276)</f>
        <v/>
      </c>
      <c r="B276" s="6">
        <f>IF(December_Tide_2025!B276="","",December_Tide_2025!B276)</f>
        <v/>
      </c>
      <c r="C276" s="6">
        <f>IF($A276="","", INDEX(Calc!$E:$E, MATCH("KminusZ_m", Calc!$C:$C, 0)) + $B276 - INDEX(Calc!$E:$E, MATCH("L_ramp_m", Calc!$C:$C, 0)) * TAN(RADIANS(INDEX(Calc!$E:$E, MATCH("theta_max_deg", Calc!$C:$C, 0)))))</f>
        <v/>
      </c>
      <c r="D276" s="6" t="n"/>
      <c r="E276" s="6">
        <f>IF($C276="","", IF($D276="", $C276, $C276 - $D276/2))</f>
        <v/>
      </c>
      <c r="F276" s="6">
        <f>IF($C276="","", IF($D276="", $C276, $C276 + $D276/2))</f>
        <v/>
      </c>
      <c r="G276" s="6">
        <f>IF($E276="","", DEGREES(ATAN((INDEX(Calc!$E:$E, MATCH("KminusZ_m", Calc!$C:$C, 0)) - $E276 + $B276) / INDEX(Calc!$E:$E, MATCH("L_ramp_m", Calc!$C:$C, 0)))))</f>
        <v/>
      </c>
      <c r="H276" s="3">
        <f>IF($E276="","", IF(AND($E276&gt;=INDEX(Calc!$E:$E, MATCH("min_fwd_draft_m", Calc!$C:$C, 0)), $E276&lt;=INDEX(Calc!$E:$E, MATCH("max_fwd_draft_m", Calc!$C:$C, 0)), $G276&lt;=INDEX(Calc!$E:$E, MATCH("theta_max_deg", Calc!$C:$C, 0))), "OK", "CHECK"))</f>
        <v/>
      </c>
      <c r="I276" s="6">
        <f>IF($E276="","", INDEX(Calc!$E:$E, MATCH("D_vessel_m", Calc!$C:$C, 0)) - $E276 + $B276)</f>
        <v/>
      </c>
      <c r="J276" s="6">
        <f>IF($F276="","", INDEX(Calc!$E:$E, MATCH("D_vessel_m", Calc!$C:$C, 0)) - $F276 + $B276)</f>
        <v/>
      </c>
      <c r="K276" s="3">
        <f>IF(D276=0, "Even Keel", "")</f>
        <v/>
      </c>
    </row>
    <row r="277">
      <c r="A277" s="3">
        <f>IF(December_Tide_2025!A277="","",December_Tide_2025!A277)</f>
        <v/>
      </c>
      <c r="B277" s="6">
        <f>IF(December_Tide_2025!B277="","",December_Tide_2025!B277)</f>
        <v/>
      </c>
      <c r="C277" s="6">
        <f>IF($A277="","", INDEX(Calc!$E:$E, MATCH("KminusZ_m", Calc!$C:$C, 0)) + $B277 - INDEX(Calc!$E:$E, MATCH("L_ramp_m", Calc!$C:$C, 0)) * TAN(RADIANS(INDEX(Calc!$E:$E, MATCH("theta_max_deg", Calc!$C:$C, 0)))))</f>
        <v/>
      </c>
      <c r="D277" s="6" t="n"/>
      <c r="E277" s="6">
        <f>IF($C277="","", IF($D277="", $C277, $C277 - $D277/2))</f>
        <v/>
      </c>
      <c r="F277" s="6">
        <f>IF($C277="","", IF($D277="", $C277, $C277 + $D277/2))</f>
        <v/>
      </c>
      <c r="G277" s="6">
        <f>IF($E277="","", DEGREES(ATAN((INDEX(Calc!$E:$E, MATCH("KminusZ_m", Calc!$C:$C, 0)) - $E277 + $B277) / INDEX(Calc!$E:$E, MATCH("L_ramp_m", Calc!$C:$C, 0)))))</f>
        <v/>
      </c>
      <c r="H277" s="3">
        <f>IF($E277="","", IF(AND($E277&gt;=INDEX(Calc!$E:$E, MATCH("min_fwd_draft_m", Calc!$C:$C, 0)), $E277&lt;=INDEX(Calc!$E:$E, MATCH("max_fwd_draft_m", Calc!$C:$C, 0)), $G277&lt;=INDEX(Calc!$E:$E, MATCH("theta_max_deg", Calc!$C:$C, 0))), "OK", "CHECK"))</f>
        <v/>
      </c>
      <c r="I277" s="6">
        <f>IF($E277="","", INDEX(Calc!$E:$E, MATCH("D_vessel_m", Calc!$C:$C, 0)) - $E277 + $B277)</f>
        <v/>
      </c>
      <c r="J277" s="6">
        <f>IF($F277="","", INDEX(Calc!$E:$E, MATCH("D_vessel_m", Calc!$C:$C, 0)) - $F277 + $B277)</f>
        <v/>
      </c>
      <c r="K277" s="3">
        <f>IF(D277=0, "Even Keel", "")</f>
        <v/>
      </c>
    </row>
    <row r="278">
      <c r="A278" s="3">
        <f>IF(December_Tide_2025!A278="","",December_Tide_2025!A278)</f>
        <v/>
      </c>
      <c r="B278" s="6">
        <f>IF(December_Tide_2025!B278="","",December_Tide_2025!B278)</f>
        <v/>
      </c>
      <c r="C278" s="6">
        <f>IF($A278="","", INDEX(Calc!$E:$E, MATCH("KminusZ_m", Calc!$C:$C, 0)) + $B278 - INDEX(Calc!$E:$E, MATCH("L_ramp_m", Calc!$C:$C, 0)) * TAN(RADIANS(INDEX(Calc!$E:$E, MATCH("theta_max_deg", Calc!$C:$C, 0)))))</f>
        <v/>
      </c>
      <c r="D278" s="6" t="n"/>
      <c r="E278" s="6">
        <f>IF($C278="","", IF($D278="", $C278, $C278 - $D278/2))</f>
        <v/>
      </c>
      <c r="F278" s="6">
        <f>IF($C278="","", IF($D278="", $C278, $C278 + $D278/2))</f>
        <v/>
      </c>
      <c r="G278" s="6">
        <f>IF($E278="","", DEGREES(ATAN((INDEX(Calc!$E:$E, MATCH("KminusZ_m", Calc!$C:$C, 0)) - $E278 + $B278) / INDEX(Calc!$E:$E, MATCH("L_ramp_m", Calc!$C:$C, 0)))))</f>
        <v/>
      </c>
      <c r="H278" s="3">
        <f>IF($E278="","", IF(AND($E278&gt;=INDEX(Calc!$E:$E, MATCH("min_fwd_draft_m", Calc!$C:$C, 0)), $E278&lt;=INDEX(Calc!$E:$E, MATCH("max_fwd_draft_m", Calc!$C:$C, 0)), $G278&lt;=INDEX(Calc!$E:$E, MATCH("theta_max_deg", Calc!$C:$C, 0))), "OK", "CHECK"))</f>
        <v/>
      </c>
      <c r="I278" s="6">
        <f>IF($E278="","", INDEX(Calc!$E:$E, MATCH("D_vessel_m", Calc!$C:$C, 0)) - $E278 + $B278)</f>
        <v/>
      </c>
      <c r="J278" s="6">
        <f>IF($F278="","", INDEX(Calc!$E:$E, MATCH("D_vessel_m", Calc!$C:$C, 0)) - $F278 + $B278)</f>
        <v/>
      </c>
      <c r="K278" s="3">
        <f>IF(D278=0, "Even Keel", "")</f>
        <v/>
      </c>
    </row>
    <row r="279">
      <c r="A279" s="3">
        <f>IF(December_Tide_2025!A279="","",December_Tide_2025!A279)</f>
        <v/>
      </c>
      <c r="B279" s="6">
        <f>IF(December_Tide_2025!B279="","",December_Tide_2025!B279)</f>
        <v/>
      </c>
      <c r="C279" s="6">
        <f>IF($A279="","", INDEX(Calc!$E:$E, MATCH("KminusZ_m", Calc!$C:$C, 0)) + $B279 - INDEX(Calc!$E:$E, MATCH("L_ramp_m", Calc!$C:$C, 0)) * TAN(RADIANS(INDEX(Calc!$E:$E, MATCH("theta_max_deg", Calc!$C:$C, 0)))))</f>
        <v/>
      </c>
      <c r="D279" s="6" t="n"/>
      <c r="E279" s="6">
        <f>IF($C279="","", IF($D279="", $C279, $C279 - $D279/2))</f>
        <v/>
      </c>
      <c r="F279" s="6">
        <f>IF($C279="","", IF($D279="", $C279, $C279 + $D279/2))</f>
        <v/>
      </c>
      <c r="G279" s="6">
        <f>IF($E279="","", DEGREES(ATAN((INDEX(Calc!$E:$E, MATCH("KminusZ_m", Calc!$C:$C, 0)) - $E279 + $B279) / INDEX(Calc!$E:$E, MATCH("L_ramp_m", Calc!$C:$C, 0)))))</f>
        <v/>
      </c>
      <c r="H279" s="3">
        <f>IF($E279="","", IF(AND($E279&gt;=INDEX(Calc!$E:$E, MATCH("min_fwd_draft_m", Calc!$C:$C, 0)), $E279&lt;=INDEX(Calc!$E:$E, MATCH("max_fwd_draft_m", Calc!$C:$C, 0)), $G279&lt;=INDEX(Calc!$E:$E, MATCH("theta_max_deg", Calc!$C:$C, 0))), "OK", "CHECK"))</f>
        <v/>
      </c>
      <c r="I279" s="6">
        <f>IF($E279="","", INDEX(Calc!$E:$E, MATCH("D_vessel_m", Calc!$C:$C, 0)) - $E279 + $B279)</f>
        <v/>
      </c>
      <c r="J279" s="6">
        <f>IF($F279="","", INDEX(Calc!$E:$E, MATCH("D_vessel_m", Calc!$C:$C, 0)) - $F279 + $B279)</f>
        <v/>
      </c>
      <c r="K279" s="3">
        <f>IF(D279=0, "Even Keel", "")</f>
        <v/>
      </c>
    </row>
    <row r="280">
      <c r="A280" s="3">
        <f>IF(December_Tide_2025!A280="","",December_Tide_2025!A280)</f>
        <v/>
      </c>
      <c r="B280" s="6">
        <f>IF(December_Tide_2025!B280="","",December_Tide_2025!B280)</f>
        <v/>
      </c>
      <c r="C280" s="6">
        <f>IF($A280="","", INDEX(Calc!$E:$E, MATCH("KminusZ_m", Calc!$C:$C, 0)) + $B280 - INDEX(Calc!$E:$E, MATCH("L_ramp_m", Calc!$C:$C, 0)) * TAN(RADIANS(INDEX(Calc!$E:$E, MATCH("theta_max_deg", Calc!$C:$C, 0)))))</f>
        <v/>
      </c>
      <c r="D280" s="6" t="n"/>
      <c r="E280" s="6">
        <f>IF($C280="","", IF($D280="", $C280, $C280 - $D280/2))</f>
        <v/>
      </c>
      <c r="F280" s="6">
        <f>IF($C280="","", IF($D280="", $C280, $C280 + $D280/2))</f>
        <v/>
      </c>
      <c r="G280" s="6">
        <f>IF($E280="","", DEGREES(ATAN((INDEX(Calc!$E:$E, MATCH("KminusZ_m", Calc!$C:$C, 0)) - $E280 + $B280) / INDEX(Calc!$E:$E, MATCH("L_ramp_m", Calc!$C:$C, 0)))))</f>
        <v/>
      </c>
      <c r="H280" s="3">
        <f>IF($E280="","", IF(AND($E280&gt;=INDEX(Calc!$E:$E, MATCH("min_fwd_draft_m", Calc!$C:$C, 0)), $E280&lt;=INDEX(Calc!$E:$E, MATCH("max_fwd_draft_m", Calc!$C:$C, 0)), $G280&lt;=INDEX(Calc!$E:$E, MATCH("theta_max_deg", Calc!$C:$C, 0))), "OK", "CHECK"))</f>
        <v/>
      </c>
      <c r="I280" s="6">
        <f>IF($E280="","", INDEX(Calc!$E:$E, MATCH("D_vessel_m", Calc!$C:$C, 0)) - $E280 + $B280)</f>
        <v/>
      </c>
      <c r="J280" s="6">
        <f>IF($F280="","", INDEX(Calc!$E:$E, MATCH("D_vessel_m", Calc!$C:$C, 0)) - $F280 + $B280)</f>
        <v/>
      </c>
      <c r="K280" s="3">
        <f>IF(D280=0, "Even Keel", "")</f>
        <v/>
      </c>
    </row>
    <row r="281">
      <c r="A281" s="3">
        <f>IF(December_Tide_2025!A281="","",December_Tide_2025!A281)</f>
        <v/>
      </c>
      <c r="B281" s="6">
        <f>IF(December_Tide_2025!B281="","",December_Tide_2025!B281)</f>
        <v/>
      </c>
      <c r="C281" s="6">
        <f>IF($A281="","", INDEX(Calc!$E:$E, MATCH("KminusZ_m", Calc!$C:$C, 0)) + $B281 - INDEX(Calc!$E:$E, MATCH("L_ramp_m", Calc!$C:$C, 0)) * TAN(RADIANS(INDEX(Calc!$E:$E, MATCH("theta_max_deg", Calc!$C:$C, 0)))))</f>
        <v/>
      </c>
      <c r="D281" s="6" t="n"/>
      <c r="E281" s="6">
        <f>IF($C281="","", IF($D281="", $C281, $C281 - $D281/2))</f>
        <v/>
      </c>
      <c r="F281" s="6">
        <f>IF($C281="","", IF($D281="", $C281, $C281 + $D281/2))</f>
        <v/>
      </c>
      <c r="G281" s="6">
        <f>IF($E281="","", DEGREES(ATAN((INDEX(Calc!$E:$E, MATCH("KminusZ_m", Calc!$C:$C, 0)) - $E281 + $B281) / INDEX(Calc!$E:$E, MATCH("L_ramp_m", Calc!$C:$C, 0)))))</f>
        <v/>
      </c>
      <c r="H281" s="3">
        <f>IF($E281="","", IF(AND($E281&gt;=INDEX(Calc!$E:$E, MATCH("min_fwd_draft_m", Calc!$C:$C, 0)), $E281&lt;=INDEX(Calc!$E:$E, MATCH("max_fwd_draft_m", Calc!$C:$C, 0)), $G281&lt;=INDEX(Calc!$E:$E, MATCH("theta_max_deg", Calc!$C:$C, 0))), "OK", "CHECK"))</f>
        <v/>
      </c>
      <c r="I281" s="6">
        <f>IF($E281="","", INDEX(Calc!$E:$E, MATCH("D_vessel_m", Calc!$C:$C, 0)) - $E281 + $B281)</f>
        <v/>
      </c>
      <c r="J281" s="6">
        <f>IF($F281="","", INDEX(Calc!$E:$E, MATCH("D_vessel_m", Calc!$C:$C, 0)) - $F281 + $B281)</f>
        <v/>
      </c>
      <c r="K281" s="3">
        <f>IF(D281=0, "Even Keel", "")</f>
        <v/>
      </c>
    </row>
    <row r="282">
      <c r="A282" s="3">
        <f>IF(December_Tide_2025!A282="","",December_Tide_2025!A282)</f>
        <v/>
      </c>
      <c r="B282" s="6">
        <f>IF(December_Tide_2025!B282="","",December_Tide_2025!B282)</f>
        <v/>
      </c>
      <c r="C282" s="6">
        <f>IF($A282="","", INDEX(Calc!$E:$E, MATCH("KminusZ_m", Calc!$C:$C, 0)) + $B282 - INDEX(Calc!$E:$E, MATCH("L_ramp_m", Calc!$C:$C, 0)) * TAN(RADIANS(INDEX(Calc!$E:$E, MATCH("theta_max_deg", Calc!$C:$C, 0)))))</f>
        <v/>
      </c>
      <c r="D282" s="6" t="n"/>
      <c r="E282" s="6">
        <f>IF($C282="","", IF($D282="", $C282, $C282 - $D282/2))</f>
        <v/>
      </c>
      <c r="F282" s="6">
        <f>IF($C282="","", IF($D282="", $C282, $C282 + $D282/2))</f>
        <v/>
      </c>
      <c r="G282" s="6">
        <f>IF($E282="","", DEGREES(ATAN((INDEX(Calc!$E:$E, MATCH("KminusZ_m", Calc!$C:$C, 0)) - $E282 + $B282) / INDEX(Calc!$E:$E, MATCH("L_ramp_m", Calc!$C:$C, 0)))))</f>
        <v/>
      </c>
      <c r="H282" s="3">
        <f>IF($E282="","", IF(AND($E282&gt;=INDEX(Calc!$E:$E, MATCH("min_fwd_draft_m", Calc!$C:$C, 0)), $E282&lt;=INDEX(Calc!$E:$E, MATCH("max_fwd_draft_m", Calc!$C:$C, 0)), $G282&lt;=INDEX(Calc!$E:$E, MATCH("theta_max_deg", Calc!$C:$C, 0))), "OK", "CHECK"))</f>
        <v/>
      </c>
      <c r="I282" s="6">
        <f>IF($E282="","", INDEX(Calc!$E:$E, MATCH("D_vessel_m", Calc!$C:$C, 0)) - $E282 + $B282)</f>
        <v/>
      </c>
      <c r="J282" s="6">
        <f>IF($F282="","", INDEX(Calc!$E:$E, MATCH("D_vessel_m", Calc!$C:$C, 0)) - $F282 + $B282)</f>
        <v/>
      </c>
      <c r="K282" s="3">
        <f>IF(D282=0, "Even Keel", "")</f>
        <v/>
      </c>
    </row>
    <row r="283">
      <c r="A283" s="3">
        <f>IF(December_Tide_2025!A283="","",December_Tide_2025!A283)</f>
        <v/>
      </c>
      <c r="B283" s="6">
        <f>IF(December_Tide_2025!B283="","",December_Tide_2025!B283)</f>
        <v/>
      </c>
      <c r="C283" s="6">
        <f>IF($A283="","", INDEX(Calc!$E:$E, MATCH("KminusZ_m", Calc!$C:$C, 0)) + $B283 - INDEX(Calc!$E:$E, MATCH("L_ramp_m", Calc!$C:$C, 0)) * TAN(RADIANS(INDEX(Calc!$E:$E, MATCH("theta_max_deg", Calc!$C:$C, 0)))))</f>
        <v/>
      </c>
      <c r="D283" s="6" t="n"/>
      <c r="E283" s="6">
        <f>IF($C283="","", IF($D283="", $C283, $C283 - $D283/2))</f>
        <v/>
      </c>
      <c r="F283" s="6">
        <f>IF($C283="","", IF($D283="", $C283, $C283 + $D283/2))</f>
        <v/>
      </c>
      <c r="G283" s="6">
        <f>IF($E283="","", DEGREES(ATAN((INDEX(Calc!$E:$E, MATCH("KminusZ_m", Calc!$C:$C, 0)) - $E283 + $B283) / INDEX(Calc!$E:$E, MATCH("L_ramp_m", Calc!$C:$C, 0)))))</f>
        <v/>
      </c>
      <c r="H283" s="3">
        <f>IF($E283="","", IF(AND($E283&gt;=INDEX(Calc!$E:$E, MATCH("min_fwd_draft_m", Calc!$C:$C, 0)), $E283&lt;=INDEX(Calc!$E:$E, MATCH("max_fwd_draft_m", Calc!$C:$C, 0)), $G283&lt;=INDEX(Calc!$E:$E, MATCH("theta_max_deg", Calc!$C:$C, 0))), "OK", "CHECK"))</f>
        <v/>
      </c>
      <c r="I283" s="6">
        <f>IF($E283="","", INDEX(Calc!$E:$E, MATCH("D_vessel_m", Calc!$C:$C, 0)) - $E283 + $B283)</f>
        <v/>
      </c>
      <c r="J283" s="6">
        <f>IF($F283="","", INDEX(Calc!$E:$E, MATCH("D_vessel_m", Calc!$C:$C, 0)) - $F283 + $B283)</f>
        <v/>
      </c>
      <c r="K283" s="3">
        <f>IF(D283=0, "Even Keel", "")</f>
        <v/>
      </c>
    </row>
    <row r="284">
      <c r="A284" s="3">
        <f>IF(December_Tide_2025!A284="","",December_Tide_2025!A284)</f>
        <v/>
      </c>
      <c r="B284" s="6">
        <f>IF(December_Tide_2025!B284="","",December_Tide_2025!B284)</f>
        <v/>
      </c>
      <c r="C284" s="6">
        <f>IF($A284="","", INDEX(Calc!$E:$E, MATCH("KminusZ_m", Calc!$C:$C, 0)) + $B284 - INDEX(Calc!$E:$E, MATCH("L_ramp_m", Calc!$C:$C, 0)) * TAN(RADIANS(INDEX(Calc!$E:$E, MATCH("theta_max_deg", Calc!$C:$C, 0)))))</f>
        <v/>
      </c>
      <c r="D284" s="6" t="n"/>
      <c r="E284" s="6">
        <f>IF($C284="","", IF($D284="", $C284, $C284 - $D284/2))</f>
        <v/>
      </c>
      <c r="F284" s="6">
        <f>IF($C284="","", IF($D284="", $C284, $C284 + $D284/2))</f>
        <v/>
      </c>
      <c r="G284" s="6">
        <f>IF($E284="","", DEGREES(ATAN((INDEX(Calc!$E:$E, MATCH("KminusZ_m", Calc!$C:$C, 0)) - $E284 + $B284) / INDEX(Calc!$E:$E, MATCH("L_ramp_m", Calc!$C:$C, 0)))))</f>
        <v/>
      </c>
      <c r="H284" s="3">
        <f>IF($E284="","", IF(AND($E284&gt;=INDEX(Calc!$E:$E, MATCH("min_fwd_draft_m", Calc!$C:$C, 0)), $E284&lt;=INDEX(Calc!$E:$E, MATCH("max_fwd_draft_m", Calc!$C:$C, 0)), $G284&lt;=INDEX(Calc!$E:$E, MATCH("theta_max_deg", Calc!$C:$C, 0))), "OK", "CHECK"))</f>
        <v/>
      </c>
      <c r="I284" s="6">
        <f>IF($E284="","", INDEX(Calc!$E:$E, MATCH("D_vessel_m", Calc!$C:$C, 0)) - $E284 + $B284)</f>
        <v/>
      </c>
      <c r="J284" s="6">
        <f>IF($F284="","", INDEX(Calc!$E:$E, MATCH("D_vessel_m", Calc!$C:$C, 0)) - $F284 + $B284)</f>
        <v/>
      </c>
      <c r="K284" s="3">
        <f>IF(D284=0, "Even Keel", "")</f>
        <v/>
      </c>
    </row>
    <row r="285">
      <c r="A285" s="3">
        <f>IF(December_Tide_2025!A285="","",December_Tide_2025!A285)</f>
        <v/>
      </c>
      <c r="B285" s="6">
        <f>IF(December_Tide_2025!B285="","",December_Tide_2025!B285)</f>
        <v/>
      </c>
      <c r="C285" s="6">
        <f>IF($A285="","", INDEX(Calc!$E:$E, MATCH("KminusZ_m", Calc!$C:$C, 0)) + $B285 - INDEX(Calc!$E:$E, MATCH("L_ramp_m", Calc!$C:$C, 0)) * TAN(RADIANS(INDEX(Calc!$E:$E, MATCH("theta_max_deg", Calc!$C:$C, 0)))))</f>
        <v/>
      </c>
      <c r="D285" s="6" t="n"/>
      <c r="E285" s="6">
        <f>IF($C285="","", IF($D285="", $C285, $C285 - $D285/2))</f>
        <v/>
      </c>
      <c r="F285" s="6">
        <f>IF($C285="","", IF($D285="", $C285, $C285 + $D285/2))</f>
        <v/>
      </c>
      <c r="G285" s="6">
        <f>IF($E285="","", DEGREES(ATAN((INDEX(Calc!$E:$E, MATCH("KminusZ_m", Calc!$C:$C, 0)) - $E285 + $B285) / INDEX(Calc!$E:$E, MATCH("L_ramp_m", Calc!$C:$C, 0)))))</f>
        <v/>
      </c>
      <c r="H285" s="3">
        <f>IF($E285="","", IF(AND($E285&gt;=INDEX(Calc!$E:$E, MATCH("min_fwd_draft_m", Calc!$C:$C, 0)), $E285&lt;=INDEX(Calc!$E:$E, MATCH("max_fwd_draft_m", Calc!$C:$C, 0)), $G285&lt;=INDEX(Calc!$E:$E, MATCH("theta_max_deg", Calc!$C:$C, 0))), "OK", "CHECK"))</f>
        <v/>
      </c>
      <c r="I285" s="6">
        <f>IF($E285="","", INDEX(Calc!$E:$E, MATCH("D_vessel_m", Calc!$C:$C, 0)) - $E285 + $B285)</f>
        <v/>
      </c>
      <c r="J285" s="6">
        <f>IF($F285="","", INDEX(Calc!$E:$E, MATCH("D_vessel_m", Calc!$C:$C, 0)) - $F285 + $B285)</f>
        <v/>
      </c>
      <c r="K285" s="3">
        <f>IF(D285=0, "Even Keel", "")</f>
        <v/>
      </c>
    </row>
    <row r="286">
      <c r="A286" s="3">
        <f>IF(December_Tide_2025!A286="","",December_Tide_2025!A286)</f>
        <v/>
      </c>
      <c r="B286" s="6">
        <f>IF(December_Tide_2025!B286="","",December_Tide_2025!B286)</f>
        <v/>
      </c>
      <c r="C286" s="6">
        <f>IF($A286="","", INDEX(Calc!$E:$E, MATCH("KminusZ_m", Calc!$C:$C, 0)) + $B286 - INDEX(Calc!$E:$E, MATCH("L_ramp_m", Calc!$C:$C, 0)) * TAN(RADIANS(INDEX(Calc!$E:$E, MATCH("theta_max_deg", Calc!$C:$C, 0)))))</f>
        <v/>
      </c>
      <c r="D286" s="6" t="n"/>
      <c r="E286" s="6">
        <f>IF($C286="","", IF($D286="", $C286, $C286 - $D286/2))</f>
        <v/>
      </c>
      <c r="F286" s="6">
        <f>IF($C286="","", IF($D286="", $C286, $C286 + $D286/2))</f>
        <v/>
      </c>
      <c r="G286" s="6">
        <f>IF($E286="","", DEGREES(ATAN((INDEX(Calc!$E:$E, MATCH("KminusZ_m", Calc!$C:$C, 0)) - $E286 + $B286) / INDEX(Calc!$E:$E, MATCH("L_ramp_m", Calc!$C:$C, 0)))))</f>
        <v/>
      </c>
      <c r="H286" s="3">
        <f>IF($E286="","", IF(AND($E286&gt;=INDEX(Calc!$E:$E, MATCH("min_fwd_draft_m", Calc!$C:$C, 0)), $E286&lt;=INDEX(Calc!$E:$E, MATCH("max_fwd_draft_m", Calc!$C:$C, 0)), $G286&lt;=INDEX(Calc!$E:$E, MATCH("theta_max_deg", Calc!$C:$C, 0))), "OK", "CHECK"))</f>
        <v/>
      </c>
      <c r="I286" s="6">
        <f>IF($E286="","", INDEX(Calc!$E:$E, MATCH("D_vessel_m", Calc!$C:$C, 0)) - $E286 + $B286)</f>
        <v/>
      </c>
      <c r="J286" s="6">
        <f>IF($F286="","", INDEX(Calc!$E:$E, MATCH("D_vessel_m", Calc!$C:$C, 0)) - $F286 + $B286)</f>
        <v/>
      </c>
      <c r="K286" s="3">
        <f>IF(D286=0, "Even Keel", "")</f>
        <v/>
      </c>
    </row>
    <row r="287">
      <c r="A287" s="3">
        <f>IF(December_Tide_2025!A287="","",December_Tide_2025!A287)</f>
        <v/>
      </c>
      <c r="B287" s="6">
        <f>IF(December_Tide_2025!B287="","",December_Tide_2025!B287)</f>
        <v/>
      </c>
      <c r="C287" s="6">
        <f>IF($A287="","", INDEX(Calc!$E:$E, MATCH("KminusZ_m", Calc!$C:$C, 0)) + $B287 - INDEX(Calc!$E:$E, MATCH("L_ramp_m", Calc!$C:$C, 0)) * TAN(RADIANS(INDEX(Calc!$E:$E, MATCH("theta_max_deg", Calc!$C:$C, 0)))))</f>
        <v/>
      </c>
      <c r="D287" s="6" t="n"/>
      <c r="E287" s="6">
        <f>IF($C287="","", IF($D287="", $C287, $C287 - $D287/2))</f>
        <v/>
      </c>
      <c r="F287" s="6">
        <f>IF($C287="","", IF($D287="", $C287, $C287 + $D287/2))</f>
        <v/>
      </c>
      <c r="G287" s="6">
        <f>IF($E287="","", DEGREES(ATAN((INDEX(Calc!$E:$E, MATCH("KminusZ_m", Calc!$C:$C, 0)) - $E287 + $B287) / INDEX(Calc!$E:$E, MATCH("L_ramp_m", Calc!$C:$C, 0)))))</f>
        <v/>
      </c>
      <c r="H287" s="3">
        <f>IF($E287="","", IF(AND($E287&gt;=INDEX(Calc!$E:$E, MATCH("min_fwd_draft_m", Calc!$C:$C, 0)), $E287&lt;=INDEX(Calc!$E:$E, MATCH("max_fwd_draft_m", Calc!$C:$C, 0)), $G287&lt;=INDEX(Calc!$E:$E, MATCH("theta_max_deg", Calc!$C:$C, 0))), "OK", "CHECK"))</f>
        <v/>
      </c>
      <c r="I287" s="6">
        <f>IF($E287="","", INDEX(Calc!$E:$E, MATCH("D_vessel_m", Calc!$C:$C, 0)) - $E287 + $B287)</f>
        <v/>
      </c>
      <c r="J287" s="6">
        <f>IF($F287="","", INDEX(Calc!$E:$E, MATCH("D_vessel_m", Calc!$C:$C, 0)) - $F287 + $B287)</f>
        <v/>
      </c>
      <c r="K287" s="3">
        <f>IF(D287=0, "Even Keel", "")</f>
        <v/>
      </c>
    </row>
    <row r="288">
      <c r="A288" s="3">
        <f>IF(December_Tide_2025!A288="","",December_Tide_2025!A288)</f>
        <v/>
      </c>
      <c r="B288" s="6">
        <f>IF(December_Tide_2025!B288="","",December_Tide_2025!B288)</f>
        <v/>
      </c>
      <c r="C288" s="6">
        <f>IF($A288="","", INDEX(Calc!$E:$E, MATCH("KminusZ_m", Calc!$C:$C, 0)) + $B288 - INDEX(Calc!$E:$E, MATCH("L_ramp_m", Calc!$C:$C, 0)) * TAN(RADIANS(INDEX(Calc!$E:$E, MATCH("theta_max_deg", Calc!$C:$C, 0)))))</f>
        <v/>
      </c>
      <c r="D288" s="6" t="n"/>
      <c r="E288" s="6">
        <f>IF($C288="","", IF($D288="", $C288, $C288 - $D288/2))</f>
        <v/>
      </c>
      <c r="F288" s="6">
        <f>IF($C288="","", IF($D288="", $C288, $C288 + $D288/2))</f>
        <v/>
      </c>
      <c r="G288" s="6">
        <f>IF($E288="","", DEGREES(ATAN((INDEX(Calc!$E:$E, MATCH("KminusZ_m", Calc!$C:$C, 0)) - $E288 + $B288) / INDEX(Calc!$E:$E, MATCH("L_ramp_m", Calc!$C:$C, 0)))))</f>
        <v/>
      </c>
      <c r="H288" s="3">
        <f>IF($E288="","", IF(AND($E288&gt;=INDEX(Calc!$E:$E, MATCH("min_fwd_draft_m", Calc!$C:$C, 0)), $E288&lt;=INDEX(Calc!$E:$E, MATCH("max_fwd_draft_m", Calc!$C:$C, 0)), $G288&lt;=INDEX(Calc!$E:$E, MATCH("theta_max_deg", Calc!$C:$C, 0))), "OK", "CHECK"))</f>
        <v/>
      </c>
      <c r="I288" s="6">
        <f>IF($E288="","", INDEX(Calc!$E:$E, MATCH("D_vessel_m", Calc!$C:$C, 0)) - $E288 + $B288)</f>
        <v/>
      </c>
      <c r="J288" s="6">
        <f>IF($F288="","", INDEX(Calc!$E:$E, MATCH("D_vessel_m", Calc!$C:$C, 0)) - $F288 + $B288)</f>
        <v/>
      </c>
      <c r="K288" s="3">
        <f>IF(D288=0, "Even Keel", "")</f>
        <v/>
      </c>
    </row>
    <row r="289">
      <c r="A289" s="3">
        <f>IF(December_Tide_2025!A289="","",December_Tide_2025!A289)</f>
        <v/>
      </c>
      <c r="B289" s="6">
        <f>IF(December_Tide_2025!B289="","",December_Tide_2025!B289)</f>
        <v/>
      </c>
      <c r="C289" s="6">
        <f>IF($A289="","", INDEX(Calc!$E:$E, MATCH("KminusZ_m", Calc!$C:$C, 0)) + $B289 - INDEX(Calc!$E:$E, MATCH("L_ramp_m", Calc!$C:$C, 0)) * TAN(RADIANS(INDEX(Calc!$E:$E, MATCH("theta_max_deg", Calc!$C:$C, 0)))))</f>
        <v/>
      </c>
      <c r="D289" s="6" t="n"/>
      <c r="E289" s="6">
        <f>IF($C289="","", IF($D289="", $C289, $C289 - $D289/2))</f>
        <v/>
      </c>
      <c r="F289" s="6">
        <f>IF($C289="","", IF($D289="", $C289, $C289 + $D289/2))</f>
        <v/>
      </c>
      <c r="G289" s="6">
        <f>IF($E289="","", DEGREES(ATAN((INDEX(Calc!$E:$E, MATCH("KminusZ_m", Calc!$C:$C, 0)) - $E289 + $B289) / INDEX(Calc!$E:$E, MATCH("L_ramp_m", Calc!$C:$C, 0)))))</f>
        <v/>
      </c>
      <c r="H289" s="3">
        <f>IF($E289="","", IF(AND($E289&gt;=INDEX(Calc!$E:$E, MATCH("min_fwd_draft_m", Calc!$C:$C, 0)), $E289&lt;=INDEX(Calc!$E:$E, MATCH("max_fwd_draft_m", Calc!$C:$C, 0)), $G289&lt;=INDEX(Calc!$E:$E, MATCH("theta_max_deg", Calc!$C:$C, 0))), "OK", "CHECK"))</f>
        <v/>
      </c>
      <c r="I289" s="6">
        <f>IF($E289="","", INDEX(Calc!$E:$E, MATCH("D_vessel_m", Calc!$C:$C, 0)) - $E289 + $B289)</f>
        <v/>
      </c>
      <c r="J289" s="6">
        <f>IF($F289="","", INDEX(Calc!$E:$E, MATCH("D_vessel_m", Calc!$C:$C, 0)) - $F289 + $B289)</f>
        <v/>
      </c>
      <c r="K289" s="3">
        <f>IF(D289=0, "Even Keel", "")</f>
        <v/>
      </c>
    </row>
    <row r="290">
      <c r="A290" s="3">
        <f>IF(December_Tide_2025!A290="","",December_Tide_2025!A290)</f>
        <v/>
      </c>
      <c r="B290" s="6">
        <f>IF(December_Tide_2025!B290="","",December_Tide_2025!B290)</f>
        <v/>
      </c>
      <c r="C290" s="6">
        <f>IF($A290="","", INDEX(Calc!$E:$E, MATCH("KminusZ_m", Calc!$C:$C, 0)) + $B290 - INDEX(Calc!$E:$E, MATCH("L_ramp_m", Calc!$C:$C, 0)) * TAN(RADIANS(INDEX(Calc!$E:$E, MATCH("theta_max_deg", Calc!$C:$C, 0)))))</f>
        <v/>
      </c>
      <c r="D290" s="6" t="n"/>
      <c r="E290" s="6">
        <f>IF($C290="","", IF($D290="", $C290, $C290 - $D290/2))</f>
        <v/>
      </c>
      <c r="F290" s="6">
        <f>IF($C290="","", IF($D290="", $C290, $C290 + $D290/2))</f>
        <v/>
      </c>
      <c r="G290" s="6">
        <f>IF($E290="","", DEGREES(ATAN((INDEX(Calc!$E:$E, MATCH("KminusZ_m", Calc!$C:$C, 0)) - $E290 + $B290) / INDEX(Calc!$E:$E, MATCH("L_ramp_m", Calc!$C:$C, 0)))))</f>
        <v/>
      </c>
      <c r="H290" s="3">
        <f>IF($E290="","", IF(AND($E290&gt;=INDEX(Calc!$E:$E, MATCH("min_fwd_draft_m", Calc!$C:$C, 0)), $E290&lt;=INDEX(Calc!$E:$E, MATCH("max_fwd_draft_m", Calc!$C:$C, 0)), $G290&lt;=INDEX(Calc!$E:$E, MATCH("theta_max_deg", Calc!$C:$C, 0))), "OK", "CHECK"))</f>
        <v/>
      </c>
      <c r="I290" s="6">
        <f>IF($E290="","", INDEX(Calc!$E:$E, MATCH("D_vessel_m", Calc!$C:$C, 0)) - $E290 + $B290)</f>
        <v/>
      </c>
      <c r="J290" s="6">
        <f>IF($F290="","", INDEX(Calc!$E:$E, MATCH("D_vessel_m", Calc!$C:$C, 0)) - $F290 + $B290)</f>
        <v/>
      </c>
      <c r="K290" s="3">
        <f>IF(D290=0, "Even Keel", "")</f>
        <v/>
      </c>
    </row>
    <row r="291">
      <c r="A291" s="3">
        <f>IF(December_Tide_2025!A291="","",December_Tide_2025!A291)</f>
        <v/>
      </c>
      <c r="B291" s="6">
        <f>IF(December_Tide_2025!B291="","",December_Tide_2025!B291)</f>
        <v/>
      </c>
      <c r="C291" s="6">
        <f>IF($A291="","", INDEX(Calc!$E:$E, MATCH("KminusZ_m", Calc!$C:$C, 0)) + $B291 - INDEX(Calc!$E:$E, MATCH("L_ramp_m", Calc!$C:$C, 0)) * TAN(RADIANS(INDEX(Calc!$E:$E, MATCH("theta_max_deg", Calc!$C:$C, 0)))))</f>
        <v/>
      </c>
      <c r="D291" s="6" t="n"/>
      <c r="E291" s="6">
        <f>IF($C291="","", IF($D291="", $C291, $C291 - $D291/2))</f>
        <v/>
      </c>
      <c r="F291" s="6">
        <f>IF($C291="","", IF($D291="", $C291, $C291 + $D291/2))</f>
        <v/>
      </c>
      <c r="G291" s="6">
        <f>IF($E291="","", DEGREES(ATAN((INDEX(Calc!$E:$E, MATCH("KminusZ_m", Calc!$C:$C, 0)) - $E291 + $B291) / INDEX(Calc!$E:$E, MATCH("L_ramp_m", Calc!$C:$C, 0)))))</f>
        <v/>
      </c>
      <c r="H291" s="3">
        <f>IF($E291="","", IF(AND($E291&gt;=INDEX(Calc!$E:$E, MATCH("min_fwd_draft_m", Calc!$C:$C, 0)), $E291&lt;=INDEX(Calc!$E:$E, MATCH("max_fwd_draft_m", Calc!$C:$C, 0)), $G291&lt;=INDEX(Calc!$E:$E, MATCH("theta_max_deg", Calc!$C:$C, 0))), "OK", "CHECK"))</f>
        <v/>
      </c>
      <c r="I291" s="6">
        <f>IF($E291="","", INDEX(Calc!$E:$E, MATCH("D_vessel_m", Calc!$C:$C, 0)) - $E291 + $B291)</f>
        <v/>
      </c>
      <c r="J291" s="6">
        <f>IF($F291="","", INDEX(Calc!$E:$E, MATCH("D_vessel_m", Calc!$C:$C, 0)) - $F291 + $B291)</f>
        <v/>
      </c>
      <c r="K291" s="3">
        <f>IF(D291=0, "Even Keel", "")</f>
        <v/>
      </c>
    </row>
    <row r="292">
      <c r="A292" s="3">
        <f>IF(December_Tide_2025!A292="","",December_Tide_2025!A292)</f>
        <v/>
      </c>
      <c r="B292" s="6">
        <f>IF(December_Tide_2025!B292="","",December_Tide_2025!B292)</f>
        <v/>
      </c>
      <c r="C292" s="6">
        <f>IF($A292="","", INDEX(Calc!$E:$E, MATCH("KminusZ_m", Calc!$C:$C, 0)) + $B292 - INDEX(Calc!$E:$E, MATCH("L_ramp_m", Calc!$C:$C, 0)) * TAN(RADIANS(INDEX(Calc!$E:$E, MATCH("theta_max_deg", Calc!$C:$C, 0)))))</f>
        <v/>
      </c>
      <c r="D292" s="6" t="n"/>
      <c r="E292" s="6">
        <f>IF($C292="","", IF($D292="", $C292, $C292 - $D292/2))</f>
        <v/>
      </c>
      <c r="F292" s="6">
        <f>IF($C292="","", IF($D292="", $C292, $C292 + $D292/2))</f>
        <v/>
      </c>
      <c r="G292" s="6">
        <f>IF($E292="","", DEGREES(ATAN((INDEX(Calc!$E:$E, MATCH("KminusZ_m", Calc!$C:$C, 0)) - $E292 + $B292) / INDEX(Calc!$E:$E, MATCH("L_ramp_m", Calc!$C:$C, 0)))))</f>
        <v/>
      </c>
      <c r="H292" s="3">
        <f>IF($E292="","", IF(AND($E292&gt;=INDEX(Calc!$E:$E, MATCH("min_fwd_draft_m", Calc!$C:$C, 0)), $E292&lt;=INDEX(Calc!$E:$E, MATCH("max_fwd_draft_m", Calc!$C:$C, 0)), $G292&lt;=INDEX(Calc!$E:$E, MATCH("theta_max_deg", Calc!$C:$C, 0))), "OK", "CHECK"))</f>
        <v/>
      </c>
      <c r="I292" s="6">
        <f>IF($E292="","", INDEX(Calc!$E:$E, MATCH("D_vessel_m", Calc!$C:$C, 0)) - $E292 + $B292)</f>
        <v/>
      </c>
      <c r="J292" s="6">
        <f>IF($F292="","", INDEX(Calc!$E:$E, MATCH("D_vessel_m", Calc!$C:$C, 0)) - $F292 + $B292)</f>
        <v/>
      </c>
      <c r="K292" s="3">
        <f>IF(D292=0, "Even Keel", "")</f>
        <v/>
      </c>
    </row>
    <row r="293">
      <c r="A293" s="3">
        <f>IF(December_Tide_2025!A293="","",December_Tide_2025!A293)</f>
        <v/>
      </c>
      <c r="B293" s="6">
        <f>IF(December_Tide_2025!B293="","",December_Tide_2025!B293)</f>
        <v/>
      </c>
      <c r="C293" s="6">
        <f>IF($A293="","", INDEX(Calc!$E:$E, MATCH("KminusZ_m", Calc!$C:$C, 0)) + $B293 - INDEX(Calc!$E:$E, MATCH("L_ramp_m", Calc!$C:$C, 0)) * TAN(RADIANS(INDEX(Calc!$E:$E, MATCH("theta_max_deg", Calc!$C:$C, 0)))))</f>
        <v/>
      </c>
      <c r="D293" s="6" t="n"/>
      <c r="E293" s="6">
        <f>IF($C293="","", IF($D293="", $C293, $C293 - $D293/2))</f>
        <v/>
      </c>
      <c r="F293" s="6">
        <f>IF($C293="","", IF($D293="", $C293, $C293 + $D293/2))</f>
        <v/>
      </c>
      <c r="G293" s="6">
        <f>IF($E293="","", DEGREES(ATAN((INDEX(Calc!$E:$E, MATCH("KminusZ_m", Calc!$C:$C, 0)) - $E293 + $B293) / INDEX(Calc!$E:$E, MATCH("L_ramp_m", Calc!$C:$C, 0)))))</f>
        <v/>
      </c>
      <c r="H293" s="3">
        <f>IF($E293="","", IF(AND($E293&gt;=INDEX(Calc!$E:$E, MATCH("min_fwd_draft_m", Calc!$C:$C, 0)), $E293&lt;=INDEX(Calc!$E:$E, MATCH("max_fwd_draft_m", Calc!$C:$C, 0)), $G293&lt;=INDEX(Calc!$E:$E, MATCH("theta_max_deg", Calc!$C:$C, 0))), "OK", "CHECK"))</f>
        <v/>
      </c>
      <c r="I293" s="6">
        <f>IF($E293="","", INDEX(Calc!$E:$E, MATCH("D_vessel_m", Calc!$C:$C, 0)) - $E293 + $B293)</f>
        <v/>
      </c>
      <c r="J293" s="6">
        <f>IF($F293="","", INDEX(Calc!$E:$E, MATCH("D_vessel_m", Calc!$C:$C, 0)) - $F293 + $B293)</f>
        <v/>
      </c>
      <c r="K293" s="3">
        <f>IF(D293=0, "Even Keel", "")</f>
        <v/>
      </c>
    </row>
    <row r="294">
      <c r="A294" s="3">
        <f>IF(December_Tide_2025!A294="","",December_Tide_2025!A294)</f>
        <v/>
      </c>
      <c r="B294" s="6">
        <f>IF(December_Tide_2025!B294="","",December_Tide_2025!B294)</f>
        <v/>
      </c>
      <c r="C294" s="6">
        <f>IF($A294="","", INDEX(Calc!$E:$E, MATCH("KminusZ_m", Calc!$C:$C, 0)) + $B294 - INDEX(Calc!$E:$E, MATCH("L_ramp_m", Calc!$C:$C, 0)) * TAN(RADIANS(INDEX(Calc!$E:$E, MATCH("theta_max_deg", Calc!$C:$C, 0)))))</f>
        <v/>
      </c>
      <c r="D294" s="6" t="n"/>
      <c r="E294" s="6">
        <f>IF($C294="","", IF($D294="", $C294, $C294 - $D294/2))</f>
        <v/>
      </c>
      <c r="F294" s="6">
        <f>IF($C294="","", IF($D294="", $C294, $C294 + $D294/2))</f>
        <v/>
      </c>
      <c r="G294" s="6">
        <f>IF($E294="","", DEGREES(ATAN((INDEX(Calc!$E:$E, MATCH("KminusZ_m", Calc!$C:$C, 0)) - $E294 + $B294) / INDEX(Calc!$E:$E, MATCH("L_ramp_m", Calc!$C:$C, 0)))))</f>
        <v/>
      </c>
      <c r="H294" s="3">
        <f>IF($E294="","", IF(AND($E294&gt;=INDEX(Calc!$E:$E, MATCH("min_fwd_draft_m", Calc!$C:$C, 0)), $E294&lt;=INDEX(Calc!$E:$E, MATCH("max_fwd_draft_m", Calc!$C:$C, 0)), $G294&lt;=INDEX(Calc!$E:$E, MATCH("theta_max_deg", Calc!$C:$C, 0))), "OK", "CHECK"))</f>
        <v/>
      </c>
      <c r="I294" s="6">
        <f>IF($E294="","", INDEX(Calc!$E:$E, MATCH("D_vessel_m", Calc!$C:$C, 0)) - $E294 + $B294)</f>
        <v/>
      </c>
      <c r="J294" s="6">
        <f>IF($F294="","", INDEX(Calc!$E:$E, MATCH("D_vessel_m", Calc!$C:$C, 0)) - $F294 + $B294)</f>
        <v/>
      </c>
      <c r="K294" s="3">
        <f>IF(D294=0, "Even Keel", "")</f>
        <v/>
      </c>
    </row>
    <row r="295">
      <c r="A295" s="3">
        <f>IF(December_Tide_2025!A295="","",December_Tide_2025!A295)</f>
        <v/>
      </c>
      <c r="B295" s="6">
        <f>IF(December_Tide_2025!B295="","",December_Tide_2025!B295)</f>
        <v/>
      </c>
      <c r="C295" s="6">
        <f>IF($A295="","", INDEX(Calc!$E:$E, MATCH("KminusZ_m", Calc!$C:$C, 0)) + $B295 - INDEX(Calc!$E:$E, MATCH("L_ramp_m", Calc!$C:$C, 0)) * TAN(RADIANS(INDEX(Calc!$E:$E, MATCH("theta_max_deg", Calc!$C:$C, 0)))))</f>
        <v/>
      </c>
      <c r="D295" s="6" t="n"/>
      <c r="E295" s="6">
        <f>IF($C295="","", IF($D295="", $C295, $C295 - $D295/2))</f>
        <v/>
      </c>
      <c r="F295" s="6">
        <f>IF($C295="","", IF($D295="", $C295, $C295 + $D295/2))</f>
        <v/>
      </c>
      <c r="G295" s="6">
        <f>IF($E295="","", DEGREES(ATAN((INDEX(Calc!$E:$E, MATCH("KminusZ_m", Calc!$C:$C, 0)) - $E295 + $B295) / INDEX(Calc!$E:$E, MATCH("L_ramp_m", Calc!$C:$C, 0)))))</f>
        <v/>
      </c>
      <c r="H295" s="3">
        <f>IF($E295="","", IF(AND($E295&gt;=INDEX(Calc!$E:$E, MATCH("min_fwd_draft_m", Calc!$C:$C, 0)), $E295&lt;=INDEX(Calc!$E:$E, MATCH("max_fwd_draft_m", Calc!$C:$C, 0)), $G295&lt;=INDEX(Calc!$E:$E, MATCH("theta_max_deg", Calc!$C:$C, 0))), "OK", "CHECK"))</f>
        <v/>
      </c>
      <c r="I295" s="6">
        <f>IF($E295="","", INDEX(Calc!$E:$E, MATCH("D_vessel_m", Calc!$C:$C, 0)) - $E295 + $B295)</f>
        <v/>
      </c>
      <c r="J295" s="6">
        <f>IF($F295="","", INDEX(Calc!$E:$E, MATCH("D_vessel_m", Calc!$C:$C, 0)) - $F295 + $B295)</f>
        <v/>
      </c>
      <c r="K295" s="3">
        <f>IF(D295=0, "Even Keel", "")</f>
        <v/>
      </c>
    </row>
    <row r="296">
      <c r="A296" s="3">
        <f>IF(December_Tide_2025!A296="","",December_Tide_2025!A296)</f>
        <v/>
      </c>
      <c r="B296" s="6">
        <f>IF(December_Tide_2025!B296="","",December_Tide_2025!B296)</f>
        <v/>
      </c>
      <c r="C296" s="6">
        <f>IF($A296="","", INDEX(Calc!$E:$E, MATCH("KminusZ_m", Calc!$C:$C, 0)) + $B296 - INDEX(Calc!$E:$E, MATCH("L_ramp_m", Calc!$C:$C, 0)) * TAN(RADIANS(INDEX(Calc!$E:$E, MATCH("theta_max_deg", Calc!$C:$C, 0)))))</f>
        <v/>
      </c>
      <c r="D296" s="6" t="n"/>
      <c r="E296" s="6">
        <f>IF($C296="","", IF($D296="", $C296, $C296 - $D296/2))</f>
        <v/>
      </c>
      <c r="F296" s="6">
        <f>IF($C296="","", IF($D296="", $C296, $C296 + $D296/2))</f>
        <v/>
      </c>
      <c r="G296" s="6">
        <f>IF($E296="","", DEGREES(ATAN((INDEX(Calc!$E:$E, MATCH("KminusZ_m", Calc!$C:$C, 0)) - $E296 + $B296) / INDEX(Calc!$E:$E, MATCH("L_ramp_m", Calc!$C:$C, 0)))))</f>
        <v/>
      </c>
      <c r="H296" s="3">
        <f>IF($E296="","", IF(AND($E296&gt;=INDEX(Calc!$E:$E, MATCH("min_fwd_draft_m", Calc!$C:$C, 0)), $E296&lt;=INDEX(Calc!$E:$E, MATCH("max_fwd_draft_m", Calc!$C:$C, 0)), $G296&lt;=INDEX(Calc!$E:$E, MATCH("theta_max_deg", Calc!$C:$C, 0))), "OK", "CHECK"))</f>
        <v/>
      </c>
      <c r="I296" s="6">
        <f>IF($E296="","", INDEX(Calc!$E:$E, MATCH("D_vessel_m", Calc!$C:$C, 0)) - $E296 + $B296)</f>
        <v/>
      </c>
      <c r="J296" s="6">
        <f>IF($F296="","", INDEX(Calc!$E:$E, MATCH("D_vessel_m", Calc!$C:$C, 0)) - $F296 + $B296)</f>
        <v/>
      </c>
      <c r="K296" s="3">
        <f>IF(D296=0, "Even Keel", "")</f>
        <v/>
      </c>
    </row>
    <row r="297">
      <c r="A297" s="3">
        <f>IF(December_Tide_2025!A297="","",December_Tide_2025!A297)</f>
        <v/>
      </c>
      <c r="B297" s="6">
        <f>IF(December_Tide_2025!B297="","",December_Tide_2025!B297)</f>
        <v/>
      </c>
      <c r="C297" s="6">
        <f>IF($A297="","", INDEX(Calc!$E:$E, MATCH("KminusZ_m", Calc!$C:$C, 0)) + $B297 - INDEX(Calc!$E:$E, MATCH("L_ramp_m", Calc!$C:$C, 0)) * TAN(RADIANS(INDEX(Calc!$E:$E, MATCH("theta_max_deg", Calc!$C:$C, 0)))))</f>
        <v/>
      </c>
      <c r="D297" s="6" t="n"/>
      <c r="E297" s="6">
        <f>IF($C297="","", IF($D297="", $C297, $C297 - $D297/2))</f>
        <v/>
      </c>
      <c r="F297" s="6">
        <f>IF($C297="","", IF($D297="", $C297, $C297 + $D297/2))</f>
        <v/>
      </c>
      <c r="G297" s="6">
        <f>IF($E297="","", DEGREES(ATAN((INDEX(Calc!$E:$E, MATCH("KminusZ_m", Calc!$C:$C, 0)) - $E297 + $B297) / INDEX(Calc!$E:$E, MATCH("L_ramp_m", Calc!$C:$C, 0)))))</f>
        <v/>
      </c>
      <c r="H297" s="3">
        <f>IF($E297="","", IF(AND($E297&gt;=INDEX(Calc!$E:$E, MATCH("min_fwd_draft_m", Calc!$C:$C, 0)), $E297&lt;=INDEX(Calc!$E:$E, MATCH("max_fwd_draft_m", Calc!$C:$C, 0)), $G297&lt;=INDEX(Calc!$E:$E, MATCH("theta_max_deg", Calc!$C:$C, 0))), "OK", "CHECK"))</f>
        <v/>
      </c>
      <c r="I297" s="6">
        <f>IF($E297="","", INDEX(Calc!$E:$E, MATCH("D_vessel_m", Calc!$C:$C, 0)) - $E297 + $B297)</f>
        <v/>
      </c>
      <c r="J297" s="6">
        <f>IF($F297="","", INDEX(Calc!$E:$E, MATCH("D_vessel_m", Calc!$C:$C, 0)) - $F297 + $B297)</f>
        <v/>
      </c>
      <c r="K297" s="3">
        <f>IF(D297=0, "Even Keel", "")</f>
        <v/>
      </c>
    </row>
    <row r="298">
      <c r="A298" s="3">
        <f>IF(December_Tide_2025!A298="","",December_Tide_2025!A298)</f>
        <v/>
      </c>
      <c r="B298" s="6">
        <f>IF(December_Tide_2025!B298="","",December_Tide_2025!B298)</f>
        <v/>
      </c>
      <c r="C298" s="6">
        <f>IF($A298="","", INDEX(Calc!$E:$E, MATCH("KminusZ_m", Calc!$C:$C, 0)) + $B298 - INDEX(Calc!$E:$E, MATCH("L_ramp_m", Calc!$C:$C, 0)) * TAN(RADIANS(INDEX(Calc!$E:$E, MATCH("theta_max_deg", Calc!$C:$C, 0)))))</f>
        <v/>
      </c>
      <c r="D298" s="6" t="n"/>
      <c r="E298" s="6">
        <f>IF($C298="","", IF($D298="", $C298, $C298 - $D298/2))</f>
        <v/>
      </c>
      <c r="F298" s="6">
        <f>IF($C298="","", IF($D298="", $C298, $C298 + $D298/2))</f>
        <v/>
      </c>
      <c r="G298" s="6">
        <f>IF($E298="","", DEGREES(ATAN((INDEX(Calc!$E:$E, MATCH("KminusZ_m", Calc!$C:$C, 0)) - $E298 + $B298) / INDEX(Calc!$E:$E, MATCH("L_ramp_m", Calc!$C:$C, 0)))))</f>
        <v/>
      </c>
      <c r="H298" s="3">
        <f>IF($E298="","", IF(AND($E298&gt;=INDEX(Calc!$E:$E, MATCH("min_fwd_draft_m", Calc!$C:$C, 0)), $E298&lt;=INDEX(Calc!$E:$E, MATCH("max_fwd_draft_m", Calc!$C:$C, 0)), $G298&lt;=INDEX(Calc!$E:$E, MATCH("theta_max_deg", Calc!$C:$C, 0))), "OK", "CHECK"))</f>
        <v/>
      </c>
      <c r="I298" s="6">
        <f>IF($E298="","", INDEX(Calc!$E:$E, MATCH("D_vessel_m", Calc!$C:$C, 0)) - $E298 + $B298)</f>
        <v/>
      </c>
      <c r="J298" s="6">
        <f>IF($F298="","", INDEX(Calc!$E:$E, MATCH("D_vessel_m", Calc!$C:$C, 0)) - $F298 + $B298)</f>
        <v/>
      </c>
      <c r="K298" s="3">
        <f>IF(D298=0, "Even Keel", "")</f>
        <v/>
      </c>
    </row>
    <row r="299">
      <c r="A299" s="3">
        <f>IF(December_Tide_2025!A299="","",December_Tide_2025!A299)</f>
        <v/>
      </c>
      <c r="B299" s="6">
        <f>IF(December_Tide_2025!B299="","",December_Tide_2025!B299)</f>
        <v/>
      </c>
      <c r="C299" s="6">
        <f>IF($A299="","", INDEX(Calc!$E:$E, MATCH("KminusZ_m", Calc!$C:$C, 0)) + $B299 - INDEX(Calc!$E:$E, MATCH("L_ramp_m", Calc!$C:$C, 0)) * TAN(RADIANS(INDEX(Calc!$E:$E, MATCH("theta_max_deg", Calc!$C:$C, 0)))))</f>
        <v/>
      </c>
      <c r="D299" s="6" t="n"/>
      <c r="E299" s="6">
        <f>IF($C299="","", IF($D299="", $C299, $C299 - $D299/2))</f>
        <v/>
      </c>
      <c r="F299" s="6">
        <f>IF($C299="","", IF($D299="", $C299, $C299 + $D299/2))</f>
        <v/>
      </c>
      <c r="G299" s="6">
        <f>IF($E299="","", DEGREES(ATAN((INDEX(Calc!$E:$E, MATCH("KminusZ_m", Calc!$C:$C, 0)) - $E299 + $B299) / INDEX(Calc!$E:$E, MATCH("L_ramp_m", Calc!$C:$C, 0)))))</f>
        <v/>
      </c>
      <c r="H299" s="3">
        <f>IF($E299="","", IF(AND($E299&gt;=INDEX(Calc!$E:$E, MATCH("min_fwd_draft_m", Calc!$C:$C, 0)), $E299&lt;=INDEX(Calc!$E:$E, MATCH("max_fwd_draft_m", Calc!$C:$C, 0)), $G299&lt;=INDEX(Calc!$E:$E, MATCH("theta_max_deg", Calc!$C:$C, 0))), "OK", "CHECK"))</f>
        <v/>
      </c>
      <c r="I299" s="6">
        <f>IF($E299="","", INDEX(Calc!$E:$E, MATCH("D_vessel_m", Calc!$C:$C, 0)) - $E299 + $B299)</f>
        <v/>
      </c>
      <c r="J299" s="6">
        <f>IF($F299="","", INDEX(Calc!$E:$E, MATCH("D_vessel_m", Calc!$C:$C, 0)) - $F299 + $B299)</f>
        <v/>
      </c>
      <c r="K299" s="3">
        <f>IF(D299=0, "Even Keel", "")</f>
        <v/>
      </c>
    </row>
    <row r="300">
      <c r="A300" s="3">
        <f>IF(December_Tide_2025!A300="","",December_Tide_2025!A300)</f>
        <v/>
      </c>
      <c r="B300" s="6">
        <f>IF(December_Tide_2025!B300="","",December_Tide_2025!B300)</f>
        <v/>
      </c>
      <c r="C300" s="6">
        <f>IF($A300="","", INDEX(Calc!$E:$E, MATCH("KminusZ_m", Calc!$C:$C, 0)) + $B300 - INDEX(Calc!$E:$E, MATCH("L_ramp_m", Calc!$C:$C, 0)) * TAN(RADIANS(INDEX(Calc!$E:$E, MATCH("theta_max_deg", Calc!$C:$C, 0)))))</f>
        <v/>
      </c>
      <c r="D300" s="6" t="n"/>
      <c r="E300" s="6">
        <f>IF($C300="","", IF($D300="", $C300, $C300 - $D300/2))</f>
        <v/>
      </c>
      <c r="F300" s="6">
        <f>IF($C300="","", IF($D300="", $C300, $C300 + $D300/2))</f>
        <v/>
      </c>
      <c r="G300" s="6">
        <f>IF($E300="","", DEGREES(ATAN((INDEX(Calc!$E:$E, MATCH("KminusZ_m", Calc!$C:$C, 0)) - $E300 + $B300) / INDEX(Calc!$E:$E, MATCH("L_ramp_m", Calc!$C:$C, 0)))))</f>
        <v/>
      </c>
      <c r="H300" s="3">
        <f>IF($E300="","", IF(AND($E300&gt;=INDEX(Calc!$E:$E, MATCH("min_fwd_draft_m", Calc!$C:$C, 0)), $E300&lt;=INDEX(Calc!$E:$E, MATCH("max_fwd_draft_m", Calc!$C:$C, 0)), $G300&lt;=INDEX(Calc!$E:$E, MATCH("theta_max_deg", Calc!$C:$C, 0))), "OK", "CHECK"))</f>
        <v/>
      </c>
      <c r="I300" s="6">
        <f>IF($E300="","", INDEX(Calc!$E:$E, MATCH("D_vessel_m", Calc!$C:$C, 0)) - $E300 + $B300)</f>
        <v/>
      </c>
      <c r="J300" s="6">
        <f>IF($F300="","", INDEX(Calc!$E:$E, MATCH("D_vessel_m", Calc!$C:$C, 0)) - $F300 + $B300)</f>
        <v/>
      </c>
      <c r="K300" s="3">
        <f>IF(D300=0, "Even Keel", "")</f>
        <v/>
      </c>
    </row>
    <row r="301">
      <c r="A301" s="3">
        <f>IF(December_Tide_2025!A301="","",December_Tide_2025!A301)</f>
        <v/>
      </c>
      <c r="B301" s="6">
        <f>IF(December_Tide_2025!B301="","",December_Tide_2025!B301)</f>
        <v/>
      </c>
      <c r="C301" s="6">
        <f>IF($A301="","", INDEX(Calc!$E:$E, MATCH("KminusZ_m", Calc!$C:$C, 0)) + $B301 - INDEX(Calc!$E:$E, MATCH("L_ramp_m", Calc!$C:$C, 0)) * TAN(RADIANS(INDEX(Calc!$E:$E, MATCH("theta_max_deg", Calc!$C:$C, 0)))))</f>
        <v/>
      </c>
      <c r="D301" s="6" t="n"/>
      <c r="E301" s="6">
        <f>IF($C301="","", IF($D301="", $C301, $C301 - $D301/2))</f>
        <v/>
      </c>
      <c r="F301" s="6">
        <f>IF($C301="","", IF($D301="", $C301, $C301 + $D301/2))</f>
        <v/>
      </c>
      <c r="G301" s="6">
        <f>IF($E301="","", DEGREES(ATAN((INDEX(Calc!$E:$E, MATCH("KminusZ_m", Calc!$C:$C, 0)) - $E301 + $B301) / INDEX(Calc!$E:$E, MATCH("L_ramp_m", Calc!$C:$C, 0)))))</f>
        <v/>
      </c>
      <c r="H301" s="3">
        <f>IF($E301="","", IF(AND($E301&gt;=INDEX(Calc!$E:$E, MATCH("min_fwd_draft_m", Calc!$C:$C, 0)), $E301&lt;=INDEX(Calc!$E:$E, MATCH("max_fwd_draft_m", Calc!$C:$C, 0)), $G301&lt;=INDEX(Calc!$E:$E, MATCH("theta_max_deg", Calc!$C:$C, 0))), "OK", "CHECK"))</f>
        <v/>
      </c>
      <c r="I301" s="6">
        <f>IF($E301="","", INDEX(Calc!$E:$E, MATCH("D_vessel_m", Calc!$C:$C, 0)) - $E301 + $B301)</f>
        <v/>
      </c>
      <c r="J301" s="6">
        <f>IF($F301="","", INDEX(Calc!$E:$E, MATCH("D_vessel_m", Calc!$C:$C, 0)) - $F301 + $B301)</f>
        <v/>
      </c>
      <c r="K301" s="3">
        <f>IF(D301=0, "Even Keel", "")</f>
        <v/>
      </c>
    </row>
    <row r="302">
      <c r="A302" s="3">
        <f>IF(December_Tide_2025!A302="","",December_Tide_2025!A302)</f>
        <v/>
      </c>
      <c r="B302" s="6">
        <f>IF(December_Tide_2025!B302="","",December_Tide_2025!B302)</f>
        <v/>
      </c>
      <c r="C302" s="6">
        <f>IF($A302="","", INDEX(Calc!$E:$E, MATCH("KminusZ_m", Calc!$C:$C, 0)) + $B302 - INDEX(Calc!$E:$E, MATCH("L_ramp_m", Calc!$C:$C, 0)) * TAN(RADIANS(INDEX(Calc!$E:$E, MATCH("theta_max_deg", Calc!$C:$C, 0)))))</f>
        <v/>
      </c>
      <c r="D302" s="6" t="n"/>
      <c r="E302" s="6">
        <f>IF($C302="","", IF($D302="", $C302, $C302 - $D302/2))</f>
        <v/>
      </c>
      <c r="F302" s="6">
        <f>IF($C302="","", IF($D302="", $C302, $C302 + $D302/2))</f>
        <v/>
      </c>
      <c r="G302" s="6">
        <f>IF($E302="","", DEGREES(ATAN((INDEX(Calc!$E:$E, MATCH("KminusZ_m", Calc!$C:$C, 0)) - $E302 + $B302) / INDEX(Calc!$E:$E, MATCH("L_ramp_m", Calc!$C:$C, 0)))))</f>
        <v/>
      </c>
      <c r="H302" s="3">
        <f>IF($E302="","", IF(AND($E302&gt;=INDEX(Calc!$E:$E, MATCH("min_fwd_draft_m", Calc!$C:$C, 0)), $E302&lt;=INDEX(Calc!$E:$E, MATCH("max_fwd_draft_m", Calc!$C:$C, 0)), $G302&lt;=INDEX(Calc!$E:$E, MATCH("theta_max_deg", Calc!$C:$C, 0))), "OK", "CHECK"))</f>
        <v/>
      </c>
      <c r="I302" s="6">
        <f>IF($E302="","", INDEX(Calc!$E:$E, MATCH("D_vessel_m", Calc!$C:$C, 0)) - $E302 + $B302)</f>
        <v/>
      </c>
      <c r="J302" s="6">
        <f>IF($F302="","", INDEX(Calc!$E:$E, MATCH("D_vessel_m", Calc!$C:$C, 0)) - $F302 + $B302)</f>
        <v/>
      </c>
      <c r="K302" s="3">
        <f>IF(D302=0, "Even Keel", "")</f>
        <v/>
      </c>
    </row>
    <row r="303">
      <c r="A303" s="3">
        <f>IF(December_Tide_2025!A303="","",December_Tide_2025!A303)</f>
        <v/>
      </c>
      <c r="B303" s="6">
        <f>IF(December_Tide_2025!B303="","",December_Tide_2025!B303)</f>
        <v/>
      </c>
      <c r="C303" s="6">
        <f>IF($A303="","", INDEX(Calc!$E:$E, MATCH("KminusZ_m", Calc!$C:$C, 0)) + $B303 - INDEX(Calc!$E:$E, MATCH("L_ramp_m", Calc!$C:$C, 0)) * TAN(RADIANS(INDEX(Calc!$E:$E, MATCH("theta_max_deg", Calc!$C:$C, 0)))))</f>
        <v/>
      </c>
      <c r="D303" s="6" t="n"/>
      <c r="E303" s="6">
        <f>IF($C303="","", IF($D303="", $C303, $C303 - $D303/2))</f>
        <v/>
      </c>
      <c r="F303" s="6">
        <f>IF($C303="","", IF($D303="", $C303, $C303 + $D303/2))</f>
        <v/>
      </c>
      <c r="G303" s="6">
        <f>IF($E303="","", DEGREES(ATAN((INDEX(Calc!$E:$E, MATCH("KminusZ_m", Calc!$C:$C, 0)) - $E303 + $B303) / INDEX(Calc!$E:$E, MATCH("L_ramp_m", Calc!$C:$C, 0)))))</f>
        <v/>
      </c>
      <c r="H303" s="3">
        <f>IF($E303="","", IF(AND($E303&gt;=INDEX(Calc!$E:$E, MATCH("min_fwd_draft_m", Calc!$C:$C, 0)), $E303&lt;=INDEX(Calc!$E:$E, MATCH("max_fwd_draft_m", Calc!$C:$C, 0)), $G303&lt;=INDEX(Calc!$E:$E, MATCH("theta_max_deg", Calc!$C:$C, 0))), "OK", "CHECK"))</f>
        <v/>
      </c>
      <c r="I303" s="6">
        <f>IF($E303="","", INDEX(Calc!$E:$E, MATCH("D_vessel_m", Calc!$C:$C, 0)) - $E303 + $B303)</f>
        <v/>
      </c>
      <c r="J303" s="6">
        <f>IF($F303="","", INDEX(Calc!$E:$E, MATCH("D_vessel_m", Calc!$C:$C, 0)) - $F303 + $B303)</f>
        <v/>
      </c>
      <c r="K303" s="3">
        <f>IF(D303=0, "Even Keel", "")</f>
        <v/>
      </c>
    </row>
    <row r="304">
      <c r="A304" s="3">
        <f>IF(December_Tide_2025!A304="","",December_Tide_2025!A304)</f>
        <v/>
      </c>
      <c r="B304" s="6">
        <f>IF(December_Tide_2025!B304="","",December_Tide_2025!B304)</f>
        <v/>
      </c>
      <c r="C304" s="6">
        <f>IF($A304="","", INDEX(Calc!$E:$E, MATCH("KminusZ_m", Calc!$C:$C, 0)) + $B304 - INDEX(Calc!$E:$E, MATCH("L_ramp_m", Calc!$C:$C, 0)) * TAN(RADIANS(INDEX(Calc!$E:$E, MATCH("theta_max_deg", Calc!$C:$C, 0)))))</f>
        <v/>
      </c>
      <c r="D304" s="6" t="n"/>
      <c r="E304" s="6">
        <f>IF($C304="","", IF($D304="", $C304, $C304 - $D304/2))</f>
        <v/>
      </c>
      <c r="F304" s="6">
        <f>IF($C304="","", IF($D304="", $C304, $C304 + $D304/2))</f>
        <v/>
      </c>
      <c r="G304" s="6">
        <f>IF($E304="","", DEGREES(ATAN((INDEX(Calc!$E:$E, MATCH("KminusZ_m", Calc!$C:$C, 0)) - $E304 + $B304) / INDEX(Calc!$E:$E, MATCH("L_ramp_m", Calc!$C:$C, 0)))))</f>
        <v/>
      </c>
      <c r="H304" s="3">
        <f>IF($E304="","", IF(AND($E304&gt;=INDEX(Calc!$E:$E, MATCH("min_fwd_draft_m", Calc!$C:$C, 0)), $E304&lt;=INDEX(Calc!$E:$E, MATCH("max_fwd_draft_m", Calc!$C:$C, 0)), $G304&lt;=INDEX(Calc!$E:$E, MATCH("theta_max_deg", Calc!$C:$C, 0))), "OK", "CHECK"))</f>
        <v/>
      </c>
      <c r="I304" s="6">
        <f>IF($E304="","", INDEX(Calc!$E:$E, MATCH("D_vessel_m", Calc!$C:$C, 0)) - $E304 + $B304)</f>
        <v/>
      </c>
      <c r="J304" s="6">
        <f>IF($F304="","", INDEX(Calc!$E:$E, MATCH("D_vessel_m", Calc!$C:$C, 0)) - $F304 + $B304)</f>
        <v/>
      </c>
      <c r="K304" s="3">
        <f>IF(D304=0, "Even Keel", "")</f>
        <v/>
      </c>
    </row>
    <row r="305">
      <c r="A305" s="3">
        <f>IF(December_Tide_2025!A305="","",December_Tide_2025!A305)</f>
        <v/>
      </c>
      <c r="B305" s="6">
        <f>IF(December_Tide_2025!B305="","",December_Tide_2025!B305)</f>
        <v/>
      </c>
      <c r="C305" s="6">
        <f>IF($A305="","", INDEX(Calc!$E:$E, MATCH("KminusZ_m", Calc!$C:$C, 0)) + $B305 - INDEX(Calc!$E:$E, MATCH("L_ramp_m", Calc!$C:$C, 0)) * TAN(RADIANS(INDEX(Calc!$E:$E, MATCH("theta_max_deg", Calc!$C:$C, 0)))))</f>
        <v/>
      </c>
      <c r="D305" s="6" t="n"/>
      <c r="E305" s="6">
        <f>IF($C305="","", IF($D305="", $C305, $C305 - $D305/2))</f>
        <v/>
      </c>
      <c r="F305" s="6">
        <f>IF($C305="","", IF($D305="", $C305, $C305 + $D305/2))</f>
        <v/>
      </c>
      <c r="G305" s="6">
        <f>IF($E305="","", DEGREES(ATAN((INDEX(Calc!$E:$E, MATCH("KminusZ_m", Calc!$C:$C, 0)) - $E305 + $B305) / INDEX(Calc!$E:$E, MATCH("L_ramp_m", Calc!$C:$C, 0)))))</f>
        <v/>
      </c>
      <c r="H305" s="3">
        <f>IF($E305="","", IF(AND($E305&gt;=INDEX(Calc!$E:$E, MATCH("min_fwd_draft_m", Calc!$C:$C, 0)), $E305&lt;=INDEX(Calc!$E:$E, MATCH("max_fwd_draft_m", Calc!$C:$C, 0)), $G305&lt;=INDEX(Calc!$E:$E, MATCH("theta_max_deg", Calc!$C:$C, 0))), "OK", "CHECK"))</f>
        <v/>
      </c>
      <c r="I305" s="6">
        <f>IF($E305="","", INDEX(Calc!$E:$E, MATCH("D_vessel_m", Calc!$C:$C, 0)) - $E305 + $B305)</f>
        <v/>
      </c>
      <c r="J305" s="6">
        <f>IF($F305="","", INDEX(Calc!$E:$E, MATCH("D_vessel_m", Calc!$C:$C, 0)) - $F305 + $B305)</f>
        <v/>
      </c>
      <c r="K305" s="3">
        <f>IF(D305=0, "Even Keel", "")</f>
        <v/>
      </c>
    </row>
    <row r="306">
      <c r="A306" s="3">
        <f>IF(December_Tide_2025!A306="","",December_Tide_2025!A306)</f>
        <v/>
      </c>
      <c r="B306" s="6">
        <f>IF(December_Tide_2025!B306="","",December_Tide_2025!B306)</f>
        <v/>
      </c>
      <c r="C306" s="6">
        <f>IF($A306="","", INDEX(Calc!$E:$E, MATCH("KminusZ_m", Calc!$C:$C, 0)) + $B306 - INDEX(Calc!$E:$E, MATCH("L_ramp_m", Calc!$C:$C, 0)) * TAN(RADIANS(INDEX(Calc!$E:$E, MATCH("theta_max_deg", Calc!$C:$C, 0)))))</f>
        <v/>
      </c>
      <c r="D306" s="6" t="n"/>
      <c r="E306" s="6">
        <f>IF($C306="","", IF($D306="", $C306, $C306 - $D306/2))</f>
        <v/>
      </c>
      <c r="F306" s="6">
        <f>IF($C306="","", IF($D306="", $C306, $C306 + $D306/2))</f>
        <v/>
      </c>
      <c r="G306" s="6">
        <f>IF($E306="","", DEGREES(ATAN((INDEX(Calc!$E:$E, MATCH("KminusZ_m", Calc!$C:$C, 0)) - $E306 + $B306) / INDEX(Calc!$E:$E, MATCH("L_ramp_m", Calc!$C:$C, 0)))))</f>
        <v/>
      </c>
      <c r="H306" s="3">
        <f>IF($E306="","", IF(AND($E306&gt;=INDEX(Calc!$E:$E, MATCH("min_fwd_draft_m", Calc!$C:$C, 0)), $E306&lt;=INDEX(Calc!$E:$E, MATCH("max_fwd_draft_m", Calc!$C:$C, 0)), $G306&lt;=INDEX(Calc!$E:$E, MATCH("theta_max_deg", Calc!$C:$C, 0))), "OK", "CHECK"))</f>
        <v/>
      </c>
      <c r="I306" s="6">
        <f>IF($E306="","", INDEX(Calc!$E:$E, MATCH("D_vessel_m", Calc!$C:$C, 0)) - $E306 + $B306)</f>
        <v/>
      </c>
      <c r="J306" s="6">
        <f>IF($F306="","", INDEX(Calc!$E:$E, MATCH("D_vessel_m", Calc!$C:$C, 0)) - $F306 + $B306)</f>
        <v/>
      </c>
      <c r="K306" s="3">
        <f>IF(D306=0, "Even Keel", "")</f>
        <v/>
      </c>
    </row>
    <row r="307">
      <c r="A307" s="3">
        <f>IF(December_Tide_2025!A307="","",December_Tide_2025!A307)</f>
        <v/>
      </c>
      <c r="B307" s="6">
        <f>IF(December_Tide_2025!B307="","",December_Tide_2025!B307)</f>
        <v/>
      </c>
      <c r="C307" s="6">
        <f>IF($A307="","", INDEX(Calc!$E:$E, MATCH("KminusZ_m", Calc!$C:$C, 0)) + $B307 - INDEX(Calc!$E:$E, MATCH("L_ramp_m", Calc!$C:$C, 0)) * TAN(RADIANS(INDEX(Calc!$E:$E, MATCH("theta_max_deg", Calc!$C:$C, 0)))))</f>
        <v/>
      </c>
      <c r="D307" s="6" t="n"/>
      <c r="E307" s="6">
        <f>IF($C307="","", IF($D307="", $C307, $C307 - $D307/2))</f>
        <v/>
      </c>
      <c r="F307" s="6">
        <f>IF($C307="","", IF($D307="", $C307, $C307 + $D307/2))</f>
        <v/>
      </c>
      <c r="G307" s="6">
        <f>IF($E307="","", DEGREES(ATAN((INDEX(Calc!$E:$E, MATCH("KminusZ_m", Calc!$C:$C, 0)) - $E307 + $B307) / INDEX(Calc!$E:$E, MATCH("L_ramp_m", Calc!$C:$C, 0)))))</f>
        <v/>
      </c>
      <c r="H307" s="3">
        <f>IF($E307="","", IF(AND($E307&gt;=INDEX(Calc!$E:$E, MATCH("min_fwd_draft_m", Calc!$C:$C, 0)), $E307&lt;=INDEX(Calc!$E:$E, MATCH("max_fwd_draft_m", Calc!$C:$C, 0)), $G307&lt;=INDEX(Calc!$E:$E, MATCH("theta_max_deg", Calc!$C:$C, 0))), "OK", "CHECK"))</f>
        <v/>
      </c>
      <c r="I307" s="6">
        <f>IF($E307="","", INDEX(Calc!$E:$E, MATCH("D_vessel_m", Calc!$C:$C, 0)) - $E307 + $B307)</f>
        <v/>
      </c>
      <c r="J307" s="6">
        <f>IF($F307="","", INDEX(Calc!$E:$E, MATCH("D_vessel_m", Calc!$C:$C, 0)) - $F307 + $B307)</f>
        <v/>
      </c>
      <c r="K307" s="3">
        <f>IF(D307=0, "Even Keel", "")</f>
        <v/>
      </c>
    </row>
    <row r="308">
      <c r="A308" s="3">
        <f>IF(December_Tide_2025!A308="","",December_Tide_2025!A308)</f>
        <v/>
      </c>
      <c r="B308" s="6">
        <f>IF(December_Tide_2025!B308="","",December_Tide_2025!B308)</f>
        <v/>
      </c>
      <c r="C308" s="6">
        <f>IF($A308="","", INDEX(Calc!$E:$E, MATCH("KminusZ_m", Calc!$C:$C, 0)) + $B308 - INDEX(Calc!$E:$E, MATCH("L_ramp_m", Calc!$C:$C, 0)) * TAN(RADIANS(INDEX(Calc!$E:$E, MATCH("theta_max_deg", Calc!$C:$C, 0)))))</f>
        <v/>
      </c>
      <c r="D308" s="6" t="n"/>
      <c r="E308" s="6">
        <f>IF($C308="","", IF($D308="", $C308, $C308 - $D308/2))</f>
        <v/>
      </c>
      <c r="F308" s="6">
        <f>IF($C308="","", IF($D308="", $C308, $C308 + $D308/2))</f>
        <v/>
      </c>
      <c r="G308" s="6">
        <f>IF($E308="","", DEGREES(ATAN((INDEX(Calc!$E:$E, MATCH("KminusZ_m", Calc!$C:$C, 0)) - $E308 + $B308) / INDEX(Calc!$E:$E, MATCH("L_ramp_m", Calc!$C:$C, 0)))))</f>
        <v/>
      </c>
      <c r="H308" s="3">
        <f>IF($E308="","", IF(AND($E308&gt;=INDEX(Calc!$E:$E, MATCH("min_fwd_draft_m", Calc!$C:$C, 0)), $E308&lt;=INDEX(Calc!$E:$E, MATCH("max_fwd_draft_m", Calc!$C:$C, 0)), $G308&lt;=INDEX(Calc!$E:$E, MATCH("theta_max_deg", Calc!$C:$C, 0))), "OK", "CHECK"))</f>
        <v/>
      </c>
      <c r="I308" s="6">
        <f>IF($E308="","", INDEX(Calc!$E:$E, MATCH("D_vessel_m", Calc!$C:$C, 0)) - $E308 + $B308)</f>
        <v/>
      </c>
      <c r="J308" s="6">
        <f>IF($F308="","", INDEX(Calc!$E:$E, MATCH("D_vessel_m", Calc!$C:$C, 0)) - $F308 + $B308)</f>
        <v/>
      </c>
      <c r="K308" s="3">
        <f>IF(D308=0, "Even Keel", "")</f>
        <v/>
      </c>
    </row>
    <row r="309">
      <c r="A309" s="3">
        <f>IF(December_Tide_2025!A309="","",December_Tide_2025!A309)</f>
        <v/>
      </c>
      <c r="B309" s="6">
        <f>IF(December_Tide_2025!B309="","",December_Tide_2025!B309)</f>
        <v/>
      </c>
      <c r="C309" s="6">
        <f>IF($A309="","", INDEX(Calc!$E:$E, MATCH("KminusZ_m", Calc!$C:$C, 0)) + $B309 - INDEX(Calc!$E:$E, MATCH("L_ramp_m", Calc!$C:$C, 0)) * TAN(RADIANS(INDEX(Calc!$E:$E, MATCH("theta_max_deg", Calc!$C:$C, 0)))))</f>
        <v/>
      </c>
      <c r="D309" s="6" t="n"/>
      <c r="E309" s="6">
        <f>IF($C309="","", IF($D309="", $C309, $C309 - $D309/2))</f>
        <v/>
      </c>
      <c r="F309" s="6">
        <f>IF($C309="","", IF($D309="", $C309, $C309 + $D309/2))</f>
        <v/>
      </c>
      <c r="G309" s="6">
        <f>IF($E309="","", DEGREES(ATAN((INDEX(Calc!$E:$E, MATCH("KminusZ_m", Calc!$C:$C, 0)) - $E309 + $B309) / INDEX(Calc!$E:$E, MATCH("L_ramp_m", Calc!$C:$C, 0)))))</f>
        <v/>
      </c>
      <c r="H309" s="3">
        <f>IF($E309="","", IF(AND($E309&gt;=INDEX(Calc!$E:$E, MATCH("min_fwd_draft_m", Calc!$C:$C, 0)), $E309&lt;=INDEX(Calc!$E:$E, MATCH("max_fwd_draft_m", Calc!$C:$C, 0)), $G309&lt;=INDEX(Calc!$E:$E, MATCH("theta_max_deg", Calc!$C:$C, 0))), "OK", "CHECK"))</f>
        <v/>
      </c>
      <c r="I309" s="6">
        <f>IF($E309="","", INDEX(Calc!$E:$E, MATCH("D_vessel_m", Calc!$C:$C, 0)) - $E309 + $B309)</f>
        <v/>
      </c>
      <c r="J309" s="6">
        <f>IF($F309="","", INDEX(Calc!$E:$E, MATCH("D_vessel_m", Calc!$C:$C, 0)) - $F309 + $B309)</f>
        <v/>
      </c>
      <c r="K309" s="3">
        <f>IF(D309=0, "Even Keel", "")</f>
        <v/>
      </c>
    </row>
    <row r="310">
      <c r="A310" s="3">
        <f>IF(December_Tide_2025!A310="","",December_Tide_2025!A310)</f>
        <v/>
      </c>
      <c r="B310" s="6">
        <f>IF(December_Tide_2025!B310="","",December_Tide_2025!B310)</f>
        <v/>
      </c>
      <c r="C310" s="6">
        <f>IF($A310="","", INDEX(Calc!$E:$E, MATCH("KminusZ_m", Calc!$C:$C, 0)) + $B310 - INDEX(Calc!$E:$E, MATCH("L_ramp_m", Calc!$C:$C, 0)) * TAN(RADIANS(INDEX(Calc!$E:$E, MATCH("theta_max_deg", Calc!$C:$C, 0)))))</f>
        <v/>
      </c>
      <c r="D310" s="6" t="n"/>
      <c r="E310" s="6">
        <f>IF($C310="","", IF($D310="", $C310, $C310 - $D310/2))</f>
        <v/>
      </c>
      <c r="F310" s="6">
        <f>IF($C310="","", IF($D310="", $C310, $C310 + $D310/2))</f>
        <v/>
      </c>
      <c r="G310" s="6">
        <f>IF($E310="","", DEGREES(ATAN((INDEX(Calc!$E:$E, MATCH("KminusZ_m", Calc!$C:$C, 0)) - $E310 + $B310) / INDEX(Calc!$E:$E, MATCH("L_ramp_m", Calc!$C:$C, 0)))))</f>
        <v/>
      </c>
      <c r="H310" s="3">
        <f>IF($E310="","", IF(AND($E310&gt;=INDEX(Calc!$E:$E, MATCH("min_fwd_draft_m", Calc!$C:$C, 0)), $E310&lt;=INDEX(Calc!$E:$E, MATCH("max_fwd_draft_m", Calc!$C:$C, 0)), $G310&lt;=INDEX(Calc!$E:$E, MATCH("theta_max_deg", Calc!$C:$C, 0))), "OK", "CHECK"))</f>
        <v/>
      </c>
      <c r="I310" s="6">
        <f>IF($E310="","", INDEX(Calc!$E:$E, MATCH("D_vessel_m", Calc!$C:$C, 0)) - $E310 + $B310)</f>
        <v/>
      </c>
      <c r="J310" s="6">
        <f>IF($F310="","", INDEX(Calc!$E:$E, MATCH("D_vessel_m", Calc!$C:$C, 0)) - $F310 + $B310)</f>
        <v/>
      </c>
      <c r="K310" s="3">
        <f>IF(D310=0, "Even Keel", "")</f>
        <v/>
      </c>
    </row>
    <row r="311">
      <c r="A311" s="3">
        <f>IF(December_Tide_2025!A311="","",December_Tide_2025!A311)</f>
        <v/>
      </c>
      <c r="B311" s="6">
        <f>IF(December_Tide_2025!B311="","",December_Tide_2025!B311)</f>
        <v/>
      </c>
      <c r="C311" s="6">
        <f>IF($A311="","", INDEX(Calc!$E:$E, MATCH("KminusZ_m", Calc!$C:$C, 0)) + $B311 - INDEX(Calc!$E:$E, MATCH("L_ramp_m", Calc!$C:$C, 0)) * TAN(RADIANS(INDEX(Calc!$E:$E, MATCH("theta_max_deg", Calc!$C:$C, 0)))))</f>
        <v/>
      </c>
      <c r="D311" s="6" t="n"/>
      <c r="E311" s="6">
        <f>IF($C311="","", IF($D311="", $C311, $C311 - $D311/2))</f>
        <v/>
      </c>
      <c r="F311" s="6">
        <f>IF($C311="","", IF($D311="", $C311, $C311 + $D311/2))</f>
        <v/>
      </c>
      <c r="G311" s="6">
        <f>IF($E311="","", DEGREES(ATAN((INDEX(Calc!$E:$E, MATCH("KminusZ_m", Calc!$C:$C, 0)) - $E311 + $B311) / INDEX(Calc!$E:$E, MATCH("L_ramp_m", Calc!$C:$C, 0)))))</f>
        <v/>
      </c>
      <c r="H311" s="3">
        <f>IF($E311="","", IF(AND($E311&gt;=INDEX(Calc!$E:$E, MATCH("min_fwd_draft_m", Calc!$C:$C, 0)), $E311&lt;=INDEX(Calc!$E:$E, MATCH("max_fwd_draft_m", Calc!$C:$C, 0)), $G311&lt;=INDEX(Calc!$E:$E, MATCH("theta_max_deg", Calc!$C:$C, 0))), "OK", "CHECK"))</f>
        <v/>
      </c>
      <c r="I311" s="6">
        <f>IF($E311="","", INDEX(Calc!$E:$E, MATCH("D_vessel_m", Calc!$C:$C, 0)) - $E311 + $B311)</f>
        <v/>
      </c>
      <c r="J311" s="6">
        <f>IF($F311="","", INDEX(Calc!$E:$E, MATCH("D_vessel_m", Calc!$C:$C, 0)) - $F311 + $B311)</f>
        <v/>
      </c>
      <c r="K311" s="3">
        <f>IF(D311=0, "Even Keel", "")</f>
        <v/>
      </c>
    </row>
    <row r="312">
      <c r="A312" s="3">
        <f>IF(December_Tide_2025!A312="","",December_Tide_2025!A312)</f>
        <v/>
      </c>
      <c r="B312" s="6">
        <f>IF(December_Tide_2025!B312="","",December_Tide_2025!B312)</f>
        <v/>
      </c>
      <c r="C312" s="6">
        <f>IF($A312="","", INDEX(Calc!$E:$E, MATCH("KminusZ_m", Calc!$C:$C, 0)) + $B312 - INDEX(Calc!$E:$E, MATCH("L_ramp_m", Calc!$C:$C, 0)) * TAN(RADIANS(INDEX(Calc!$E:$E, MATCH("theta_max_deg", Calc!$C:$C, 0)))))</f>
        <v/>
      </c>
      <c r="D312" s="6" t="n"/>
      <c r="E312" s="6">
        <f>IF($C312="","", IF($D312="", $C312, $C312 - $D312/2))</f>
        <v/>
      </c>
      <c r="F312" s="6">
        <f>IF($C312="","", IF($D312="", $C312, $C312 + $D312/2))</f>
        <v/>
      </c>
      <c r="G312" s="6">
        <f>IF($E312="","", DEGREES(ATAN((INDEX(Calc!$E:$E, MATCH("KminusZ_m", Calc!$C:$C, 0)) - $E312 + $B312) / INDEX(Calc!$E:$E, MATCH("L_ramp_m", Calc!$C:$C, 0)))))</f>
        <v/>
      </c>
      <c r="H312" s="3">
        <f>IF($E312="","", IF(AND($E312&gt;=INDEX(Calc!$E:$E, MATCH("min_fwd_draft_m", Calc!$C:$C, 0)), $E312&lt;=INDEX(Calc!$E:$E, MATCH("max_fwd_draft_m", Calc!$C:$C, 0)), $G312&lt;=INDEX(Calc!$E:$E, MATCH("theta_max_deg", Calc!$C:$C, 0))), "OK", "CHECK"))</f>
        <v/>
      </c>
      <c r="I312" s="6">
        <f>IF($E312="","", INDEX(Calc!$E:$E, MATCH("D_vessel_m", Calc!$C:$C, 0)) - $E312 + $B312)</f>
        <v/>
      </c>
      <c r="J312" s="6">
        <f>IF($F312="","", INDEX(Calc!$E:$E, MATCH("D_vessel_m", Calc!$C:$C, 0)) - $F312 + $B312)</f>
        <v/>
      </c>
      <c r="K312" s="3">
        <f>IF(D312=0, "Even Keel", "")</f>
        <v/>
      </c>
    </row>
    <row r="313">
      <c r="A313" s="3">
        <f>IF(December_Tide_2025!A313="","",December_Tide_2025!A313)</f>
        <v/>
      </c>
      <c r="B313" s="6">
        <f>IF(December_Tide_2025!B313="","",December_Tide_2025!B313)</f>
        <v/>
      </c>
      <c r="C313" s="6">
        <f>IF($A313="","", INDEX(Calc!$E:$E, MATCH("KminusZ_m", Calc!$C:$C, 0)) + $B313 - INDEX(Calc!$E:$E, MATCH("L_ramp_m", Calc!$C:$C, 0)) * TAN(RADIANS(INDEX(Calc!$E:$E, MATCH("theta_max_deg", Calc!$C:$C, 0)))))</f>
        <v/>
      </c>
      <c r="D313" s="6" t="n"/>
      <c r="E313" s="6">
        <f>IF($C313="","", IF($D313="", $C313, $C313 - $D313/2))</f>
        <v/>
      </c>
      <c r="F313" s="6">
        <f>IF($C313="","", IF($D313="", $C313, $C313 + $D313/2))</f>
        <v/>
      </c>
      <c r="G313" s="6">
        <f>IF($E313="","", DEGREES(ATAN((INDEX(Calc!$E:$E, MATCH("KminusZ_m", Calc!$C:$C, 0)) - $E313 + $B313) / INDEX(Calc!$E:$E, MATCH("L_ramp_m", Calc!$C:$C, 0)))))</f>
        <v/>
      </c>
      <c r="H313" s="3">
        <f>IF($E313="","", IF(AND($E313&gt;=INDEX(Calc!$E:$E, MATCH("min_fwd_draft_m", Calc!$C:$C, 0)), $E313&lt;=INDEX(Calc!$E:$E, MATCH("max_fwd_draft_m", Calc!$C:$C, 0)), $G313&lt;=INDEX(Calc!$E:$E, MATCH("theta_max_deg", Calc!$C:$C, 0))), "OK", "CHECK"))</f>
        <v/>
      </c>
      <c r="I313" s="6">
        <f>IF($E313="","", INDEX(Calc!$E:$E, MATCH("D_vessel_m", Calc!$C:$C, 0)) - $E313 + $B313)</f>
        <v/>
      </c>
      <c r="J313" s="6">
        <f>IF($F313="","", INDEX(Calc!$E:$E, MATCH("D_vessel_m", Calc!$C:$C, 0)) - $F313 + $B313)</f>
        <v/>
      </c>
      <c r="K313" s="3">
        <f>IF(D313=0, "Even Keel", "")</f>
        <v/>
      </c>
    </row>
    <row r="314">
      <c r="A314" s="3">
        <f>IF(December_Tide_2025!A314="","",December_Tide_2025!A314)</f>
        <v/>
      </c>
      <c r="B314" s="6">
        <f>IF(December_Tide_2025!B314="","",December_Tide_2025!B314)</f>
        <v/>
      </c>
      <c r="C314" s="6">
        <f>IF($A314="","", INDEX(Calc!$E:$E, MATCH("KminusZ_m", Calc!$C:$C, 0)) + $B314 - INDEX(Calc!$E:$E, MATCH("L_ramp_m", Calc!$C:$C, 0)) * TAN(RADIANS(INDEX(Calc!$E:$E, MATCH("theta_max_deg", Calc!$C:$C, 0)))))</f>
        <v/>
      </c>
      <c r="D314" s="6" t="n"/>
      <c r="E314" s="6">
        <f>IF($C314="","", IF($D314="", $C314, $C314 - $D314/2))</f>
        <v/>
      </c>
      <c r="F314" s="6">
        <f>IF($C314="","", IF($D314="", $C314, $C314 + $D314/2))</f>
        <v/>
      </c>
      <c r="G314" s="6">
        <f>IF($E314="","", DEGREES(ATAN((INDEX(Calc!$E:$E, MATCH("KminusZ_m", Calc!$C:$C, 0)) - $E314 + $B314) / INDEX(Calc!$E:$E, MATCH("L_ramp_m", Calc!$C:$C, 0)))))</f>
        <v/>
      </c>
      <c r="H314" s="3">
        <f>IF($E314="","", IF(AND($E314&gt;=INDEX(Calc!$E:$E, MATCH("min_fwd_draft_m", Calc!$C:$C, 0)), $E314&lt;=INDEX(Calc!$E:$E, MATCH("max_fwd_draft_m", Calc!$C:$C, 0)), $G314&lt;=INDEX(Calc!$E:$E, MATCH("theta_max_deg", Calc!$C:$C, 0))), "OK", "CHECK"))</f>
        <v/>
      </c>
      <c r="I314" s="6">
        <f>IF($E314="","", INDEX(Calc!$E:$E, MATCH("D_vessel_m", Calc!$C:$C, 0)) - $E314 + $B314)</f>
        <v/>
      </c>
      <c r="J314" s="6">
        <f>IF($F314="","", INDEX(Calc!$E:$E, MATCH("D_vessel_m", Calc!$C:$C, 0)) - $F314 + $B314)</f>
        <v/>
      </c>
      <c r="K314" s="3">
        <f>IF(D314=0, "Even Keel", "")</f>
        <v/>
      </c>
    </row>
    <row r="315">
      <c r="A315" s="3">
        <f>IF(December_Tide_2025!A315="","",December_Tide_2025!A315)</f>
        <v/>
      </c>
      <c r="B315" s="6">
        <f>IF(December_Tide_2025!B315="","",December_Tide_2025!B315)</f>
        <v/>
      </c>
      <c r="C315" s="6">
        <f>IF($A315="","", INDEX(Calc!$E:$E, MATCH("KminusZ_m", Calc!$C:$C, 0)) + $B315 - INDEX(Calc!$E:$E, MATCH("L_ramp_m", Calc!$C:$C, 0)) * TAN(RADIANS(INDEX(Calc!$E:$E, MATCH("theta_max_deg", Calc!$C:$C, 0)))))</f>
        <v/>
      </c>
      <c r="D315" s="6" t="n"/>
      <c r="E315" s="6">
        <f>IF($C315="","", IF($D315="", $C315, $C315 - $D315/2))</f>
        <v/>
      </c>
      <c r="F315" s="6">
        <f>IF($C315="","", IF($D315="", $C315, $C315 + $D315/2))</f>
        <v/>
      </c>
      <c r="G315" s="6">
        <f>IF($E315="","", DEGREES(ATAN((INDEX(Calc!$E:$E, MATCH("KminusZ_m", Calc!$C:$C, 0)) - $E315 + $B315) / INDEX(Calc!$E:$E, MATCH("L_ramp_m", Calc!$C:$C, 0)))))</f>
        <v/>
      </c>
      <c r="H315" s="3">
        <f>IF($E315="","", IF(AND($E315&gt;=INDEX(Calc!$E:$E, MATCH("min_fwd_draft_m", Calc!$C:$C, 0)), $E315&lt;=INDEX(Calc!$E:$E, MATCH("max_fwd_draft_m", Calc!$C:$C, 0)), $G315&lt;=INDEX(Calc!$E:$E, MATCH("theta_max_deg", Calc!$C:$C, 0))), "OK", "CHECK"))</f>
        <v/>
      </c>
      <c r="I315" s="6">
        <f>IF($E315="","", INDEX(Calc!$E:$E, MATCH("D_vessel_m", Calc!$C:$C, 0)) - $E315 + $B315)</f>
        <v/>
      </c>
      <c r="J315" s="6">
        <f>IF($F315="","", INDEX(Calc!$E:$E, MATCH("D_vessel_m", Calc!$C:$C, 0)) - $F315 + $B315)</f>
        <v/>
      </c>
      <c r="K315" s="3">
        <f>IF(D315=0, "Even Keel", "")</f>
        <v/>
      </c>
    </row>
    <row r="316">
      <c r="A316" s="3">
        <f>IF(December_Tide_2025!A316="","",December_Tide_2025!A316)</f>
        <v/>
      </c>
      <c r="B316" s="6">
        <f>IF(December_Tide_2025!B316="","",December_Tide_2025!B316)</f>
        <v/>
      </c>
      <c r="C316" s="6">
        <f>IF($A316="","", INDEX(Calc!$E:$E, MATCH("KminusZ_m", Calc!$C:$C, 0)) + $B316 - INDEX(Calc!$E:$E, MATCH("L_ramp_m", Calc!$C:$C, 0)) * TAN(RADIANS(INDEX(Calc!$E:$E, MATCH("theta_max_deg", Calc!$C:$C, 0)))))</f>
        <v/>
      </c>
      <c r="D316" s="6" t="n"/>
      <c r="E316" s="6">
        <f>IF($C316="","", IF($D316="", $C316, $C316 - $D316/2))</f>
        <v/>
      </c>
      <c r="F316" s="6">
        <f>IF($C316="","", IF($D316="", $C316, $C316 + $D316/2))</f>
        <v/>
      </c>
      <c r="G316" s="6">
        <f>IF($E316="","", DEGREES(ATAN((INDEX(Calc!$E:$E, MATCH("KminusZ_m", Calc!$C:$C, 0)) - $E316 + $B316) / INDEX(Calc!$E:$E, MATCH("L_ramp_m", Calc!$C:$C, 0)))))</f>
        <v/>
      </c>
      <c r="H316" s="3">
        <f>IF($E316="","", IF(AND($E316&gt;=INDEX(Calc!$E:$E, MATCH("min_fwd_draft_m", Calc!$C:$C, 0)), $E316&lt;=INDEX(Calc!$E:$E, MATCH("max_fwd_draft_m", Calc!$C:$C, 0)), $G316&lt;=INDEX(Calc!$E:$E, MATCH("theta_max_deg", Calc!$C:$C, 0))), "OK", "CHECK"))</f>
        <v/>
      </c>
      <c r="I316" s="6">
        <f>IF($E316="","", INDEX(Calc!$E:$E, MATCH("D_vessel_m", Calc!$C:$C, 0)) - $E316 + $B316)</f>
        <v/>
      </c>
      <c r="J316" s="6">
        <f>IF($F316="","", INDEX(Calc!$E:$E, MATCH("D_vessel_m", Calc!$C:$C, 0)) - $F316 + $B316)</f>
        <v/>
      </c>
      <c r="K316" s="3">
        <f>IF(D316=0, "Even Keel", "")</f>
        <v/>
      </c>
    </row>
    <row r="317">
      <c r="A317" s="3">
        <f>IF(December_Tide_2025!A317="","",December_Tide_2025!A317)</f>
        <v/>
      </c>
      <c r="B317" s="6">
        <f>IF(December_Tide_2025!B317="","",December_Tide_2025!B317)</f>
        <v/>
      </c>
      <c r="C317" s="6">
        <f>IF($A317="","", INDEX(Calc!$E:$E, MATCH("KminusZ_m", Calc!$C:$C, 0)) + $B317 - INDEX(Calc!$E:$E, MATCH("L_ramp_m", Calc!$C:$C, 0)) * TAN(RADIANS(INDEX(Calc!$E:$E, MATCH("theta_max_deg", Calc!$C:$C, 0)))))</f>
        <v/>
      </c>
      <c r="D317" s="6" t="n"/>
      <c r="E317" s="6">
        <f>IF($C317="","", IF($D317="", $C317, $C317 - $D317/2))</f>
        <v/>
      </c>
      <c r="F317" s="6">
        <f>IF($C317="","", IF($D317="", $C317, $C317 + $D317/2))</f>
        <v/>
      </c>
      <c r="G317" s="6">
        <f>IF($E317="","", DEGREES(ATAN((INDEX(Calc!$E:$E, MATCH("KminusZ_m", Calc!$C:$C, 0)) - $E317 + $B317) / INDEX(Calc!$E:$E, MATCH("L_ramp_m", Calc!$C:$C, 0)))))</f>
        <v/>
      </c>
      <c r="H317" s="3">
        <f>IF($E317="","", IF(AND($E317&gt;=INDEX(Calc!$E:$E, MATCH("min_fwd_draft_m", Calc!$C:$C, 0)), $E317&lt;=INDEX(Calc!$E:$E, MATCH("max_fwd_draft_m", Calc!$C:$C, 0)), $G317&lt;=INDEX(Calc!$E:$E, MATCH("theta_max_deg", Calc!$C:$C, 0))), "OK", "CHECK"))</f>
        <v/>
      </c>
      <c r="I317" s="6">
        <f>IF($E317="","", INDEX(Calc!$E:$E, MATCH("D_vessel_m", Calc!$C:$C, 0)) - $E317 + $B317)</f>
        <v/>
      </c>
      <c r="J317" s="6">
        <f>IF($F317="","", INDEX(Calc!$E:$E, MATCH("D_vessel_m", Calc!$C:$C, 0)) - $F317 + $B317)</f>
        <v/>
      </c>
      <c r="K317" s="3">
        <f>IF(D317=0, "Even Keel", "")</f>
        <v/>
      </c>
    </row>
    <row r="318">
      <c r="A318" s="3">
        <f>IF(December_Tide_2025!A318="","",December_Tide_2025!A318)</f>
        <v/>
      </c>
      <c r="B318" s="6">
        <f>IF(December_Tide_2025!B318="","",December_Tide_2025!B318)</f>
        <v/>
      </c>
      <c r="C318" s="6">
        <f>IF($A318="","", INDEX(Calc!$E:$E, MATCH("KminusZ_m", Calc!$C:$C, 0)) + $B318 - INDEX(Calc!$E:$E, MATCH("L_ramp_m", Calc!$C:$C, 0)) * TAN(RADIANS(INDEX(Calc!$E:$E, MATCH("theta_max_deg", Calc!$C:$C, 0)))))</f>
        <v/>
      </c>
      <c r="D318" s="6" t="n"/>
      <c r="E318" s="6">
        <f>IF($C318="","", IF($D318="", $C318, $C318 - $D318/2))</f>
        <v/>
      </c>
      <c r="F318" s="6">
        <f>IF($C318="","", IF($D318="", $C318, $C318 + $D318/2))</f>
        <v/>
      </c>
      <c r="G318" s="6">
        <f>IF($E318="","", DEGREES(ATAN((INDEX(Calc!$E:$E, MATCH("KminusZ_m", Calc!$C:$C, 0)) - $E318 + $B318) / INDEX(Calc!$E:$E, MATCH("L_ramp_m", Calc!$C:$C, 0)))))</f>
        <v/>
      </c>
      <c r="H318" s="3">
        <f>IF($E318="","", IF(AND($E318&gt;=INDEX(Calc!$E:$E, MATCH("min_fwd_draft_m", Calc!$C:$C, 0)), $E318&lt;=INDEX(Calc!$E:$E, MATCH("max_fwd_draft_m", Calc!$C:$C, 0)), $G318&lt;=INDEX(Calc!$E:$E, MATCH("theta_max_deg", Calc!$C:$C, 0))), "OK", "CHECK"))</f>
        <v/>
      </c>
      <c r="I318" s="6">
        <f>IF($E318="","", INDEX(Calc!$E:$E, MATCH("D_vessel_m", Calc!$C:$C, 0)) - $E318 + $B318)</f>
        <v/>
      </c>
      <c r="J318" s="6">
        <f>IF($F318="","", INDEX(Calc!$E:$E, MATCH("D_vessel_m", Calc!$C:$C, 0)) - $F318 + $B318)</f>
        <v/>
      </c>
      <c r="K318" s="3">
        <f>IF(D318=0, "Even Keel", "")</f>
        <v/>
      </c>
    </row>
    <row r="319">
      <c r="A319" s="3">
        <f>IF(December_Tide_2025!A319="","",December_Tide_2025!A319)</f>
        <v/>
      </c>
      <c r="B319" s="6">
        <f>IF(December_Tide_2025!B319="","",December_Tide_2025!B319)</f>
        <v/>
      </c>
      <c r="C319" s="6">
        <f>IF($A319="","", INDEX(Calc!$E:$E, MATCH("KminusZ_m", Calc!$C:$C, 0)) + $B319 - INDEX(Calc!$E:$E, MATCH("L_ramp_m", Calc!$C:$C, 0)) * TAN(RADIANS(INDEX(Calc!$E:$E, MATCH("theta_max_deg", Calc!$C:$C, 0)))))</f>
        <v/>
      </c>
      <c r="D319" s="6" t="n"/>
      <c r="E319" s="6">
        <f>IF($C319="","", IF($D319="", $C319, $C319 - $D319/2))</f>
        <v/>
      </c>
      <c r="F319" s="6">
        <f>IF($C319="","", IF($D319="", $C319, $C319 + $D319/2))</f>
        <v/>
      </c>
      <c r="G319" s="6">
        <f>IF($E319="","", DEGREES(ATAN((INDEX(Calc!$E:$E, MATCH("KminusZ_m", Calc!$C:$C, 0)) - $E319 + $B319) / INDEX(Calc!$E:$E, MATCH("L_ramp_m", Calc!$C:$C, 0)))))</f>
        <v/>
      </c>
      <c r="H319" s="3">
        <f>IF($E319="","", IF(AND($E319&gt;=INDEX(Calc!$E:$E, MATCH("min_fwd_draft_m", Calc!$C:$C, 0)), $E319&lt;=INDEX(Calc!$E:$E, MATCH("max_fwd_draft_m", Calc!$C:$C, 0)), $G319&lt;=INDEX(Calc!$E:$E, MATCH("theta_max_deg", Calc!$C:$C, 0))), "OK", "CHECK"))</f>
        <v/>
      </c>
      <c r="I319" s="6">
        <f>IF($E319="","", INDEX(Calc!$E:$E, MATCH("D_vessel_m", Calc!$C:$C, 0)) - $E319 + $B319)</f>
        <v/>
      </c>
      <c r="J319" s="6">
        <f>IF($F319="","", INDEX(Calc!$E:$E, MATCH("D_vessel_m", Calc!$C:$C, 0)) - $F319 + $B319)</f>
        <v/>
      </c>
      <c r="K319" s="3">
        <f>IF(D319=0, "Even Keel", "")</f>
        <v/>
      </c>
    </row>
    <row r="320">
      <c r="A320" s="3">
        <f>IF(December_Tide_2025!A320="","",December_Tide_2025!A320)</f>
        <v/>
      </c>
      <c r="B320" s="6">
        <f>IF(December_Tide_2025!B320="","",December_Tide_2025!B320)</f>
        <v/>
      </c>
      <c r="C320" s="6">
        <f>IF($A320="","", INDEX(Calc!$E:$E, MATCH("KminusZ_m", Calc!$C:$C, 0)) + $B320 - INDEX(Calc!$E:$E, MATCH("L_ramp_m", Calc!$C:$C, 0)) * TAN(RADIANS(INDEX(Calc!$E:$E, MATCH("theta_max_deg", Calc!$C:$C, 0)))))</f>
        <v/>
      </c>
      <c r="D320" s="6" t="n"/>
      <c r="E320" s="6">
        <f>IF($C320="","", IF($D320="", $C320, $C320 - $D320/2))</f>
        <v/>
      </c>
      <c r="F320" s="6">
        <f>IF($C320="","", IF($D320="", $C320, $C320 + $D320/2))</f>
        <v/>
      </c>
      <c r="G320" s="6">
        <f>IF($E320="","", DEGREES(ATAN((INDEX(Calc!$E:$E, MATCH("KminusZ_m", Calc!$C:$C, 0)) - $E320 + $B320) / INDEX(Calc!$E:$E, MATCH("L_ramp_m", Calc!$C:$C, 0)))))</f>
        <v/>
      </c>
      <c r="H320" s="3">
        <f>IF($E320="","", IF(AND($E320&gt;=INDEX(Calc!$E:$E, MATCH("min_fwd_draft_m", Calc!$C:$C, 0)), $E320&lt;=INDEX(Calc!$E:$E, MATCH("max_fwd_draft_m", Calc!$C:$C, 0)), $G320&lt;=INDEX(Calc!$E:$E, MATCH("theta_max_deg", Calc!$C:$C, 0))), "OK", "CHECK"))</f>
        <v/>
      </c>
      <c r="I320" s="6">
        <f>IF($E320="","", INDEX(Calc!$E:$E, MATCH("D_vessel_m", Calc!$C:$C, 0)) - $E320 + $B320)</f>
        <v/>
      </c>
      <c r="J320" s="6">
        <f>IF($F320="","", INDEX(Calc!$E:$E, MATCH("D_vessel_m", Calc!$C:$C, 0)) - $F320 + $B320)</f>
        <v/>
      </c>
      <c r="K320" s="3">
        <f>IF(D320=0, "Even Keel", "")</f>
        <v/>
      </c>
    </row>
    <row r="321">
      <c r="A321" s="3">
        <f>IF(December_Tide_2025!A321="","",December_Tide_2025!A321)</f>
        <v/>
      </c>
      <c r="B321" s="6">
        <f>IF(December_Tide_2025!B321="","",December_Tide_2025!B321)</f>
        <v/>
      </c>
      <c r="C321" s="6">
        <f>IF($A321="","", INDEX(Calc!$E:$E, MATCH("KminusZ_m", Calc!$C:$C, 0)) + $B321 - INDEX(Calc!$E:$E, MATCH("L_ramp_m", Calc!$C:$C, 0)) * TAN(RADIANS(INDEX(Calc!$E:$E, MATCH("theta_max_deg", Calc!$C:$C, 0)))))</f>
        <v/>
      </c>
      <c r="D321" s="6" t="n"/>
      <c r="E321" s="6">
        <f>IF($C321="","", IF($D321="", $C321, $C321 - $D321/2))</f>
        <v/>
      </c>
      <c r="F321" s="6">
        <f>IF($C321="","", IF($D321="", $C321, $C321 + $D321/2))</f>
        <v/>
      </c>
      <c r="G321" s="6">
        <f>IF($E321="","", DEGREES(ATAN((INDEX(Calc!$E:$E, MATCH("KminusZ_m", Calc!$C:$C, 0)) - $E321 + $B321) / INDEX(Calc!$E:$E, MATCH("L_ramp_m", Calc!$C:$C, 0)))))</f>
        <v/>
      </c>
      <c r="H321" s="3">
        <f>IF($E321="","", IF(AND($E321&gt;=INDEX(Calc!$E:$E, MATCH("min_fwd_draft_m", Calc!$C:$C, 0)), $E321&lt;=INDEX(Calc!$E:$E, MATCH("max_fwd_draft_m", Calc!$C:$C, 0)), $G321&lt;=INDEX(Calc!$E:$E, MATCH("theta_max_deg", Calc!$C:$C, 0))), "OK", "CHECK"))</f>
        <v/>
      </c>
      <c r="I321" s="6">
        <f>IF($E321="","", INDEX(Calc!$E:$E, MATCH("D_vessel_m", Calc!$C:$C, 0)) - $E321 + $B321)</f>
        <v/>
      </c>
      <c r="J321" s="6">
        <f>IF($F321="","", INDEX(Calc!$E:$E, MATCH("D_vessel_m", Calc!$C:$C, 0)) - $F321 + $B321)</f>
        <v/>
      </c>
      <c r="K321" s="3">
        <f>IF(D321=0, "Even Keel", "")</f>
        <v/>
      </c>
    </row>
    <row r="322">
      <c r="A322" s="3">
        <f>IF(December_Tide_2025!A322="","",December_Tide_2025!A322)</f>
        <v/>
      </c>
      <c r="B322" s="6">
        <f>IF(December_Tide_2025!B322="","",December_Tide_2025!B322)</f>
        <v/>
      </c>
      <c r="C322" s="6">
        <f>IF($A322="","", INDEX(Calc!$E:$E, MATCH("KminusZ_m", Calc!$C:$C, 0)) + $B322 - INDEX(Calc!$E:$E, MATCH("L_ramp_m", Calc!$C:$C, 0)) * TAN(RADIANS(INDEX(Calc!$E:$E, MATCH("theta_max_deg", Calc!$C:$C, 0)))))</f>
        <v/>
      </c>
      <c r="D322" s="6" t="n"/>
      <c r="E322" s="6">
        <f>IF($C322="","", IF($D322="", $C322, $C322 - $D322/2))</f>
        <v/>
      </c>
      <c r="F322" s="6">
        <f>IF($C322="","", IF($D322="", $C322, $C322 + $D322/2))</f>
        <v/>
      </c>
      <c r="G322" s="6">
        <f>IF($E322="","", DEGREES(ATAN((INDEX(Calc!$E:$E, MATCH("KminusZ_m", Calc!$C:$C, 0)) - $E322 + $B322) / INDEX(Calc!$E:$E, MATCH("L_ramp_m", Calc!$C:$C, 0)))))</f>
        <v/>
      </c>
      <c r="H322" s="3">
        <f>IF($E322="","", IF(AND($E322&gt;=INDEX(Calc!$E:$E, MATCH("min_fwd_draft_m", Calc!$C:$C, 0)), $E322&lt;=INDEX(Calc!$E:$E, MATCH("max_fwd_draft_m", Calc!$C:$C, 0)), $G322&lt;=INDEX(Calc!$E:$E, MATCH("theta_max_deg", Calc!$C:$C, 0))), "OK", "CHECK"))</f>
        <v/>
      </c>
      <c r="I322" s="6">
        <f>IF($E322="","", INDEX(Calc!$E:$E, MATCH("D_vessel_m", Calc!$C:$C, 0)) - $E322 + $B322)</f>
        <v/>
      </c>
      <c r="J322" s="6">
        <f>IF($F322="","", INDEX(Calc!$E:$E, MATCH("D_vessel_m", Calc!$C:$C, 0)) - $F322 + $B322)</f>
        <v/>
      </c>
      <c r="K322" s="3">
        <f>IF(D322=0, "Even Keel", "")</f>
        <v/>
      </c>
    </row>
    <row r="323">
      <c r="A323" s="3">
        <f>IF(December_Tide_2025!A323="","",December_Tide_2025!A323)</f>
        <v/>
      </c>
      <c r="B323" s="6">
        <f>IF(December_Tide_2025!B323="","",December_Tide_2025!B323)</f>
        <v/>
      </c>
      <c r="C323" s="6">
        <f>IF($A323="","", INDEX(Calc!$E:$E, MATCH("KminusZ_m", Calc!$C:$C, 0)) + $B323 - INDEX(Calc!$E:$E, MATCH("L_ramp_m", Calc!$C:$C, 0)) * TAN(RADIANS(INDEX(Calc!$E:$E, MATCH("theta_max_deg", Calc!$C:$C, 0)))))</f>
        <v/>
      </c>
      <c r="D323" s="6" t="n"/>
      <c r="E323" s="6">
        <f>IF($C323="","", IF($D323="", $C323, $C323 - $D323/2))</f>
        <v/>
      </c>
      <c r="F323" s="6">
        <f>IF($C323="","", IF($D323="", $C323, $C323 + $D323/2))</f>
        <v/>
      </c>
      <c r="G323" s="6">
        <f>IF($E323="","", DEGREES(ATAN((INDEX(Calc!$E:$E, MATCH("KminusZ_m", Calc!$C:$C, 0)) - $E323 + $B323) / INDEX(Calc!$E:$E, MATCH("L_ramp_m", Calc!$C:$C, 0)))))</f>
        <v/>
      </c>
      <c r="H323" s="3">
        <f>IF($E323="","", IF(AND($E323&gt;=INDEX(Calc!$E:$E, MATCH("min_fwd_draft_m", Calc!$C:$C, 0)), $E323&lt;=INDEX(Calc!$E:$E, MATCH("max_fwd_draft_m", Calc!$C:$C, 0)), $G323&lt;=INDEX(Calc!$E:$E, MATCH("theta_max_deg", Calc!$C:$C, 0))), "OK", "CHECK"))</f>
        <v/>
      </c>
      <c r="I323" s="6">
        <f>IF($E323="","", INDEX(Calc!$E:$E, MATCH("D_vessel_m", Calc!$C:$C, 0)) - $E323 + $B323)</f>
        <v/>
      </c>
      <c r="J323" s="6">
        <f>IF($F323="","", INDEX(Calc!$E:$E, MATCH("D_vessel_m", Calc!$C:$C, 0)) - $F323 + $B323)</f>
        <v/>
      </c>
      <c r="K323" s="3">
        <f>IF(D323=0, "Even Keel", "")</f>
        <v/>
      </c>
    </row>
    <row r="324">
      <c r="A324" s="3">
        <f>IF(December_Tide_2025!A324="","",December_Tide_2025!A324)</f>
        <v/>
      </c>
      <c r="B324" s="6">
        <f>IF(December_Tide_2025!B324="","",December_Tide_2025!B324)</f>
        <v/>
      </c>
      <c r="C324" s="6">
        <f>IF($A324="","", INDEX(Calc!$E:$E, MATCH("KminusZ_m", Calc!$C:$C, 0)) + $B324 - INDEX(Calc!$E:$E, MATCH("L_ramp_m", Calc!$C:$C, 0)) * TAN(RADIANS(INDEX(Calc!$E:$E, MATCH("theta_max_deg", Calc!$C:$C, 0)))))</f>
        <v/>
      </c>
      <c r="D324" s="6" t="n"/>
      <c r="E324" s="6">
        <f>IF($C324="","", IF($D324="", $C324, $C324 - $D324/2))</f>
        <v/>
      </c>
      <c r="F324" s="6">
        <f>IF($C324="","", IF($D324="", $C324, $C324 + $D324/2))</f>
        <v/>
      </c>
      <c r="G324" s="6">
        <f>IF($E324="","", DEGREES(ATAN((INDEX(Calc!$E:$E, MATCH("KminusZ_m", Calc!$C:$C, 0)) - $E324 + $B324) / INDEX(Calc!$E:$E, MATCH("L_ramp_m", Calc!$C:$C, 0)))))</f>
        <v/>
      </c>
      <c r="H324" s="3">
        <f>IF($E324="","", IF(AND($E324&gt;=INDEX(Calc!$E:$E, MATCH("min_fwd_draft_m", Calc!$C:$C, 0)), $E324&lt;=INDEX(Calc!$E:$E, MATCH("max_fwd_draft_m", Calc!$C:$C, 0)), $G324&lt;=INDEX(Calc!$E:$E, MATCH("theta_max_deg", Calc!$C:$C, 0))), "OK", "CHECK"))</f>
        <v/>
      </c>
      <c r="I324" s="6">
        <f>IF($E324="","", INDEX(Calc!$E:$E, MATCH("D_vessel_m", Calc!$C:$C, 0)) - $E324 + $B324)</f>
        <v/>
      </c>
      <c r="J324" s="6">
        <f>IF($F324="","", INDEX(Calc!$E:$E, MATCH("D_vessel_m", Calc!$C:$C, 0)) - $F324 + $B324)</f>
        <v/>
      </c>
      <c r="K324" s="3">
        <f>IF(D324=0, "Even Keel", "")</f>
        <v/>
      </c>
    </row>
    <row r="325">
      <c r="A325" s="3">
        <f>IF(December_Tide_2025!A325="","",December_Tide_2025!A325)</f>
        <v/>
      </c>
      <c r="B325" s="6">
        <f>IF(December_Tide_2025!B325="","",December_Tide_2025!B325)</f>
        <v/>
      </c>
      <c r="C325" s="6">
        <f>IF($A325="","", INDEX(Calc!$E:$E, MATCH("KminusZ_m", Calc!$C:$C, 0)) + $B325 - INDEX(Calc!$E:$E, MATCH("L_ramp_m", Calc!$C:$C, 0)) * TAN(RADIANS(INDEX(Calc!$E:$E, MATCH("theta_max_deg", Calc!$C:$C, 0)))))</f>
        <v/>
      </c>
      <c r="D325" s="6" t="n"/>
      <c r="E325" s="6">
        <f>IF($C325="","", IF($D325="", $C325, $C325 - $D325/2))</f>
        <v/>
      </c>
      <c r="F325" s="6">
        <f>IF($C325="","", IF($D325="", $C325, $C325 + $D325/2))</f>
        <v/>
      </c>
      <c r="G325" s="6">
        <f>IF($E325="","", DEGREES(ATAN((INDEX(Calc!$E:$E, MATCH("KminusZ_m", Calc!$C:$C, 0)) - $E325 + $B325) / INDEX(Calc!$E:$E, MATCH("L_ramp_m", Calc!$C:$C, 0)))))</f>
        <v/>
      </c>
      <c r="H325" s="3">
        <f>IF($E325="","", IF(AND($E325&gt;=INDEX(Calc!$E:$E, MATCH("min_fwd_draft_m", Calc!$C:$C, 0)), $E325&lt;=INDEX(Calc!$E:$E, MATCH("max_fwd_draft_m", Calc!$C:$C, 0)), $G325&lt;=INDEX(Calc!$E:$E, MATCH("theta_max_deg", Calc!$C:$C, 0))), "OK", "CHECK"))</f>
        <v/>
      </c>
      <c r="I325" s="6">
        <f>IF($E325="","", INDEX(Calc!$E:$E, MATCH("D_vessel_m", Calc!$C:$C, 0)) - $E325 + $B325)</f>
        <v/>
      </c>
      <c r="J325" s="6">
        <f>IF($F325="","", INDEX(Calc!$E:$E, MATCH("D_vessel_m", Calc!$C:$C, 0)) - $F325 + $B325)</f>
        <v/>
      </c>
      <c r="K325" s="3">
        <f>IF(D325=0, "Even Keel", "")</f>
        <v/>
      </c>
    </row>
    <row r="326">
      <c r="A326" s="3">
        <f>IF(December_Tide_2025!A326="","",December_Tide_2025!A326)</f>
        <v/>
      </c>
      <c r="B326" s="6">
        <f>IF(December_Tide_2025!B326="","",December_Tide_2025!B326)</f>
        <v/>
      </c>
      <c r="C326" s="6">
        <f>IF($A326="","", INDEX(Calc!$E:$E, MATCH("KminusZ_m", Calc!$C:$C, 0)) + $B326 - INDEX(Calc!$E:$E, MATCH("L_ramp_m", Calc!$C:$C, 0)) * TAN(RADIANS(INDEX(Calc!$E:$E, MATCH("theta_max_deg", Calc!$C:$C, 0)))))</f>
        <v/>
      </c>
      <c r="D326" s="6" t="n"/>
      <c r="E326" s="6">
        <f>IF($C326="","", IF($D326="", $C326, $C326 - $D326/2))</f>
        <v/>
      </c>
      <c r="F326" s="6">
        <f>IF($C326="","", IF($D326="", $C326, $C326 + $D326/2))</f>
        <v/>
      </c>
      <c r="G326" s="6">
        <f>IF($E326="","", DEGREES(ATAN((INDEX(Calc!$E:$E, MATCH("KminusZ_m", Calc!$C:$C, 0)) - $E326 + $B326) / INDEX(Calc!$E:$E, MATCH("L_ramp_m", Calc!$C:$C, 0)))))</f>
        <v/>
      </c>
      <c r="H326" s="3">
        <f>IF($E326="","", IF(AND($E326&gt;=INDEX(Calc!$E:$E, MATCH("min_fwd_draft_m", Calc!$C:$C, 0)), $E326&lt;=INDEX(Calc!$E:$E, MATCH("max_fwd_draft_m", Calc!$C:$C, 0)), $G326&lt;=INDEX(Calc!$E:$E, MATCH("theta_max_deg", Calc!$C:$C, 0))), "OK", "CHECK"))</f>
        <v/>
      </c>
      <c r="I326" s="6">
        <f>IF($E326="","", INDEX(Calc!$E:$E, MATCH("D_vessel_m", Calc!$C:$C, 0)) - $E326 + $B326)</f>
        <v/>
      </c>
      <c r="J326" s="6">
        <f>IF($F326="","", INDEX(Calc!$E:$E, MATCH("D_vessel_m", Calc!$C:$C, 0)) - $F326 + $B326)</f>
        <v/>
      </c>
      <c r="K326" s="3">
        <f>IF(D326=0, "Even Keel", "")</f>
        <v/>
      </c>
    </row>
    <row r="327">
      <c r="A327" s="3">
        <f>IF(December_Tide_2025!A327="","",December_Tide_2025!A327)</f>
        <v/>
      </c>
      <c r="B327" s="6">
        <f>IF(December_Tide_2025!B327="","",December_Tide_2025!B327)</f>
        <v/>
      </c>
      <c r="C327" s="6">
        <f>IF($A327="","", INDEX(Calc!$E:$E, MATCH("KminusZ_m", Calc!$C:$C, 0)) + $B327 - INDEX(Calc!$E:$E, MATCH("L_ramp_m", Calc!$C:$C, 0)) * TAN(RADIANS(INDEX(Calc!$E:$E, MATCH("theta_max_deg", Calc!$C:$C, 0)))))</f>
        <v/>
      </c>
      <c r="D327" s="6" t="n"/>
      <c r="E327" s="6">
        <f>IF($C327="","", IF($D327="", $C327, $C327 - $D327/2))</f>
        <v/>
      </c>
      <c r="F327" s="6">
        <f>IF($C327="","", IF($D327="", $C327, $C327 + $D327/2))</f>
        <v/>
      </c>
      <c r="G327" s="6">
        <f>IF($E327="","", DEGREES(ATAN((INDEX(Calc!$E:$E, MATCH("KminusZ_m", Calc!$C:$C, 0)) - $E327 + $B327) / INDEX(Calc!$E:$E, MATCH("L_ramp_m", Calc!$C:$C, 0)))))</f>
        <v/>
      </c>
      <c r="H327" s="3">
        <f>IF($E327="","", IF(AND($E327&gt;=INDEX(Calc!$E:$E, MATCH("min_fwd_draft_m", Calc!$C:$C, 0)), $E327&lt;=INDEX(Calc!$E:$E, MATCH("max_fwd_draft_m", Calc!$C:$C, 0)), $G327&lt;=INDEX(Calc!$E:$E, MATCH("theta_max_deg", Calc!$C:$C, 0))), "OK", "CHECK"))</f>
        <v/>
      </c>
      <c r="I327" s="6">
        <f>IF($E327="","", INDEX(Calc!$E:$E, MATCH("D_vessel_m", Calc!$C:$C, 0)) - $E327 + $B327)</f>
        <v/>
      </c>
      <c r="J327" s="6">
        <f>IF($F327="","", INDEX(Calc!$E:$E, MATCH("D_vessel_m", Calc!$C:$C, 0)) - $F327 + $B327)</f>
        <v/>
      </c>
      <c r="K327" s="3">
        <f>IF(D327=0, "Even Keel", "")</f>
        <v/>
      </c>
    </row>
    <row r="328">
      <c r="A328" s="3">
        <f>IF(December_Tide_2025!A328="","",December_Tide_2025!A328)</f>
        <v/>
      </c>
      <c r="B328" s="6">
        <f>IF(December_Tide_2025!B328="","",December_Tide_2025!B328)</f>
        <v/>
      </c>
      <c r="C328" s="6">
        <f>IF($A328="","", INDEX(Calc!$E:$E, MATCH("KminusZ_m", Calc!$C:$C, 0)) + $B328 - INDEX(Calc!$E:$E, MATCH("L_ramp_m", Calc!$C:$C, 0)) * TAN(RADIANS(INDEX(Calc!$E:$E, MATCH("theta_max_deg", Calc!$C:$C, 0)))))</f>
        <v/>
      </c>
      <c r="D328" s="6" t="n"/>
      <c r="E328" s="6">
        <f>IF($C328="","", IF($D328="", $C328, $C328 - $D328/2))</f>
        <v/>
      </c>
      <c r="F328" s="6">
        <f>IF($C328="","", IF($D328="", $C328, $C328 + $D328/2))</f>
        <v/>
      </c>
      <c r="G328" s="6">
        <f>IF($E328="","", DEGREES(ATAN((INDEX(Calc!$E:$E, MATCH("KminusZ_m", Calc!$C:$C, 0)) - $E328 + $B328) / INDEX(Calc!$E:$E, MATCH("L_ramp_m", Calc!$C:$C, 0)))))</f>
        <v/>
      </c>
      <c r="H328" s="3">
        <f>IF($E328="","", IF(AND($E328&gt;=INDEX(Calc!$E:$E, MATCH("min_fwd_draft_m", Calc!$C:$C, 0)), $E328&lt;=INDEX(Calc!$E:$E, MATCH("max_fwd_draft_m", Calc!$C:$C, 0)), $G328&lt;=INDEX(Calc!$E:$E, MATCH("theta_max_deg", Calc!$C:$C, 0))), "OK", "CHECK"))</f>
        <v/>
      </c>
      <c r="I328" s="6">
        <f>IF($E328="","", INDEX(Calc!$E:$E, MATCH("D_vessel_m", Calc!$C:$C, 0)) - $E328 + $B328)</f>
        <v/>
      </c>
      <c r="J328" s="6">
        <f>IF($F328="","", INDEX(Calc!$E:$E, MATCH("D_vessel_m", Calc!$C:$C, 0)) - $F328 + $B328)</f>
        <v/>
      </c>
      <c r="K328" s="3">
        <f>IF(D328=0, "Even Keel", "")</f>
        <v/>
      </c>
    </row>
    <row r="329">
      <c r="A329" s="3">
        <f>IF(December_Tide_2025!A329="","",December_Tide_2025!A329)</f>
        <v/>
      </c>
      <c r="B329" s="6">
        <f>IF(December_Tide_2025!B329="","",December_Tide_2025!B329)</f>
        <v/>
      </c>
      <c r="C329" s="6">
        <f>IF($A329="","", INDEX(Calc!$E:$E, MATCH("KminusZ_m", Calc!$C:$C, 0)) + $B329 - INDEX(Calc!$E:$E, MATCH("L_ramp_m", Calc!$C:$C, 0)) * TAN(RADIANS(INDEX(Calc!$E:$E, MATCH("theta_max_deg", Calc!$C:$C, 0)))))</f>
        <v/>
      </c>
      <c r="D329" s="6" t="n"/>
      <c r="E329" s="6">
        <f>IF($C329="","", IF($D329="", $C329, $C329 - $D329/2))</f>
        <v/>
      </c>
      <c r="F329" s="6">
        <f>IF($C329="","", IF($D329="", $C329, $C329 + $D329/2))</f>
        <v/>
      </c>
      <c r="G329" s="6">
        <f>IF($E329="","", DEGREES(ATAN((INDEX(Calc!$E:$E, MATCH("KminusZ_m", Calc!$C:$C, 0)) - $E329 + $B329) / INDEX(Calc!$E:$E, MATCH("L_ramp_m", Calc!$C:$C, 0)))))</f>
        <v/>
      </c>
      <c r="H329" s="3">
        <f>IF($E329="","", IF(AND($E329&gt;=INDEX(Calc!$E:$E, MATCH("min_fwd_draft_m", Calc!$C:$C, 0)), $E329&lt;=INDEX(Calc!$E:$E, MATCH("max_fwd_draft_m", Calc!$C:$C, 0)), $G329&lt;=INDEX(Calc!$E:$E, MATCH("theta_max_deg", Calc!$C:$C, 0))), "OK", "CHECK"))</f>
        <v/>
      </c>
      <c r="I329" s="6">
        <f>IF($E329="","", INDEX(Calc!$E:$E, MATCH("D_vessel_m", Calc!$C:$C, 0)) - $E329 + $B329)</f>
        <v/>
      </c>
      <c r="J329" s="6">
        <f>IF($F329="","", INDEX(Calc!$E:$E, MATCH("D_vessel_m", Calc!$C:$C, 0)) - $F329 + $B329)</f>
        <v/>
      </c>
      <c r="K329" s="3">
        <f>IF(D329=0, "Even Keel", "")</f>
        <v/>
      </c>
    </row>
    <row r="330">
      <c r="A330" s="3">
        <f>IF(December_Tide_2025!A330="","",December_Tide_2025!A330)</f>
        <v/>
      </c>
      <c r="B330" s="6">
        <f>IF(December_Tide_2025!B330="","",December_Tide_2025!B330)</f>
        <v/>
      </c>
      <c r="C330" s="6">
        <f>IF($A330="","", INDEX(Calc!$E:$E, MATCH("KminusZ_m", Calc!$C:$C, 0)) + $B330 - INDEX(Calc!$E:$E, MATCH("L_ramp_m", Calc!$C:$C, 0)) * TAN(RADIANS(INDEX(Calc!$E:$E, MATCH("theta_max_deg", Calc!$C:$C, 0)))))</f>
        <v/>
      </c>
      <c r="D330" s="6" t="n"/>
      <c r="E330" s="6">
        <f>IF($C330="","", IF($D330="", $C330, $C330 - $D330/2))</f>
        <v/>
      </c>
      <c r="F330" s="6">
        <f>IF($C330="","", IF($D330="", $C330, $C330 + $D330/2))</f>
        <v/>
      </c>
      <c r="G330" s="6">
        <f>IF($E330="","", DEGREES(ATAN((INDEX(Calc!$E:$E, MATCH("KminusZ_m", Calc!$C:$C, 0)) - $E330 + $B330) / INDEX(Calc!$E:$E, MATCH("L_ramp_m", Calc!$C:$C, 0)))))</f>
        <v/>
      </c>
      <c r="H330" s="3">
        <f>IF($E330="","", IF(AND($E330&gt;=INDEX(Calc!$E:$E, MATCH("min_fwd_draft_m", Calc!$C:$C, 0)), $E330&lt;=INDEX(Calc!$E:$E, MATCH("max_fwd_draft_m", Calc!$C:$C, 0)), $G330&lt;=INDEX(Calc!$E:$E, MATCH("theta_max_deg", Calc!$C:$C, 0))), "OK", "CHECK"))</f>
        <v/>
      </c>
      <c r="I330" s="6">
        <f>IF($E330="","", INDEX(Calc!$E:$E, MATCH("D_vessel_m", Calc!$C:$C, 0)) - $E330 + $B330)</f>
        <v/>
      </c>
      <c r="J330" s="6">
        <f>IF($F330="","", INDEX(Calc!$E:$E, MATCH("D_vessel_m", Calc!$C:$C, 0)) - $F330 + $B330)</f>
        <v/>
      </c>
      <c r="K330" s="3">
        <f>IF(D330=0, "Even Keel", "")</f>
        <v/>
      </c>
    </row>
    <row r="331">
      <c r="A331" s="3">
        <f>IF(December_Tide_2025!A331="","",December_Tide_2025!A331)</f>
        <v/>
      </c>
      <c r="B331" s="6">
        <f>IF(December_Tide_2025!B331="","",December_Tide_2025!B331)</f>
        <v/>
      </c>
      <c r="C331" s="6">
        <f>IF($A331="","", INDEX(Calc!$E:$E, MATCH("KminusZ_m", Calc!$C:$C, 0)) + $B331 - INDEX(Calc!$E:$E, MATCH("L_ramp_m", Calc!$C:$C, 0)) * TAN(RADIANS(INDEX(Calc!$E:$E, MATCH("theta_max_deg", Calc!$C:$C, 0)))))</f>
        <v/>
      </c>
      <c r="D331" s="6" t="n"/>
      <c r="E331" s="6">
        <f>IF($C331="","", IF($D331="", $C331, $C331 - $D331/2))</f>
        <v/>
      </c>
      <c r="F331" s="6">
        <f>IF($C331="","", IF($D331="", $C331, $C331 + $D331/2))</f>
        <v/>
      </c>
      <c r="G331" s="6">
        <f>IF($E331="","", DEGREES(ATAN((INDEX(Calc!$E:$E, MATCH("KminusZ_m", Calc!$C:$C, 0)) - $E331 + $B331) / INDEX(Calc!$E:$E, MATCH("L_ramp_m", Calc!$C:$C, 0)))))</f>
        <v/>
      </c>
      <c r="H331" s="3">
        <f>IF($E331="","", IF(AND($E331&gt;=INDEX(Calc!$E:$E, MATCH("min_fwd_draft_m", Calc!$C:$C, 0)), $E331&lt;=INDEX(Calc!$E:$E, MATCH("max_fwd_draft_m", Calc!$C:$C, 0)), $G331&lt;=INDEX(Calc!$E:$E, MATCH("theta_max_deg", Calc!$C:$C, 0))), "OK", "CHECK"))</f>
        <v/>
      </c>
      <c r="I331" s="6">
        <f>IF($E331="","", INDEX(Calc!$E:$E, MATCH("D_vessel_m", Calc!$C:$C, 0)) - $E331 + $B331)</f>
        <v/>
      </c>
      <c r="J331" s="6">
        <f>IF($F331="","", INDEX(Calc!$E:$E, MATCH("D_vessel_m", Calc!$C:$C, 0)) - $F331 + $B331)</f>
        <v/>
      </c>
      <c r="K331" s="3">
        <f>IF(D331=0, "Even Keel", "")</f>
        <v/>
      </c>
    </row>
    <row r="332">
      <c r="A332" s="3">
        <f>IF(December_Tide_2025!A332="","",December_Tide_2025!A332)</f>
        <v/>
      </c>
      <c r="B332" s="6">
        <f>IF(December_Tide_2025!B332="","",December_Tide_2025!B332)</f>
        <v/>
      </c>
      <c r="C332" s="6">
        <f>IF($A332="","", INDEX(Calc!$E:$E, MATCH("KminusZ_m", Calc!$C:$C, 0)) + $B332 - INDEX(Calc!$E:$E, MATCH("L_ramp_m", Calc!$C:$C, 0)) * TAN(RADIANS(INDEX(Calc!$E:$E, MATCH("theta_max_deg", Calc!$C:$C, 0)))))</f>
        <v/>
      </c>
      <c r="D332" s="6" t="n"/>
      <c r="E332" s="6">
        <f>IF($C332="","", IF($D332="", $C332, $C332 - $D332/2))</f>
        <v/>
      </c>
      <c r="F332" s="6">
        <f>IF($C332="","", IF($D332="", $C332, $C332 + $D332/2))</f>
        <v/>
      </c>
      <c r="G332" s="6">
        <f>IF($E332="","", DEGREES(ATAN((INDEX(Calc!$E:$E, MATCH("KminusZ_m", Calc!$C:$C, 0)) - $E332 + $B332) / INDEX(Calc!$E:$E, MATCH("L_ramp_m", Calc!$C:$C, 0)))))</f>
        <v/>
      </c>
      <c r="H332" s="3">
        <f>IF($E332="","", IF(AND($E332&gt;=INDEX(Calc!$E:$E, MATCH("min_fwd_draft_m", Calc!$C:$C, 0)), $E332&lt;=INDEX(Calc!$E:$E, MATCH("max_fwd_draft_m", Calc!$C:$C, 0)), $G332&lt;=INDEX(Calc!$E:$E, MATCH("theta_max_deg", Calc!$C:$C, 0))), "OK", "CHECK"))</f>
        <v/>
      </c>
      <c r="I332" s="6">
        <f>IF($E332="","", INDEX(Calc!$E:$E, MATCH("D_vessel_m", Calc!$C:$C, 0)) - $E332 + $B332)</f>
        <v/>
      </c>
      <c r="J332" s="6">
        <f>IF($F332="","", INDEX(Calc!$E:$E, MATCH("D_vessel_m", Calc!$C:$C, 0)) - $F332 + $B332)</f>
        <v/>
      </c>
      <c r="K332" s="3">
        <f>IF(D332=0, "Even Keel", "")</f>
        <v/>
      </c>
    </row>
    <row r="333">
      <c r="A333" s="3">
        <f>IF(December_Tide_2025!A333="","",December_Tide_2025!A333)</f>
        <v/>
      </c>
      <c r="B333" s="6">
        <f>IF(December_Tide_2025!B333="","",December_Tide_2025!B333)</f>
        <v/>
      </c>
      <c r="C333" s="6">
        <f>IF($A333="","", INDEX(Calc!$E:$E, MATCH("KminusZ_m", Calc!$C:$C, 0)) + $B333 - INDEX(Calc!$E:$E, MATCH("L_ramp_m", Calc!$C:$C, 0)) * TAN(RADIANS(INDEX(Calc!$E:$E, MATCH("theta_max_deg", Calc!$C:$C, 0)))))</f>
        <v/>
      </c>
      <c r="D333" s="6" t="n"/>
      <c r="E333" s="6">
        <f>IF($C333="","", IF($D333="", $C333, $C333 - $D333/2))</f>
        <v/>
      </c>
      <c r="F333" s="6">
        <f>IF($C333="","", IF($D333="", $C333, $C333 + $D333/2))</f>
        <v/>
      </c>
      <c r="G333" s="6">
        <f>IF($E333="","", DEGREES(ATAN((INDEX(Calc!$E:$E, MATCH("KminusZ_m", Calc!$C:$C, 0)) - $E333 + $B333) / INDEX(Calc!$E:$E, MATCH("L_ramp_m", Calc!$C:$C, 0)))))</f>
        <v/>
      </c>
      <c r="H333" s="3">
        <f>IF($E333="","", IF(AND($E333&gt;=INDEX(Calc!$E:$E, MATCH("min_fwd_draft_m", Calc!$C:$C, 0)), $E333&lt;=INDEX(Calc!$E:$E, MATCH("max_fwd_draft_m", Calc!$C:$C, 0)), $G333&lt;=INDEX(Calc!$E:$E, MATCH("theta_max_deg", Calc!$C:$C, 0))), "OK", "CHECK"))</f>
        <v/>
      </c>
      <c r="I333" s="6">
        <f>IF($E333="","", INDEX(Calc!$E:$E, MATCH("D_vessel_m", Calc!$C:$C, 0)) - $E333 + $B333)</f>
        <v/>
      </c>
      <c r="J333" s="6">
        <f>IF($F333="","", INDEX(Calc!$E:$E, MATCH("D_vessel_m", Calc!$C:$C, 0)) - $F333 + $B333)</f>
        <v/>
      </c>
      <c r="K333" s="3">
        <f>IF(D333=0, "Even Keel", "")</f>
        <v/>
      </c>
    </row>
    <row r="334">
      <c r="A334" s="3">
        <f>IF(December_Tide_2025!A334="","",December_Tide_2025!A334)</f>
        <v/>
      </c>
      <c r="B334" s="6">
        <f>IF(December_Tide_2025!B334="","",December_Tide_2025!B334)</f>
        <v/>
      </c>
      <c r="C334" s="6">
        <f>IF($A334="","", INDEX(Calc!$E:$E, MATCH("KminusZ_m", Calc!$C:$C, 0)) + $B334 - INDEX(Calc!$E:$E, MATCH("L_ramp_m", Calc!$C:$C, 0)) * TAN(RADIANS(INDEX(Calc!$E:$E, MATCH("theta_max_deg", Calc!$C:$C, 0)))))</f>
        <v/>
      </c>
      <c r="D334" s="6" t="n"/>
      <c r="E334" s="6">
        <f>IF($C334="","", IF($D334="", $C334, $C334 - $D334/2))</f>
        <v/>
      </c>
      <c r="F334" s="6">
        <f>IF($C334="","", IF($D334="", $C334, $C334 + $D334/2))</f>
        <v/>
      </c>
      <c r="G334" s="6">
        <f>IF($E334="","", DEGREES(ATAN((INDEX(Calc!$E:$E, MATCH("KminusZ_m", Calc!$C:$C, 0)) - $E334 + $B334) / INDEX(Calc!$E:$E, MATCH("L_ramp_m", Calc!$C:$C, 0)))))</f>
        <v/>
      </c>
      <c r="H334" s="3">
        <f>IF($E334="","", IF(AND($E334&gt;=INDEX(Calc!$E:$E, MATCH("min_fwd_draft_m", Calc!$C:$C, 0)), $E334&lt;=INDEX(Calc!$E:$E, MATCH("max_fwd_draft_m", Calc!$C:$C, 0)), $G334&lt;=INDEX(Calc!$E:$E, MATCH("theta_max_deg", Calc!$C:$C, 0))), "OK", "CHECK"))</f>
        <v/>
      </c>
      <c r="I334" s="6">
        <f>IF($E334="","", INDEX(Calc!$E:$E, MATCH("D_vessel_m", Calc!$C:$C, 0)) - $E334 + $B334)</f>
        <v/>
      </c>
      <c r="J334" s="6">
        <f>IF($F334="","", INDEX(Calc!$E:$E, MATCH("D_vessel_m", Calc!$C:$C, 0)) - $F334 + $B334)</f>
        <v/>
      </c>
      <c r="K334" s="3">
        <f>IF(D334=0, "Even Keel", "")</f>
        <v/>
      </c>
    </row>
    <row r="335">
      <c r="A335" s="3">
        <f>IF(December_Tide_2025!A335="","",December_Tide_2025!A335)</f>
        <v/>
      </c>
      <c r="B335" s="6">
        <f>IF(December_Tide_2025!B335="","",December_Tide_2025!B335)</f>
        <v/>
      </c>
      <c r="C335" s="6">
        <f>IF($A335="","", INDEX(Calc!$E:$E, MATCH("KminusZ_m", Calc!$C:$C, 0)) + $B335 - INDEX(Calc!$E:$E, MATCH("L_ramp_m", Calc!$C:$C, 0)) * TAN(RADIANS(INDEX(Calc!$E:$E, MATCH("theta_max_deg", Calc!$C:$C, 0)))))</f>
        <v/>
      </c>
      <c r="D335" s="6" t="n"/>
      <c r="E335" s="6">
        <f>IF($C335="","", IF($D335="", $C335, $C335 - $D335/2))</f>
        <v/>
      </c>
      <c r="F335" s="6">
        <f>IF($C335="","", IF($D335="", $C335, $C335 + $D335/2))</f>
        <v/>
      </c>
      <c r="G335" s="6">
        <f>IF($E335="","", DEGREES(ATAN((INDEX(Calc!$E:$E, MATCH("KminusZ_m", Calc!$C:$C, 0)) - $E335 + $B335) / INDEX(Calc!$E:$E, MATCH("L_ramp_m", Calc!$C:$C, 0)))))</f>
        <v/>
      </c>
      <c r="H335" s="3">
        <f>IF($E335="","", IF(AND($E335&gt;=INDEX(Calc!$E:$E, MATCH("min_fwd_draft_m", Calc!$C:$C, 0)), $E335&lt;=INDEX(Calc!$E:$E, MATCH("max_fwd_draft_m", Calc!$C:$C, 0)), $G335&lt;=INDEX(Calc!$E:$E, MATCH("theta_max_deg", Calc!$C:$C, 0))), "OK", "CHECK"))</f>
        <v/>
      </c>
      <c r="I335" s="6">
        <f>IF($E335="","", INDEX(Calc!$E:$E, MATCH("D_vessel_m", Calc!$C:$C, 0)) - $E335 + $B335)</f>
        <v/>
      </c>
      <c r="J335" s="6">
        <f>IF($F335="","", INDEX(Calc!$E:$E, MATCH("D_vessel_m", Calc!$C:$C, 0)) - $F335 + $B335)</f>
        <v/>
      </c>
      <c r="K335" s="3">
        <f>IF(D335=0, "Even Keel", "")</f>
        <v/>
      </c>
    </row>
    <row r="336">
      <c r="A336" s="3">
        <f>IF(December_Tide_2025!A336="","",December_Tide_2025!A336)</f>
        <v/>
      </c>
      <c r="B336" s="6">
        <f>IF(December_Tide_2025!B336="","",December_Tide_2025!B336)</f>
        <v/>
      </c>
      <c r="C336" s="6">
        <f>IF($A336="","", INDEX(Calc!$E:$E, MATCH("KminusZ_m", Calc!$C:$C, 0)) + $B336 - INDEX(Calc!$E:$E, MATCH("L_ramp_m", Calc!$C:$C, 0)) * TAN(RADIANS(INDEX(Calc!$E:$E, MATCH("theta_max_deg", Calc!$C:$C, 0)))))</f>
        <v/>
      </c>
      <c r="D336" s="6" t="n"/>
      <c r="E336" s="6">
        <f>IF($C336="","", IF($D336="", $C336, $C336 - $D336/2))</f>
        <v/>
      </c>
      <c r="F336" s="6">
        <f>IF($C336="","", IF($D336="", $C336, $C336 + $D336/2))</f>
        <v/>
      </c>
      <c r="G336" s="6">
        <f>IF($E336="","", DEGREES(ATAN((INDEX(Calc!$E:$E, MATCH("KminusZ_m", Calc!$C:$C, 0)) - $E336 + $B336) / INDEX(Calc!$E:$E, MATCH("L_ramp_m", Calc!$C:$C, 0)))))</f>
        <v/>
      </c>
      <c r="H336" s="3">
        <f>IF($E336="","", IF(AND($E336&gt;=INDEX(Calc!$E:$E, MATCH("min_fwd_draft_m", Calc!$C:$C, 0)), $E336&lt;=INDEX(Calc!$E:$E, MATCH("max_fwd_draft_m", Calc!$C:$C, 0)), $G336&lt;=INDEX(Calc!$E:$E, MATCH("theta_max_deg", Calc!$C:$C, 0))), "OK", "CHECK"))</f>
        <v/>
      </c>
      <c r="I336" s="6">
        <f>IF($E336="","", INDEX(Calc!$E:$E, MATCH("D_vessel_m", Calc!$C:$C, 0)) - $E336 + $B336)</f>
        <v/>
      </c>
      <c r="J336" s="6">
        <f>IF($F336="","", INDEX(Calc!$E:$E, MATCH("D_vessel_m", Calc!$C:$C, 0)) - $F336 + $B336)</f>
        <v/>
      </c>
      <c r="K336" s="3">
        <f>IF(D336=0, "Even Keel", "")</f>
        <v/>
      </c>
    </row>
    <row r="337">
      <c r="A337" s="3">
        <f>IF(December_Tide_2025!A337="","",December_Tide_2025!A337)</f>
        <v/>
      </c>
      <c r="B337" s="6">
        <f>IF(December_Tide_2025!B337="","",December_Tide_2025!B337)</f>
        <v/>
      </c>
      <c r="C337" s="6">
        <f>IF($A337="","", INDEX(Calc!$E:$E, MATCH("KminusZ_m", Calc!$C:$C, 0)) + $B337 - INDEX(Calc!$E:$E, MATCH("L_ramp_m", Calc!$C:$C, 0)) * TAN(RADIANS(INDEX(Calc!$E:$E, MATCH("theta_max_deg", Calc!$C:$C, 0)))))</f>
        <v/>
      </c>
      <c r="D337" s="6" t="n"/>
      <c r="E337" s="6">
        <f>IF($C337="","", IF($D337="", $C337, $C337 - $D337/2))</f>
        <v/>
      </c>
      <c r="F337" s="6">
        <f>IF($C337="","", IF($D337="", $C337, $C337 + $D337/2))</f>
        <v/>
      </c>
      <c r="G337" s="6">
        <f>IF($E337="","", DEGREES(ATAN((INDEX(Calc!$E:$E, MATCH("KminusZ_m", Calc!$C:$C, 0)) - $E337 + $B337) / INDEX(Calc!$E:$E, MATCH("L_ramp_m", Calc!$C:$C, 0)))))</f>
        <v/>
      </c>
      <c r="H337" s="3">
        <f>IF($E337="","", IF(AND($E337&gt;=INDEX(Calc!$E:$E, MATCH("min_fwd_draft_m", Calc!$C:$C, 0)), $E337&lt;=INDEX(Calc!$E:$E, MATCH("max_fwd_draft_m", Calc!$C:$C, 0)), $G337&lt;=INDEX(Calc!$E:$E, MATCH("theta_max_deg", Calc!$C:$C, 0))), "OK", "CHECK"))</f>
        <v/>
      </c>
      <c r="I337" s="6">
        <f>IF($E337="","", INDEX(Calc!$E:$E, MATCH("D_vessel_m", Calc!$C:$C, 0)) - $E337 + $B337)</f>
        <v/>
      </c>
      <c r="J337" s="6">
        <f>IF($F337="","", INDEX(Calc!$E:$E, MATCH("D_vessel_m", Calc!$C:$C, 0)) - $F337 + $B337)</f>
        <v/>
      </c>
      <c r="K337" s="3">
        <f>IF(D337=0, "Even Keel", "")</f>
        <v/>
      </c>
    </row>
    <row r="338">
      <c r="A338" s="3">
        <f>IF(December_Tide_2025!A338="","",December_Tide_2025!A338)</f>
        <v/>
      </c>
      <c r="B338" s="6">
        <f>IF(December_Tide_2025!B338="","",December_Tide_2025!B338)</f>
        <v/>
      </c>
      <c r="C338" s="6">
        <f>IF($A338="","", INDEX(Calc!$E:$E, MATCH("KminusZ_m", Calc!$C:$C, 0)) + $B338 - INDEX(Calc!$E:$E, MATCH("L_ramp_m", Calc!$C:$C, 0)) * TAN(RADIANS(INDEX(Calc!$E:$E, MATCH("theta_max_deg", Calc!$C:$C, 0)))))</f>
        <v/>
      </c>
      <c r="D338" s="6" t="n"/>
      <c r="E338" s="6">
        <f>IF($C338="","", IF($D338="", $C338, $C338 - $D338/2))</f>
        <v/>
      </c>
      <c r="F338" s="6">
        <f>IF($C338="","", IF($D338="", $C338, $C338 + $D338/2))</f>
        <v/>
      </c>
      <c r="G338" s="6">
        <f>IF($E338="","", DEGREES(ATAN((INDEX(Calc!$E:$E, MATCH("KminusZ_m", Calc!$C:$C, 0)) - $E338 + $B338) / INDEX(Calc!$E:$E, MATCH("L_ramp_m", Calc!$C:$C, 0)))))</f>
        <v/>
      </c>
      <c r="H338" s="3">
        <f>IF($E338="","", IF(AND($E338&gt;=INDEX(Calc!$E:$E, MATCH("min_fwd_draft_m", Calc!$C:$C, 0)), $E338&lt;=INDEX(Calc!$E:$E, MATCH("max_fwd_draft_m", Calc!$C:$C, 0)), $G338&lt;=INDEX(Calc!$E:$E, MATCH("theta_max_deg", Calc!$C:$C, 0))), "OK", "CHECK"))</f>
        <v/>
      </c>
      <c r="I338" s="6">
        <f>IF($E338="","", INDEX(Calc!$E:$E, MATCH("D_vessel_m", Calc!$C:$C, 0)) - $E338 + $B338)</f>
        <v/>
      </c>
      <c r="J338" s="6">
        <f>IF($F338="","", INDEX(Calc!$E:$E, MATCH("D_vessel_m", Calc!$C:$C, 0)) - $F338 + $B338)</f>
        <v/>
      </c>
      <c r="K338" s="3">
        <f>IF(D338=0, "Even Keel", "")</f>
        <v/>
      </c>
    </row>
    <row r="339">
      <c r="A339" s="3">
        <f>IF(December_Tide_2025!A339="","",December_Tide_2025!A339)</f>
        <v/>
      </c>
      <c r="B339" s="6">
        <f>IF(December_Tide_2025!B339="","",December_Tide_2025!B339)</f>
        <v/>
      </c>
      <c r="C339" s="6">
        <f>IF($A339="","", INDEX(Calc!$E:$E, MATCH("KminusZ_m", Calc!$C:$C, 0)) + $B339 - INDEX(Calc!$E:$E, MATCH("L_ramp_m", Calc!$C:$C, 0)) * TAN(RADIANS(INDEX(Calc!$E:$E, MATCH("theta_max_deg", Calc!$C:$C, 0)))))</f>
        <v/>
      </c>
      <c r="D339" s="6" t="n"/>
      <c r="E339" s="6">
        <f>IF($C339="","", IF($D339="", $C339, $C339 - $D339/2))</f>
        <v/>
      </c>
      <c r="F339" s="6">
        <f>IF($C339="","", IF($D339="", $C339, $C339 + $D339/2))</f>
        <v/>
      </c>
      <c r="G339" s="6">
        <f>IF($E339="","", DEGREES(ATAN((INDEX(Calc!$E:$E, MATCH("KminusZ_m", Calc!$C:$C, 0)) - $E339 + $B339) / INDEX(Calc!$E:$E, MATCH("L_ramp_m", Calc!$C:$C, 0)))))</f>
        <v/>
      </c>
      <c r="H339" s="3">
        <f>IF($E339="","", IF(AND($E339&gt;=INDEX(Calc!$E:$E, MATCH("min_fwd_draft_m", Calc!$C:$C, 0)), $E339&lt;=INDEX(Calc!$E:$E, MATCH("max_fwd_draft_m", Calc!$C:$C, 0)), $G339&lt;=INDEX(Calc!$E:$E, MATCH("theta_max_deg", Calc!$C:$C, 0))), "OK", "CHECK"))</f>
        <v/>
      </c>
      <c r="I339" s="6">
        <f>IF($E339="","", INDEX(Calc!$E:$E, MATCH("D_vessel_m", Calc!$C:$C, 0)) - $E339 + $B339)</f>
        <v/>
      </c>
      <c r="J339" s="6">
        <f>IF($F339="","", INDEX(Calc!$E:$E, MATCH("D_vessel_m", Calc!$C:$C, 0)) - $F339 + $B339)</f>
        <v/>
      </c>
      <c r="K339" s="3">
        <f>IF(D339=0, "Even Keel", "")</f>
        <v/>
      </c>
    </row>
    <row r="340">
      <c r="A340" s="3">
        <f>IF(December_Tide_2025!A340="","",December_Tide_2025!A340)</f>
        <v/>
      </c>
      <c r="B340" s="6">
        <f>IF(December_Tide_2025!B340="","",December_Tide_2025!B340)</f>
        <v/>
      </c>
      <c r="C340" s="6">
        <f>IF($A340="","", INDEX(Calc!$E:$E, MATCH("KminusZ_m", Calc!$C:$C, 0)) + $B340 - INDEX(Calc!$E:$E, MATCH("L_ramp_m", Calc!$C:$C, 0)) * TAN(RADIANS(INDEX(Calc!$E:$E, MATCH("theta_max_deg", Calc!$C:$C, 0)))))</f>
        <v/>
      </c>
      <c r="D340" s="6" t="n"/>
      <c r="E340" s="6">
        <f>IF($C340="","", IF($D340="", $C340, $C340 - $D340/2))</f>
        <v/>
      </c>
      <c r="F340" s="6">
        <f>IF($C340="","", IF($D340="", $C340, $C340 + $D340/2))</f>
        <v/>
      </c>
      <c r="G340" s="6">
        <f>IF($E340="","", DEGREES(ATAN((INDEX(Calc!$E:$E, MATCH("KminusZ_m", Calc!$C:$C, 0)) - $E340 + $B340) / INDEX(Calc!$E:$E, MATCH("L_ramp_m", Calc!$C:$C, 0)))))</f>
        <v/>
      </c>
      <c r="H340" s="3">
        <f>IF($E340="","", IF(AND($E340&gt;=INDEX(Calc!$E:$E, MATCH("min_fwd_draft_m", Calc!$C:$C, 0)), $E340&lt;=INDEX(Calc!$E:$E, MATCH("max_fwd_draft_m", Calc!$C:$C, 0)), $G340&lt;=INDEX(Calc!$E:$E, MATCH("theta_max_deg", Calc!$C:$C, 0))), "OK", "CHECK"))</f>
        <v/>
      </c>
      <c r="I340" s="6">
        <f>IF($E340="","", INDEX(Calc!$E:$E, MATCH("D_vessel_m", Calc!$C:$C, 0)) - $E340 + $B340)</f>
        <v/>
      </c>
      <c r="J340" s="6">
        <f>IF($F340="","", INDEX(Calc!$E:$E, MATCH("D_vessel_m", Calc!$C:$C, 0)) - $F340 + $B340)</f>
        <v/>
      </c>
      <c r="K340" s="3">
        <f>IF(D340=0, "Even Keel", "")</f>
        <v/>
      </c>
    </row>
    <row r="341">
      <c r="A341" s="3">
        <f>IF(December_Tide_2025!A341="","",December_Tide_2025!A341)</f>
        <v/>
      </c>
      <c r="B341" s="6">
        <f>IF(December_Tide_2025!B341="","",December_Tide_2025!B341)</f>
        <v/>
      </c>
      <c r="C341" s="6">
        <f>IF($A341="","", INDEX(Calc!$E:$E, MATCH("KminusZ_m", Calc!$C:$C, 0)) + $B341 - INDEX(Calc!$E:$E, MATCH("L_ramp_m", Calc!$C:$C, 0)) * TAN(RADIANS(INDEX(Calc!$E:$E, MATCH("theta_max_deg", Calc!$C:$C, 0)))))</f>
        <v/>
      </c>
      <c r="D341" s="6" t="n"/>
      <c r="E341" s="6">
        <f>IF($C341="","", IF($D341="", $C341, $C341 - $D341/2))</f>
        <v/>
      </c>
      <c r="F341" s="6">
        <f>IF($C341="","", IF($D341="", $C341, $C341 + $D341/2))</f>
        <v/>
      </c>
      <c r="G341" s="6">
        <f>IF($E341="","", DEGREES(ATAN((INDEX(Calc!$E:$E, MATCH("KminusZ_m", Calc!$C:$C, 0)) - $E341 + $B341) / INDEX(Calc!$E:$E, MATCH("L_ramp_m", Calc!$C:$C, 0)))))</f>
        <v/>
      </c>
      <c r="H341" s="3">
        <f>IF($E341="","", IF(AND($E341&gt;=INDEX(Calc!$E:$E, MATCH("min_fwd_draft_m", Calc!$C:$C, 0)), $E341&lt;=INDEX(Calc!$E:$E, MATCH("max_fwd_draft_m", Calc!$C:$C, 0)), $G341&lt;=INDEX(Calc!$E:$E, MATCH("theta_max_deg", Calc!$C:$C, 0))), "OK", "CHECK"))</f>
        <v/>
      </c>
      <c r="I341" s="6">
        <f>IF($E341="","", INDEX(Calc!$E:$E, MATCH("D_vessel_m", Calc!$C:$C, 0)) - $E341 + $B341)</f>
        <v/>
      </c>
      <c r="J341" s="6">
        <f>IF($F341="","", INDEX(Calc!$E:$E, MATCH("D_vessel_m", Calc!$C:$C, 0)) - $F341 + $B341)</f>
        <v/>
      </c>
      <c r="K341" s="3">
        <f>IF(D341=0, "Even Keel", "")</f>
        <v/>
      </c>
    </row>
    <row r="342">
      <c r="A342" s="3">
        <f>IF(December_Tide_2025!A342="","",December_Tide_2025!A342)</f>
        <v/>
      </c>
      <c r="B342" s="6">
        <f>IF(December_Tide_2025!B342="","",December_Tide_2025!B342)</f>
        <v/>
      </c>
      <c r="C342" s="6">
        <f>IF($A342="","", INDEX(Calc!$E:$E, MATCH("KminusZ_m", Calc!$C:$C, 0)) + $B342 - INDEX(Calc!$E:$E, MATCH("L_ramp_m", Calc!$C:$C, 0)) * TAN(RADIANS(INDEX(Calc!$E:$E, MATCH("theta_max_deg", Calc!$C:$C, 0)))))</f>
        <v/>
      </c>
      <c r="D342" s="6" t="n"/>
      <c r="E342" s="6">
        <f>IF($C342="","", IF($D342="", $C342, $C342 - $D342/2))</f>
        <v/>
      </c>
      <c r="F342" s="6">
        <f>IF($C342="","", IF($D342="", $C342, $C342 + $D342/2))</f>
        <v/>
      </c>
      <c r="G342" s="6">
        <f>IF($E342="","", DEGREES(ATAN((INDEX(Calc!$E:$E, MATCH("KminusZ_m", Calc!$C:$C, 0)) - $E342 + $B342) / INDEX(Calc!$E:$E, MATCH("L_ramp_m", Calc!$C:$C, 0)))))</f>
        <v/>
      </c>
      <c r="H342" s="3">
        <f>IF($E342="","", IF(AND($E342&gt;=INDEX(Calc!$E:$E, MATCH("min_fwd_draft_m", Calc!$C:$C, 0)), $E342&lt;=INDEX(Calc!$E:$E, MATCH("max_fwd_draft_m", Calc!$C:$C, 0)), $G342&lt;=INDEX(Calc!$E:$E, MATCH("theta_max_deg", Calc!$C:$C, 0))), "OK", "CHECK"))</f>
        <v/>
      </c>
      <c r="I342" s="6">
        <f>IF($E342="","", INDEX(Calc!$E:$E, MATCH("D_vessel_m", Calc!$C:$C, 0)) - $E342 + $B342)</f>
        <v/>
      </c>
      <c r="J342" s="6">
        <f>IF($F342="","", INDEX(Calc!$E:$E, MATCH("D_vessel_m", Calc!$C:$C, 0)) - $F342 + $B342)</f>
        <v/>
      </c>
      <c r="K342" s="3">
        <f>IF(D342=0, "Even Keel", "")</f>
        <v/>
      </c>
    </row>
    <row r="343">
      <c r="A343" s="3">
        <f>IF(December_Tide_2025!A343="","",December_Tide_2025!A343)</f>
        <v/>
      </c>
      <c r="B343" s="6">
        <f>IF(December_Tide_2025!B343="","",December_Tide_2025!B343)</f>
        <v/>
      </c>
      <c r="C343" s="6">
        <f>IF($A343="","", INDEX(Calc!$E:$E, MATCH("KminusZ_m", Calc!$C:$C, 0)) + $B343 - INDEX(Calc!$E:$E, MATCH("L_ramp_m", Calc!$C:$C, 0)) * TAN(RADIANS(INDEX(Calc!$E:$E, MATCH("theta_max_deg", Calc!$C:$C, 0)))))</f>
        <v/>
      </c>
      <c r="D343" s="6" t="n"/>
      <c r="E343" s="6">
        <f>IF($C343="","", IF($D343="", $C343, $C343 - $D343/2))</f>
        <v/>
      </c>
      <c r="F343" s="6">
        <f>IF($C343="","", IF($D343="", $C343, $C343 + $D343/2))</f>
        <v/>
      </c>
      <c r="G343" s="6">
        <f>IF($E343="","", DEGREES(ATAN((INDEX(Calc!$E:$E, MATCH("KminusZ_m", Calc!$C:$C, 0)) - $E343 + $B343) / INDEX(Calc!$E:$E, MATCH("L_ramp_m", Calc!$C:$C, 0)))))</f>
        <v/>
      </c>
      <c r="H343" s="3">
        <f>IF($E343="","", IF(AND($E343&gt;=INDEX(Calc!$E:$E, MATCH("min_fwd_draft_m", Calc!$C:$C, 0)), $E343&lt;=INDEX(Calc!$E:$E, MATCH("max_fwd_draft_m", Calc!$C:$C, 0)), $G343&lt;=INDEX(Calc!$E:$E, MATCH("theta_max_deg", Calc!$C:$C, 0))), "OK", "CHECK"))</f>
        <v/>
      </c>
      <c r="I343" s="6">
        <f>IF($E343="","", INDEX(Calc!$E:$E, MATCH("D_vessel_m", Calc!$C:$C, 0)) - $E343 + $B343)</f>
        <v/>
      </c>
      <c r="J343" s="6">
        <f>IF($F343="","", INDEX(Calc!$E:$E, MATCH("D_vessel_m", Calc!$C:$C, 0)) - $F343 + $B343)</f>
        <v/>
      </c>
      <c r="K343" s="3">
        <f>IF(D343=0, "Even Keel", "")</f>
        <v/>
      </c>
    </row>
    <row r="344">
      <c r="A344" s="3">
        <f>IF(December_Tide_2025!A344="","",December_Tide_2025!A344)</f>
        <v/>
      </c>
      <c r="B344" s="6">
        <f>IF(December_Tide_2025!B344="","",December_Tide_2025!B344)</f>
        <v/>
      </c>
      <c r="C344" s="6">
        <f>IF($A344="","", INDEX(Calc!$E:$E, MATCH("KminusZ_m", Calc!$C:$C, 0)) + $B344 - INDEX(Calc!$E:$E, MATCH("L_ramp_m", Calc!$C:$C, 0)) * TAN(RADIANS(INDEX(Calc!$E:$E, MATCH("theta_max_deg", Calc!$C:$C, 0)))))</f>
        <v/>
      </c>
      <c r="D344" s="6" t="n"/>
      <c r="E344" s="6">
        <f>IF($C344="","", IF($D344="", $C344, $C344 - $D344/2))</f>
        <v/>
      </c>
      <c r="F344" s="6">
        <f>IF($C344="","", IF($D344="", $C344, $C344 + $D344/2))</f>
        <v/>
      </c>
      <c r="G344" s="6">
        <f>IF($E344="","", DEGREES(ATAN((INDEX(Calc!$E:$E, MATCH("KminusZ_m", Calc!$C:$C, 0)) - $E344 + $B344) / INDEX(Calc!$E:$E, MATCH("L_ramp_m", Calc!$C:$C, 0)))))</f>
        <v/>
      </c>
      <c r="H344" s="3">
        <f>IF($E344="","", IF(AND($E344&gt;=INDEX(Calc!$E:$E, MATCH("min_fwd_draft_m", Calc!$C:$C, 0)), $E344&lt;=INDEX(Calc!$E:$E, MATCH("max_fwd_draft_m", Calc!$C:$C, 0)), $G344&lt;=INDEX(Calc!$E:$E, MATCH("theta_max_deg", Calc!$C:$C, 0))), "OK", "CHECK"))</f>
        <v/>
      </c>
      <c r="I344" s="6">
        <f>IF($E344="","", INDEX(Calc!$E:$E, MATCH("D_vessel_m", Calc!$C:$C, 0)) - $E344 + $B344)</f>
        <v/>
      </c>
      <c r="J344" s="6">
        <f>IF($F344="","", INDEX(Calc!$E:$E, MATCH("D_vessel_m", Calc!$C:$C, 0)) - $F344 + $B344)</f>
        <v/>
      </c>
      <c r="K344" s="3">
        <f>IF(D344=0, "Even Keel", "")</f>
        <v/>
      </c>
    </row>
    <row r="345">
      <c r="A345" s="3">
        <f>IF(December_Tide_2025!A345="","",December_Tide_2025!A345)</f>
        <v/>
      </c>
      <c r="B345" s="6">
        <f>IF(December_Tide_2025!B345="","",December_Tide_2025!B345)</f>
        <v/>
      </c>
      <c r="C345" s="6">
        <f>IF($A345="","", INDEX(Calc!$E:$E, MATCH("KminusZ_m", Calc!$C:$C, 0)) + $B345 - INDEX(Calc!$E:$E, MATCH("L_ramp_m", Calc!$C:$C, 0)) * TAN(RADIANS(INDEX(Calc!$E:$E, MATCH("theta_max_deg", Calc!$C:$C, 0)))))</f>
        <v/>
      </c>
      <c r="D345" s="6" t="n"/>
      <c r="E345" s="6">
        <f>IF($C345="","", IF($D345="", $C345, $C345 - $D345/2))</f>
        <v/>
      </c>
      <c r="F345" s="6">
        <f>IF($C345="","", IF($D345="", $C345, $C345 + $D345/2))</f>
        <v/>
      </c>
      <c r="G345" s="6">
        <f>IF($E345="","", DEGREES(ATAN((INDEX(Calc!$E:$E, MATCH("KminusZ_m", Calc!$C:$C, 0)) - $E345 + $B345) / INDEX(Calc!$E:$E, MATCH("L_ramp_m", Calc!$C:$C, 0)))))</f>
        <v/>
      </c>
      <c r="H345" s="3">
        <f>IF($E345="","", IF(AND($E345&gt;=INDEX(Calc!$E:$E, MATCH("min_fwd_draft_m", Calc!$C:$C, 0)), $E345&lt;=INDEX(Calc!$E:$E, MATCH("max_fwd_draft_m", Calc!$C:$C, 0)), $G345&lt;=INDEX(Calc!$E:$E, MATCH("theta_max_deg", Calc!$C:$C, 0))), "OK", "CHECK"))</f>
        <v/>
      </c>
      <c r="I345" s="6">
        <f>IF($E345="","", INDEX(Calc!$E:$E, MATCH("D_vessel_m", Calc!$C:$C, 0)) - $E345 + $B345)</f>
        <v/>
      </c>
      <c r="J345" s="6">
        <f>IF($F345="","", INDEX(Calc!$E:$E, MATCH("D_vessel_m", Calc!$C:$C, 0)) - $F345 + $B345)</f>
        <v/>
      </c>
      <c r="K345" s="3">
        <f>IF(D345=0, "Even Keel", "")</f>
        <v/>
      </c>
    </row>
    <row r="346">
      <c r="A346" s="3">
        <f>IF(December_Tide_2025!A346="","",December_Tide_2025!A346)</f>
        <v/>
      </c>
      <c r="B346" s="6">
        <f>IF(December_Tide_2025!B346="","",December_Tide_2025!B346)</f>
        <v/>
      </c>
      <c r="C346" s="6">
        <f>IF($A346="","", INDEX(Calc!$E:$E, MATCH("KminusZ_m", Calc!$C:$C, 0)) + $B346 - INDEX(Calc!$E:$E, MATCH("L_ramp_m", Calc!$C:$C, 0)) * TAN(RADIANS(INDEX(Calc!$E:$E, MATCH("theta_max_deg", Calc!$C:$C, 0)))))</f>
        <v/>
      </c>
      <c r="D346" s="6" t="n"/>
      <c r="E346" s="6">
        <f>IF($C346="","", IF($D346="", $C346, $C346 - $D346/2))</f>
        <v/>
      </c>
      <c r="F346" s="6">
        <f>IF($C346="","", IF($D346="", $C346, $C346 + $D346/2))</f>
        <v/>
      </c>
      <c r="G346" s="6">
        <f>IF($E346="","", DEGREES(ATAN((INDEX(Calc!$E:$E, MATCH("KminusZ_m", Calc!$C:$C, 0)) - $E346 + $B346) / INDEX(Calc!$E:$E, MATCH("L_ramp_m", Calc!$C:$C, 0)))))</f>
        <v/>
      </c>
      <c r="H346" s="3">
        <f>IF($E346="","", IF(AND($E346&gt;=INDEX(Calc!$E:$E, MATCH("min_fwd_draft_m", Calc!$C:$C, 0)), $E346&lt;=INDEX(Calc!$E:$E, MATCH("max_fwd_draft_m", Calc!$C:$C, 0)), $G346&lt;=INDEX(Calc!$E:$E, MATCH("theta_max_deg", Calc!$C:$C, 0))), "OK", "CHECK"))</f>
        <v/>
      </c>
      <c r="I346" s="6">
        <f>IF($E346="","", INDEX(Calc!$E:$E, MATCH("D_vessel_m", Calc!$C:$C, 0)) - $E346 + $B346)</f>
        <v/>
      </c>
      <c r="J346" s="6">
        <f>IF($F346="","", INDEX(Calc!$E:$E, MATCH("D_vessel_m", Calc!$C:$C, 0)) - $F346 + $B346)</f>
        <v/>
      </c>
      <c r="K346" s="3">
        <f>IF(D346=0, "Even Keel", "")</f>
        <v/>
      </c>
    </row>
    <row r="347">
      <c r="A347" s="3">
        <f>IF(December_Tide_2025!A347="","",December_Tide_2025!A347)</f>
        <v/>
      </c>
      <c r="B347" s="6">
        <f>IF(December_Tide_2025!B347="","",December_Tide_2025!B347)</f>
        <v/>
      </c>
      <c r="C347" s="6">
        <f>IF($A347="","", INDEX(Calc!$E:$E, MATCH("KminusZ_m", Calc!$C:$C, 0)) + $B347 - INDEX(Calc!$E:$E, MATCH("L_ramp_m", Calc!$C:$C, 0)) * TAN(RADIANS(INDEX(Calc!$E:$E, MATCH("theta_max_deg", Calc!$C:$C, 0)))))</f>
        <v/>
      </c>
      <c r="D347" s="6" t="n"/>
      <c r="E347" s="6">
        <f>IF($C347="","", IF($D347="", $C347, $C347 - $D347/2))</f>
        <v/>
      </c>
      <c r="F347" s="6">
        <f>IF($C347="","", IF($D347="", $C347, $C347 + $D347/2))</f>
        <v/>
      </c>
      <c r="G347" s="6">
        <f>IF($E347="","", DEGREES(ATAN((INDEX(Calc!$E:$E, MATCH("KminusZ_m", Calc!$C:$C, 0)) - $E347 + $B347) / INDEX(Calc!$E:$E, MATCH("L_ramp_m", Calc!$C:$C, 0)))))</f>
        <v/>
      </c>
      <c r="H347" s="3">
        <f>IF($E347="","", IF(AND($E347&gt;=INDEX(Calc!$E:$E, MATCH("min_fwd_draft_m", Calc!$C:$C, 0)), $E347&lt;=INDEX(Calc!$E:$E, MATCH("max_fwd_draft_m", Calc!$C:$C, 0)), $G347&lt;=INDEX(Calc!$E:$E, MATCH("theta_max_deg", Calc!$C:$C, 0))), "OK", "CHECK"))</f>
        <v/>
      </c>
      <c r="I347" s="6">
        <f>IF($E347="","", INDEX(Calc!$E:$E, MATCH("D_vessel_m", Calc!$C:$C, 0)) - $E347 + $B347)</f>
        <v/>
      </c>
      <c r="J347" s="6">
        <f>IF($F347="","", INDEX(Calc!$E:$E, MATCH("D_vessel_m", Calc!$C:$C, 0)) - $F347 + $B347)</f>
        <v/>
      </c>
      <c r="K347" s="3">
        <f>IF(D347=0, "Even Keel", "")</f>
        <v/>
      </c>
    </row>
    <row r="348">
      <c r="A348" s="3">
        <f>IF(December_Tide_2025!A348="","",December_Tide_2025!A348)</f>
        <v/>
      </c>
      <c r="B348" s="6">
        <f>IF(December_Tide_2025!B348="","",December_Tide_2025!B348)</f>
        <v/>
      </c>
      <c r="C348" s="6">
        <f>IF($A348="","", INDEX(Calc!$E:$E, MATCH("KminusZ_m", Calc!$C:$C, 0)) + $B348 - INDEX(Calc!$E:$E, MATCH("L_ramp_m", Calc!$C:$C, 0)) * TAN(RADIANS(INDEX(Calc!$E:$E, MATCH("theta_max_deg", Calc!$C:$C, 0)))))</f>
        <v/>
      </c>
      <c r="D348" s="6" t="n"/>
      <c r="E348" s="6">
        <f>IF($C348="","", IF($D348="", $C348, $C348 - $D348/2))</f>
        <v/>
      </c>
      <c r="F348" s="6">
        <f>IF($C348="","", IF($D348="", $C348, $C348 + $D348/2))</f>
        <v/>
      </c>
      <c r="G348" s="6">
        <f>IF($E348="","", DEGREES(ATAN((INDEX(Calc!$E:$E, MATCH("KminusZ_m", Calc!$C:$C, 0)) - $E348 + $B348) / INDEX(Calc!$E:$E, MATCH("L_ramp_m", Calc!$C:$C, 0)))))</f>
        <v/>
      </c>
      <c r="H348" s="3">
        <f>IF($E348="","", IF(AND($E348&gt;=INDEX(Calc!$E:$E, MATCH("min_fwd_draft_m", Calc!$C:$C, 0)), $E348&lt;=INDEX(Calc!$E:$E, MATCH("max_fwd_draft_m", Calc!$C:$C, 0)), $G348&lt;=INDEX(Calc!$E:$E, MATCH("theta_max_deg", Calc!$C:$C, 0))), "OK", "CHECK"))</f>
        <v/>
      </c>
      <c r="I348" s="6">
        <f>IF($E348="","", INDEX(Calc!$E:$E, MATCH("D_vessel_m", Calc!$C:$C, 0)) - $E348 + $B348)</f>
        <v/>
      </c>
      <c r="J348" s="6">
        <f>IF($F348="","", INDEX(Calc!$E:$E, MATCH("D_vessel_m", Calc!$C:$C, 0)) - $F348 + $B348)</f>
        <v/>
      </c>
      <c r="K348" s="3">
        <f>IF(D348=0, "Even Keel", "")</f>
        <v/>
      </c>
    </row>
    <row r="349">
      <c r="A349" s="3">
        <f>IF(December_Tide_2025!A349="","",December_Tide_2025!A349)</f>
        <v/>
      </c>
      <c r="B349" s="6">
        <f>IF(December_Tide_2025!B349="","",December_Tide_2025!B349)</f>
        <v/>
      </c>
      <c r="C349" s="6">
        <f>IF($A349="","", INDEX(Calc!$E:$E, MATCH("KminusZ_m", Calc!$C:$C, 0)) + $B349 - INDEX(Calc!$E:$E, MATCH("L_ramp_m", Calc!$C:$C, 0)) * TAN(RADIANS(INDEX(Calc!$E:$E, MATCH("theta_max_deg", Calc!$C:$C, 0)))))</f>
        <v/>
      </c>
      <c r="D349" s="6" t="n"/>
      <c r="E349" s="6">
        <f>IF($C349="","", IF($D349="", $C349, $C349 - $D349/2))</f>
        <v/>
      </c>
      <c r="F349" s="6">
        <f>IF($C349="","", IF($D349="", $C349, $C349 + $D349/2))</f>
        <v/>
      </c>
      <c r="G349" s="6">
        <f>IF($E349="","", DEGREES(ATAN((INDEX(Calc!$E:$E, MATCH("KminusZ_m", Calc!$C:$C, 0)) - $E349 + $B349) / INDEX(Calc!$E:$E, MATCH("L_ramp_m", Calc!$C:$C, 0)))))</f>
        <v/>
      </c>
      <c r="H349" s="3">
        <f>IF($E349="","", IF(AND($E349&gt;=INDEX(Calc!$E:$E, MATCH("min_fwd_draft_m", Calc!$C:$C, 0)), $E349&lt;=INDEX(Calc!$E:$E, MATCH("max_fwd_draft_m", Calc!$C:$C, 0)), $G349&lt;=INDEX(Calc!$E:$E, MATCH("theta_max_deg", Calc!$C:$C, 0))), "OK", "CHECK"))</f>
        <v/>
      </c>
      <c r="I349" s="6">
        <f>IF($E349="","", INDEX(Calc!$E:$E, MATCH("D_vessel_m", Calc!$C:$C, 0)) - $E349 + $B349)</f>
        <v/>
      </c>
      <c r="J349" s="6">
        <f>IF($F349="","", INDEX(Calc!$E:$E, MATCH("D_vessel_m", Calc!$C:$C, 0)) - $F349 + $B349)</f>
        <v/>
      </c>
      <c r="K349" s="3">
        <f>IF(D349=0, "Even Keel", "")</f>
        <v/>
      </c>
    </row>
    <row r="350">
      <c r="A350" s="3">
        <f>IF(December_Tide_2025!A350="","",December_Tide_2025!A350)</f>
        <v/>
      </c>
      <c r="B350" s="6">
        <f>IF(December_Tide_2025!B350="","",December_Tide_2025!B350)</f>
        <v/>
      </c>
      <c r="C350" s="6">
        <f>IF($A350="","", INDEX(Calc!$E:$E, MATCH("KminusZ_m", Calc!$C:$C, 0)) + $B350 - INDEX(Calc!$E:$E, MATCH("L_ramp_m", Calc!$C:$C, 0)) * TAN(RADIANS(INDEX(Calc!$E:$E, MATCH("theta_max_deg", Calc!$C:$C, 0)))))</f>
        <v/>
      </c>
      <c r="D350" s="6" t="n"/>
      <c r="E350" s="6">
        <f>IF($C350="","", IF($D350="", $C350, $C350 - $D350/2))</f>
        <v/>
      </c>
      <c r="F350" s="6">
        <f>IF($C350="","", IF($D350="", $C350, $C350 + $D350/2))</f>
        <v/>
      </c>
      <c r="G350" s="6">
        <f>IF($E350="","", DEGREES(ATAN((INDEX(Calc!$E:$E, MATCH("KminusZ_m", Calc!$C:$C, 0)) - $E350 + $B350) / INDEX(Calc!$E:$E, MATCH("L_ramp_m", Calc!$C:$C, 0)))))</f>
        <v/>
      </c>
      <c r="H350" s="3">
        <f>IF($E350="","", IF(AND($E350&gt;=INDEX(Calc!$E:$E, MATCH("min_fwd_draft_m", Calc!$C:$C, 0)), $E350&lt;=INDEX(Calc!$E:$E, MATCH("max_fwd_draft_m", Calc!$C:$C, 0)), $G350&lt;=INDEX(Calc!$E:$E, MATCH("theta_max_deg", Calc!$C:$C, 0))), "OK", "CHECK"))</f>
        <v/>
      </c>
      <c r="I350" s="6">
        <f>IF($E350="","", INDEX(Calc!$E:$E, MATCH("D_vessel_m", Calc!$C:$C, 0)) - $E350 + $B350)</f>
        <v/>
      </c>
      <c r="J350" s="6">
        <f>IF($F350="","", INDEX(Calc!$E:$E, MATCH("D_vessel_m", Calc!$C:$C, 0)) - $F350 + $B350)</f>
        <v/>
      </c>
      <c r="K350" s="3">
        <f>IF(D350=0, "Even Keel", "")</f>
        <v/>
      </c>
    </row>
    <row r="351">
      <c r="A351" s="3">
        <f>IF(December_Tide_2025!A351="","",December_Tide_2025!A351)</f>
        <v/>
      </c>
      <c r="B351" s="6">
        <f>IF(December_Tide_2025!B351="","",December_Tide_2025!B351)</f>
        <v/>
      </c>
      <c r="C351" s="6">
        <f>IF($A351="","", INDEX(Calc!$E:$E, MATCH("KminusZ_m", Calc!$C:$C, 0)) + $B351 - INDEX(Calc!$E:$E, MATCH("L_ramp_m", Calc!$C:$C, 0)) * TAN(RADIANS(INDEX(Calc!$E:$E, MATCH("theta_max_deg", Calc!$C:$C, 0)))))</f>
        <v/>
      </c>
      <c r="D351" s="6" t="n"/>
      <c r="E351" s="6">
        <f>IF($C351="","", IF($D351="", $C351, $C351 - $D351/2))</f>
        <v/>
      </c>
      <c r="F351" s="6">
        <f>IF($C351="","", IF($D351="", $C351, $C351 + $D351/2))</f>
        <v/>
      </c>
      <c r="G351" s="6">
        <f>IF($E351="","", DEGREES(ATAN((INDEX(Calc!$E:$E, MATCH("KminusZ_m", Calc!$C:$C, 0)) - $E351 + $B351) / INDEX(Calc!$E:$E, MATCH("L_ramp_m", Calc!$C:$C, 0)))))</f>
        <v/>
      </c>
      <c r="H351" s="3">
        <f>IF($E351="","", IF(AND($E351&gt;=INDEX(Calc!$E:$E, MATCH("min_fwd_draft_m", Calc!$C:$C, 0)), $E351&lt;=INDEX(Calc!$E:$E, MATCH("max_fwd_draft_m", Calc!$C:$C, 0)), $G351&lt;=INDEX(Calc!$E:$E, MATCH("theta_max_deg", Calc!$C:$C, 0))), "OK", "CHECK"))</f>
        <v/>
      </c>
      <c r="I351" s="6">
        <f>IF($E351="","", INDEX(Calc!$E:$E, MATCH("D_vessel_m", Calc!$C:$C, 0)) - $E351 + $B351)</f>
        <v/>
      </c>
      <c r="J351" s="6">
        <f>IF($F351="","", INDEX(Calc!$E:$E, MATCH("D_vessel_m", Calc!$C:$C, 0)) - $F351 + $B351)</f>
        <v/>
      </c>
      <c r="K351" s="3">
        <f>IF(D351=0, "Even Keel", "")</f>
        <v/>
      </c>
    </row>
    <row r="352">
      <c r="A352" s="3">
        <f>IF(December_Tide_2025!A352="","",December_Tide_2025!A352)</f>
        <v/>
      </c>
      <c r="B352" s="6">
        <f>IF(December_Tide_2025!B352="","",December_Tide_2025!B352)</f>
        <v/>
      </c>
      <c r="C352" s="6">
        <f>IF($A352="","", INDEX(Calc!$E:$E, MATCH("KminusZ_m", Calc!$C:$C, 0)) + $B352 - INDEX(Calc!$E:$E, MATCH("L_ramp_m", Calc!$C:$C, 0)) * TAN(RADIANS(INDEX(Calc!$E:$E, MATCH("theta_max_deg", Calc!$C:$C, 0)))))</f>
        <v/>
      </c>
      <c r="D352" s="6" t="n"/>
      <c r="E352" s="6">
        <f>IF($C352="","", IF($D352="", $C352, $C352 - $D352/2))</f>
        <v/>
      </c>
      <c r="F352" s="6">
        <f>IF($C352="","", IF($D352="", $C352, $C352 + $D352/2))</f>
        <v/>
      </c>
      <c r="G352" s="6">
        <f>IF($E352="","", DEGREES(ATAN((INDEX(Calc!$E:$E, MATCH("KminusZ_m", Calc!$C:$C, 0)) - $E352 + $B352) / INDEX(Calc!$E:$E, MATCH("L_ramp_m", Calc!$C:$C, 0)))))</f>
        <v/>
      </c>
      <c r="H352" s="3">
        <f>IF($E352="","", IF(AND($E352&gt;=INDEX(Calc!$E:$E, MATCH("min_fwd_draft_m", Calc!$C:$C, 0)), $E352&lt;=INDEX(Calc!$E:$E, MATCH("max_fwd_draft_m", Calc!$C:$C, 0)), $G352&lt;=INDEX(Calc!$E:$E, MATCH("theta_max_deg", Calc!$C:$C, 0))), "OK", "CHECK"))</f>
        <v/>
      </c>
      <c r="I352" s="6">
        <f>IF($E352="","", INDEX(Calc!$E:$E, MATCH("D_vessel_m", Calc!$C:$C, 0)) - $E352 + $B352)</f>
        <v/>
      </c>
      <c r="J352" s="6">
        <f>IF($F352="","", INDEX(Calc!$E:$E, MATCH("D_vessel_m", Calc!$C:$C, 0)) - $F352 + $B352)</f>
        <v/>
      </c>
      <c r="K352" s="3">
        <f>IF(D352=0, "Even Keel", "")</f>
        <v/>
      </c>
    </row>
    <row r="353">
      <c r="A353" s="3">
        <f>IF(December_Tide_2025!A353="","",December_Tide_2025!A353)</f>
        <v/>
      </c>
      <c r="B353" s="6">
        <f>IF(December_Tide_2025!B353="","",December_Tide_2025!B353)</f>
        <v/>
      </c>
      <c r="C353" s="6">
        <f>IF($A353="","", INDEX(Calc!$E:$E, MATCH("KminusZ_m", Calc!$C:$C, 0)) + $B353 - INDEX(Calc!$E:$E, MATCH("L_ramp_m", Calc!$C:$C, 0)) * TAN(RADIANS(INDEX(Calc!$E:$E, MATCH("theta_max_deg", Calc!$C:$C, 0)))))</f>
        <v/>
      </c>
      <c r="D353" s="6" t="n"/>
      <c r="E353" s="6">
        <f>IF($C353="","", IF($D353="", $C353, $C353 - $D353/2))</f>
        <v/>
      </c>
      <c r="F353" s="6">
        <f>IF($C353="","", IF($D353="", $C353, $C353 + $D353/2))</f>
        <v/>
      </c>
      <c r="G353" s="6">
        <f>IF($E353="","", DEGREES(ATAN((INDEX(Calc!$E:$E, MATCH("KminusZ_m", Calc!$C:$C, 0)) - $E353 + $B353) / INDEX(Calc!$E:$E, MATCH("L_ramp_m", Calc!$C:$C, 0)))))</f>
        <v/>
      </c>
      <c r="H353" s="3">
        <f>IF($E353="","", IF(AND($E353&gt;=INDEX(Calc!$E:$E, MATCH("min_fwd_draft_m", Calc!$C:$C, 0)), $E353&lt;=INDEX(Calc!$E:$E, MATCH("max_fwd_draft_m", Calc!$C:$C, 0)), $G353&lt;=INDEX(Calc!$E:$E, MATCH("theta_max_deg", Calc!$C:$C, 0))), "OK", "CHECK"))</f>
        <v/>
      </c>
      <c r="I353" s="6">
        <f>IF($E353="","", INDEX(Calc!$E:$E, MATCH("D_vessel_m", Calc!$C:$C, 0)) - $E353 + $B353)</f>
        <v/>
      </c>
      <c r="J353" s="6">
        <f>IF($F353="","", INDEX(Calc!$E:$E, MATCH("D_vessel_m", Calc!$C:$C, 0)) - $F353 + $B353)</f>
        <v/>
      </c>
      <c r="K353" s="3">
        <f>IF(D353=0, "Even Keel", "")</f>
        <v/>
      </c>
    </row>
    <row r="354">
      <c r="A354" s="3">
        <f>IF(December_Tide_2025!A354="","",December_Tide_2025!A354)</f>
        <v/>
      </c>
      <c r="B354" s="6">
        <f>IF(December_Tide_2025!B354="","",December_Tide_2025!B354)</f>
        <v/>
      </c>
      <c r="C354" s="6">
        <f>IF($A354="","", INDEX(Calc!$E:$E, MATCH("KminusZ_m", Calc!$C:$C, 0)) + $B354 - INDEX(Calc!$E:$E, MATCH("L_ramp_m", Calc!$C:$C, 0)) * TAN(RADIANS(INDEX(Calc!$E:$E, MATCH("theta_max_deg", Calc!$C:$C, 0)))))</f>
        <v/>
      </c>
      <c r="D354" s="6" t="n"/>
      <c r="E354" s="6">
        <f>IF($C354="","", IF($D354="", $C354, $C354 - $D354/2))</f>
        <v/>
      </c>
      <c r="F354" s="6">
        <f>IF($C354="","", IF($D354="", $C354, $C354 + $D354/2))</f>
        <v/>
      </c>
      <c r="G354" s="6">
        <f>IF($E354="","", DEGREES(ATAN((INDEX(Calc!$E:$E, MATCH("KminusZ_m", Calc!$C:$C, 0)) - $E354 + $B354) / INDEX(Calc!$E:$E, MATCH("L_ramp_m", Calc!$C:$C, 0)))))</f>
        <v/>
      </c>
      <c r="H354" s="3">
        <f>IF($E354="","", IF(AND($E354&gt;=INDEX(Calc!$E:$E, MATCH("min_fwd_draft_m", Calc!$C:$C, 0)), $E354&lt;=INDEX(Calc!$E:$E, MATCH("max_fwd_draft_m", Calc!$C:$C, 0)), $G354&lt;=INDEX(Calc!$E:$E, MATCH("theta_max_deg", Calc!$C:$C, 0))), "OK", "CHECK"))</f>
        <v/>
      </c>
      <c r="I354" s="6">
        <f>IF($E354="","", INDEX(Calc!$E:$E, MATCH("D_vessel_m", Calc!$C:$C, 0)) - $E354 + $B354)</f>
        <v/>
      </c>
      <c r="J354" s="6">
        <f>IF($F354="","", INDEX(Calc!$E:$E, MATCH("D_vessel_m", Calc!$C:$C, 0)) - $F354 + $B354)</f>
        <v/>
      </c>
      <c r="K354" s="3">
        <f>IF(D354=0, "Even Keel", "")</f>
        <v/>
      </c>
    </row>
    <row r="355">
      <c r="A355" s="3">
        <f>IF(December_Tide_2025!A355="","",December_Tide_2025!A355)</f>
        <v/>
      </c>
      <c r="B355" s="6">
        <f>IF(December_Tide_2025!B355="","",December_Tide_2025!B355)</f>
        <v/>
      </c>
      <c r="C355" s="6">
        <f>IF($A355="","", INDEX(Calc!$E:$E, MATCH("KminusZ_m", Calc!$C:$C, 0)) + $B355 - INDEX(Calc!$E:$E, MATCH("L_ramp_m", Calc!$C:$C, 0)) * TAN(RADIANS(INDEX(Calc!$E:$E, MATCH("theta_max_deg", Calc!$C:$C, 0)))))</f>
        <v/>
      </c>
      <c r="D355" s="6" t="n"/>
      <c r="E355" s="6">
        <f>IF($C355="","", IF($D355="", $C355, $C355 - $D355/2))</f>
        <v/>
      </c>
      <c r="F355" s="6">
        <f>IF($C355="","", IF($D355="", $C355, $C355 + $D355/2))</f>
        <v/>
      </c>
      <c r="G355" s="6">
        <f>IF($E355="","", DEGREES(ATAN((INDEX(Calc!$E:$E, MATCH("KminusZ_m", Calc!$C:$C, 0)) - $E355 + $B355) / INDEX(Calc!$E:$E, MATCH("L_ramp_m", Calc!$C:$C, 0)))))</f>
        <v/>
      </c>
      <c r="H355" s="3">
        <f>IF($E355="","", IF(AND($E355&gt;=INDEX(Calc!$E:$E, MATCH("min_fwd_draft_m", Calc!$C:$C, 0)), $E355&lt;=INDEX(Calc!$E:$E, MATCH("max_fwd_draft_m", Calc!$C:$C, 0)), $G355&lt;=INDEX(Calc!$E:$E, MATCH("theta_max_deg", Calc!$C:$C, 0))), "OK", "CHECK"))</f>
        <v/>
      </c>
      <c r="I355" s="6">
        <f>IF($E355="","", INDEX(Calc!$E:$E, MATCH("D_vessel_m", Calc!$C:$C, 0)) - $E355 + $B355)</f>
        <v/>
      </c>
      <c r="J355" s="6">
        <f>IF($F355="","", INDEX(Calc!$E:$E, MATCH("D_vessel_m", Calc!$C:$C, 0)) - $F355 + $B355)</f>
        <v/>
      </c>
      <c r="K355" s="3">
        <f>IF(D355=0, "Even Keel", "")</f>
        <v/>
      </c>
    </row>
    <row r="356">
      <c r="A356" s="3">
        <f>IF(December_Tide_2025!A356="","",December_Tide_2025!A356)</f>
        <v/>
      </c>
      <c r="B356" s="6">
        <f>IF(December_Tide_2025!B356="","",December_Tide_2025!B356)</f>
        <v/>
      </c>
      <c r="C356" s="6">
        <f>IF($A356="","", INDEX(Calc!$E:$E, MATCH("KminusZ_m", Calc!$C:$C, 0)) + $B356 - INDEX(Calc!$E:$E, MATCH("L_ramp_m", Calc!$C:$C, 0)) * TAN(RADIANS(INDEX(Calc!$E:$E, MATCH("theta_max_deg", Calc!$C:$C, 0)))))</f>
        <v/>
      </c>
      <c r="D356" s="6" t="n"/>
      <c r="E356" s="6">
        <f>IF($C356="","", IF($D356="", $C356, $C356 - $D356/2))</f>
        <v/>
      </c>
      <c r="F356" s="6">
        <f>IF($C356="","", IF($D356="", $C356, $C356 + $D356/2))</f>
        <v/>
      </c>
      <c r="G356" s="6">
        <f>IF($E356="","", DEGREES(ATAN((INDEX(Calc!$E:$E, MATCH("KminusZ_m", Calc!$C:$C, 0)) - $E356 + $B356) / INDEX(Calc!$E:$E, MATCH("L_ramp_m", Calc!$C:$C, 0)))))</f>
        <v/>
      </c>
      <c r="H356" s="3">
        <f>IF($E356="","", IF(AND($E356&gt;=INDEX(Calc!$E:$E, MATCH("min_fwd_draft_m", Calc!$C:$C, 0)), $E356&lt;=INDEX(Calc!$E:$E, MATCH("max_fwd_draft_m", Calc!$C:$C, 0)), $G356&lt;=INDEX(Calc!$E:$E, MATCH("theta_max_deg", Calc!$C:$C, 0))), "OK", "CHECK"))</f>
        <v/>
      </c>
      <c r="I356" s="6">
        <f>IF($E356="","", INDEX(Calc!$E:$E, MATCH("D_vessel_m", Calc!$C:$C, 0)) - $E356 + $B356)</f>
        <v/>
      </c>
      <c r="J356" s="6">
        <f>IF($F356="","", INDEX(Calc!$E:$E, MATCH("D_vessel_m", Calc!$C:$C, 0)) - $F356 + $B356)</f>
        <v/>
      </c>
      <c r="K356" s="3">
        <f>IF(D356=0, "Even Keel", "")</f>
        <v/>
      </c>
    </row>
    <row r="357">
      <c r="A357" s="3">
        <f>IF(December_Tide_2025!A357="","",December_Tide_2025!A357)</f>
        <v/>
      </c>
      <c r="B357" s="6">
        <f>IF(December_Tide_2025!B357="","",December_Tide_2025!B357)</f>
        <v/>
      </c>
      <c r="C357" s="6">
        <f>IF($A357="","", INDEX(Calc!$E:$E, MATCH("KminusZ_m", Calc!$C:$C, 0)) + $B357 - INDEX(Calc!$E:$E, MATCH("L_ramp_m", Calc!$C:$C, 0)) * TAN(RADIANS(INDEX(Calc!$E:$E, MATCH("theta_max_deg", Calc!$C:$C, 0)))))</f>
        <v/>
      </c>
      <c r="D357" s="6" t="n"/>
      <c r="E357" s="6">
        <f>IF($C357="","", IF($D357="", $C357, $C357 - $D357/2))</f>
        <v/>
      </c>
      <c r="F357" s="6">
        <f>IF($C357="","", IF($D357="", $C357, $C357 + $D357/2))</f>
        <v/>
      </c>
      <c r="G357" s="6">
        <f>IF($E357="","", DEGREES(ATAN((INDEX(Calc!$E:$E, MATCH("KminusZ_m", Calc!$C:$C, 0)) - $E357 + $B357) / INDEX(Calc!$E:$E, MATCH("L_ramp_m", Calc!$C:$C, 0)))))</f>
        <v/>
      </c>
      <c r="H357" s="3">
        <f>IF($E357="","", IF(AND($E357&gt;=INDEX(Calc!$E:$E, MATCH("min_fwd_draft_m", Calc!$C:$C, 0)), $E357&lt;=INDEX(Calc!$E:$E, MATCH("max_fwd_draft_m", Calc!$C:$C, 0)), $G357&lt;=INDEX(Calc!$E:$E, MATCH("theta_max_deg", Calc!$C:$C, 0))), "OK", "CHECK"))</f>
        <v/>
      </c>
      <c r="I357" s="6">
        <f>IF($E357="","", INDEX(Calc!$E:$E, MATCH("D_vessel_m", Calc!$C:$C, 0)) - $E357 + $B357)</f>
        <v/>
      </c>
      <c r="J357" s="6">
        <f>IF($F357="","", INDEX(Calc!$E:$E, MATCH("D_vessel_m", Calc!$C:$C, 0)) - $F357 + $B357)</f>
        <v/>
      </c>
      <c r="K357" s="3">
        <f>IF(D357=0, "Even Keel", "")</f>
        <v/>
      </c>
    </row>
    <row r="358">
      <c r="A358" s="3">
        <f>IF(December_Tide_2025!A358="","",December_Tide_2025!A358)</f>
        <v/>
      </c>
      <c r="B358" s="6">
        <f>IF(December_Tide_2025!B358="","",December_Tide_2025!B358)</f>
        <v/>
      </c>
      <c r="C358" s="6">
        <f>IF($A358="","", INDEX(Calc!$E:$E, MATCH("KminusZ_m", Calc!$C:$C, 0)) + $B358 - INDEX(Calc!$E:$E, MATCH("L_ramp_m", Calc!$C:$C, 0)) * TAN(RADIANS(INDEX(Calc!$E:$E, MATCH("theta_max_deg", Calc!$C:$C, 0)))))</f>
        <v/>
      </c>
      <c r="D358" s="6" t="n"/>
      <c r="E358" s="6">
        <f>IF($C358="","", IF($D358="", $C358, $C358 - $D358/2))</f>
        <v/>
      </c>
      <c r="F358" s="6">
        <f>IF($C358="","", IF($D358="", $C358, $C358 + $D358/2))</f>
        <v/>
      </c>
      <c r="G358" s="6">
        <f>IF($E358="","", DEGREES(ATAN((INDEX(Calc!$E:$E, MATCH("KminusZ_m", Calc!$C:$C, 0)) - $E358 + $B358) / INDEX(Calc!$E:$E, MATCH("L_ramp_m", Calc!$C:$C, 0)))))</f>
        <v/>
      </c>
      <c r="H358" s="3">
        <f>IF($E358="","", IF(AND($E358&gt;=INDEX(Calc!$E:$E, MATCH("min_fwd_draft_m", Calc!$C:$C, 0)), $E358&lt;=INDEX(Calc!$E:$E, MATCH("max_fwd_draft_m", Calc!$C:$C, 0)), $G358&lt;=INDEX(Calc!$E:$E, MATCH("theta_max_deg", Calc!$C:$C, 0))), "OK", "CHECK"))</f>
        <v/>
      </c>
      <c r="I358" s="6">
        <f>IF($E358="","", INDEX(Calc!$E:$E, MATCH("D_vessel_m", Calc!$C:$C, 0)) - $E358 + $B358)</f>
        <v/>
      </c>
      <c r="J358" s="6">
        <f>IF($F358="","", INDEX(Calc!$E:$E, MATCH("D_vessel_m", Calc!$C:$C, 0)) - $F358 + $B358)</f>
        <v/>
      </c>
      <c r="K358" s="3">
        <f>IF(D358=0, "Even Keel", "")</f>
        <v/>
      </c>
    </row>
    <row r="359">
      <c r="A359" s="3">
        <f>IF(December_Tide_2025!A359="","",December_Tide_2025!A359)</f>
        <v/>
      </c>
      <c r="B359" s="6">
        <f>IF(December_Tide_2025!B359="","",December_Tide_2025!B359)</f>
        <v/>
      </c>
      <c r="C359" s="6">
        <f>IF($A359="","", INDEX(Calc!$E:$E, MATCH("KminusZ_m", Calc!$C:$C, 0)) + $B359 - INDEX(Calc!$E:$E, MATCH("L_ramp_m", Calc!$C:$C, 0)) * TAN(RADIANS(INDEX(Calc!$E:$E, MATCH("theta_max_deg", Calc!$C:$C, 0)))))</f>
        <v/>
      </c>
      <c r="D359" s="6" t="n"/>
      <c r="E359" s="6">
        <f>IF($C359="","", IF($D359="", $C359, $C359 - $D359/2))</f>
        <v/>
      </c>
      <c r="F359" s="6">
        <f>IF($C359="","", IF($D359="", $C359, $C359 + $D359/2))</f>
        <v/>
      </c>
      <c r="G359" s="6">
        <f>IF($E359="","", DEGREES(ATAN((INDEX(Calc!$E:$E, MATCH("KminusZ_m", Calc!$C:$C, 0)) - $E359 + $B359) / INDEX(Calc!$E:$E, MATCH("L_ramp_m", Calc!$C:$C, 0)))))</f>
        <v/>
      </c>
      <c r="H359" s="3">
        <f>IF($E359="","", IF(AND($E359&gt;=INDEX(Calc!$E:$E, MATCH("min_fwd_draft_m", Calc!$C:$C, 0)), $E359&lt;=INDEX(Calc!$E:$E, MATCH("max_fwd_draft_m", Calc!$C:$C, 0)), $G359&lt;=INDEX(Calc!$E:$E, MATCH("theta_max_deg", Calc!$C:$C, 0))), "OK", "CHECK"))</f>
        <v/>
      </c>
      <c r="I359" s="6">
        <f>IF($E359="","", INDEX(Calc!$E:$E, MATCH("D_vessel_m", Calc!$C:$C, 0)) - $E359 + $B359)</f>
        <v/>
      </c>
      <c r="J359" s="6">
        <f>IF($F359="","", INDEX(Calc!$E:$E, MATCH("D_vessel_m", Calc!$C:$C, 0)) - $F359 + $B359)</f>
        <v/>
      </c>
      <c r="K359" s="3">
        <f>IF(D359=0, "Even Keel", "")</f>
        <v/>
      </c>
    </row>
    <row r="360">
      <c r="A360" s="3">
        <f>IF(December_Tide_2025!A360="","",December_Tide_2025!A360)</f>
        <v/>
      </c>
      <c r="B360" s="6">
        <f>IF(December_Tide_2025!B360="","",December_Tide_2025!B360)</f>
        <v/>
      </c>
      <c r="C360" s="6">
        <f>IF($A360="","", INDEX(Calc!$E:$E, MATCH("KminusZ_m", Calc!$C:$C, 0)) + $B360 - INDEX(Calc!$E:$E, MATCH("L_ramp_m", Calc!$C:$C, 0)) * TAN(RADIANS(INDEX(Calc!$E:$E, MATCH("theta_max_deg", Calc!$C:$C, 0)))))</f>
        <v/>
      </c>
      <c r="D360" s="6" t="n"/>
      <c r="E360" s="6">
        <f>IF($C360="","", IF($D360="", $C360, $C360 - $D360/2))</f>
        <v/>
      </c>
      <c r="F360" s="6">
        <f>IF($C360="","", IF($D360="", $C360, $C360 + $D360/2))</f>
        <v/>
      </c>
      <c r="G360" s="6">
        <f>IF($E360="","", DEGREES(ATAN((INDEX(Calc!$E:$E, MATCH("KminusZ_m", Calc!$C:$C, 0)) - $E360 + $B360) / INDEX(Calc!$E:$E, MATCH("L_ramp_m", Calc!$C:$C, 0)))))</f>
        <v/>
      </c>
      <c r="H360" s="3">
        <f>IF($E360="","", IF(AND($E360&gt;=INDEX(Calc!$E:$E, MATCH("min_fwd_draft_m", Calc!$C:$C, 0)), $E360&lt;=INDEX(Calc!$E:$E, MATCH("max_fwd_draft_m", Calc!$C:$C, 0)), $G360&lt;=INDEX(Calc!$E:$E, MATCH("theta_max_deg", Calc!$C:$C, 0))), "OK", "CHECK"))</f>
        <v/>
      </c>
      <c r="I360" s="6">
        <f>IF($E360="","", INDEX(Calc!$E:$E, MATCH("D_vessel_m", Calc!$C:$C, 0)) - $E360 + $B360)</f>
        <v/>
      </c>
      <c r="J360" s="6">
        <f>IF($F360="","", INDEX(Calc!$E:$E, MATCH("D_vessel_m", Calc!$C:$C, 0)) - $F360 + $B360)</f>
        <v/>
      </c>
      <c r="K360" s="3">
        <f>IF(D360=0, "Even Keel", "")</f>
        <v/>
      </c>
    </row>
    <row r="361">
      <c r="A361" s="3">
        <f>IF(December_Tide_2025!A361="","",December_Tide_2025!A361)</f>
        <v/>
      </c>
      <c r="B361" s="6">
        <f>IF(December_Tide_2025!B361="","",December_Tide_2025!B361)</f>
        <v/>
      </c>
      <c r="C361" s="6">
        <f>IF($A361="","", INDEX(Calc!$E:$E, MATCH("KminusZ_m", Calc!$C:$C, 0)) + $B361 - INDEX(Calc!$E:$E, MATCH("L_ramp_m", Calc!$C:$C, 0)) * TAN(RADIANS(INDEX(Calc!$E:$E, MATCH("theta_max_deg", Calc!$C:$C, 0)))))</f>
        <v/>
      </c>
      <c r="D361" s="6" t="n"/>
      <c r="E361" s="6">
        <f>IF($C361="","", IF($D361="", $C361, $C361 - $D361/2))</f>
        <v/>
      </c>
      <c r="F361" s="6">
        <f>IF($C361="","", IF($D361="", $C361, $C361 + $D361/2))</f>
        <v/>
      </c>
      <c r="G361" s="6">
        <f>IF($E361="","", DEGREES(ATAN((INDEX(Calc!$E:$E, MATCH("KminusZ_m", Calc!$C:$C, 0)) - $E361 + $B361) / INDEX(Calc!$E:$E, MATCH("L_ramp_m", Calc!$C:$C, 0)))))</f>
        <v/>
      </c>
      <c r="H361" s="3">
        <f>IF($E361="","", IF(AND($E361&gt;=INDEX(Calc!$E:$E, MATCH("min_fwd_draft_m", Calc!$C:$C, 0)), $E361&lt;=INDEX(Calc!$E:$E, MATCH("max_fwd_draft_m", Calc!$C:$C, 0)), $G361&lt;=INDEX(Calc!$E:$E, MATCH("theta_max_deg", Calc!$C:$C, 0))), "OK", "CHECK"))</f>
        <v/>
      </c>
      <c r="I361" s="6">
        <f>IF($E361="","", INDEX(Calc!$E:$E, MATCH("D_vessel_m", Calc!$C:$C, 0)) - $E361 + $B361)</f>
        <v/>
      </c>
      <c r="J361" s="6">
        <f>IF($F361="","", INDEX(Calc!$E:$E, MATCH("D_vessel_m", Calc!$C:$C, 0)) - $F361 + $B361)</f>
        <v/>
      </c>
      <c r="K361" s="3">
        <f>IF(D361=0, "Even Keel", "")</f>
        <v/>
      </c>
    </row>
    <row r="362">
      <c r="A362" s="3">
        <f>IF(December_Tide_2025!A362="","",December_Tide_2025!A362)</f>
        <v/>
      </c>
      <c r="B362" s="6">
        <f>IF(December_Tide_2025!B362="","",December_Tide_2025!B362)</f>
        <v/>
      </c>
      <c r="C362" s="6">
        <f>IF($A362="","", INDEX(Calc!$E:$E, MATCH("KminusZ_m", Calc!$C:$C, 0)) + $B362 - INDEX(Calc!$E:$E, MATCH("L_ramp_m", Calc!$C:$C, 0)) * TAN(RADIANS(INDEX(Calc!$E:$E, MATCH("theta_max_deg", Calc!$C:$C, 0)))))</f>
        <v/>
      </c>
      <c r="D362" s="6" t="n"/>
      <c r="E362" s="6">
        <f>IF($C362="","", IF($D362="", $C362, $C362 - $D362/2))</f>
        <v/>
      </c>
      <c r="F362" s="6">
        <f>IF($C362="","", IF($D362="", $C362, $C362 + $D362/2))</f>
        <v/>
      </c>
      <c r="G362" s="6">
        <f>IF($E362="","", DEGREES(ATAN((INDEX(Calc!$E:$E, MATCH("KminusZ_m", Calc!$C:$C, 0)) - $E362 + $B362) / INDEX(Calc!$E:$E, MATCH("L_ramp_m", Calc!$C:$C, 0)))))</f>
        <v/>
      </c>
      <c r="H362" s="3">
        <f>IF($E362="","", IF(AND($E362&gt;=INDEX(Calc!$E:$E, MATCH("min_fwd_draft_m", Calc!$C:$C, 0)), $E362&lt;=INDEX(Calc!$E:$E, MATCH("max_fwd_draft_m", Calc!$C:$C, 0)), $G362&lt;=INDEX(Calc!$E:$E, MATCH("theta_max_deg", Calc!$C:$C, 0))), "OK", "CHECK"))</f>
        <v/>
      </c>
      <c r="I362" s="6">
        <f>IF($E362="","", INDEX(Calc!$E:$E, MATCH("D_vessel_m", Calc!$C:$C, 0)) - $E362 + $B362)</f>
        <v/>
      </c>
      <c r="J362" s="6">
        <f>IF($F362="","", INDEX(Calc!$E:$E, MATCH("D_vessel_m", Calc!$C:$C, 0)) - $F362 + $B362)</f>
        <v/>
      </c>
      <c r="K362" s="3">
        <f>IF(D362=0, "Even Keel", "")</f>
        <v/>
      </c>
    </row>
    <row r="363">
      <c r="A363" s="3">
        <f>IF(December_Tide_2025!A363="","",December_Tide_2025!A363)</f>
        <v/>
      </c>
      <c r="B363" s="6">
        <f>IF(December_Tide_2025!B363="","",December_Tide_2025!B363)</f>
        <v/>
      </c>
      <c r="C363" s="6">
        <f>IF($A363="","", INDEX(Calc!$E:$E, MATCH("KminusZ_m", Calc!$C:$C, 0)) + $B363 - INDEX(Calc!$E:$E, MATCH("L_ramp_m", Calc!$C:$C, 0)) * TAN(RADIANS(INDEX(Calc!$E:$E, MATCH("theta_max_deg", Calc!$C:$C, 0)))))</f>
        <v/>
      </c>
      <c r="D363" s="6" t="n"/>
      <c r="E363" s="6">
        <f>IF($C363="","", IF($D363="", $C363, $C363 - $D363/2))</f>
        <v/>
      </c>
      <c r="F363" s="6">
        <f>IF($C363="","", IF($D363="", $C363, $C363 + $D363/2))</f>
        <v/>
      </c>
      <c r="G363" s="6">
        <f>IF($E363="","", DEGREES(ATAN((INDEX(Calc!$E:$E, MATCH("KminusZ_m", Calc!$C:$C, 0)) - $E363 + $B363) / INDEX(Calc!$E:$E, MATCH("L_ramp_m", Calc!$C:$C, 0)))))</f>
        <v/>
      </c>
      <c r="H363" s="3">
        <f>IF($E363="","", IF(AND($E363&gt;=INDEX(Calc!$E:$E, MATCH("min_fwd_draft_m", Calc!$C:$C, 0)), $E363&lt;=INDEX(Calc!$E:$E, MATCH("max_fwd_draft_m", Calc!$C:$C, 0)), $G363&lt;=INDEX(Calc!$E:$E, MATCH("theta_max_deg", Calc!$C:$C, 0))), "OK", "CHECK"))</f>
        <v/>
      </c>
      <c r="I363" s="6">
        <f>IF($E363="","", INDEX(Calc!$E:$E, MATCH("D_vessel_m", Calc!$C:$C, 0)) - $E363 + $B363)</f>
        <v/>
      </c>
      <c r="J363" s="6">
        <f>IF($F363="","", INDEX(Calc!$E:$E, MATCH("D_vessel_m", Calc!$C:$C, 0)) - $F363 + $B363)</f>
        <v/>
      </c>
      <c r="K363" s="3">
        <f>IF(D363=0, "Even Keel", "")</f>
        <v/>
      </c>
    </row>
    <row r="364">
      <c r="A364" s="3">
        <f>IF(December_Tide_2025!A364="","",December_Tide_2025!A364)</f>
        <v/>
      </c>
      <c r="B364" s="6">
        <f>IF(December_Tide_2025!B364="","",December_Tide_2025!B364)</f>
        <v/>
      </c>
      <c r="C364" s="6">
        <f>IF($A364="","", INDEX(Calc!$E:$E, MATCH("KminusZ_m", Calc!$C:$C, 0)) + $B364 - INDEX(Calc!$E:$E, MATCH("L_ramp_m", Calc!$C:$C, 0)) * TAN(RADIANS(INDEX(Calc!$E:$E, MATCH("theta_max_deg", Calc!$C:$C, 0)))))</f>
        <v/>
      </c>
      <c r="D364" s="6" t="n"/>
      <c r="E364" s="6">
        <f>IF($C364="","", IF($D364="", $C364, $C364 - $D364/2))</f>
        <v/>
      </c>
      <c r="F364" s="6">
        <f>IF($C364="","", IF($D364="", $C364, $C364 + $D364/2))</f>
        <v/>
      </c>
      <c r="G364" s="6">
        <f>IF($E364="","", DEGREES(ATAN((INDEX(Calc!$E:$E, MATCH("KminusZ_m", Calc!$C:$C, 0)) - $E364 + $B364) / INDEX(Calc!$E:$E, MATCH("L_ramp_m", Calc!$C:$C, 0)))))</f>
        <v/>
      </c>
      <c r="H364" s="3">
        <f>IF($E364="","", IF(AND($E364&gt;=INDEX(Calc!$E:$E, MATCH("min_fwd_draft_m", Calc!$C:$C, 0)), $E364&lt;=INDEX(Calc!$E:$E, MATCH("max_fwd_draft_m", Calc!$C:$C, 0)), $G364&lt;=INDEX(Calc!$E:$E, MATCH("theta_max_deg", Calc!$C:$C, 0))), "OK", "CHECK"))</f>
        <v/>
      </c>
      <c r="I364" s="6">
        <f>IF($E364="","", INDEX(Calc!$E:$E, MATCH("D_vessel_m", Calc!$C:$C, 0)) - $E364 + $B364)</f>
        <v/>
      </c>
      <c r="J364" s="6">
        <f>IF($F364="","", INDEX(Calc!$E:$E, MATCH("D_vessel_m", Calc!$C:$C, 0)) - $F364 + $B364)</f>
        <v/>
      </c>
      <c r="K364" s="3">
        <f>IF(D364=0, "Even Keel", "")</f>
        <v/>
      </c>
    </row>
    <row r="365">
      <c r="A365" s="3">
        <f>IF(December_Tide_2025!A365="","",December_Tide_2025!A365)</f>
        <v/>
      </c>
      <c r="B365" s="6">
        <f>IF(December_Tide_2025!B365="","",December_Tide_2025!B365)</f>
        <v/>
      </c>
      <c r="C365" s="6">
        <f>IF($A365="","", INDEX(Calc!$E:$E, MATCH("KminusZ_m", Calc!$C:$C, 0)) + $B365 - INDEX(Calc!$E:$E, MATCH("L_ramp_m", Calc!$C:$C, 0)) * TAN(RADIANS(INDEX(Calc!$E:$E, MATCH("theta_max_deg", Calc!$C:$C, 0)))))</f>
        <v/>
      </c>
      <c r="D365" s="6" t="n"/>
      <c r="E365" s="6">
        <f>IF($C365="","", IF($D365="", $C365, $C365 - $D365/2))</f>
        <v/>
      </c>
      <c r="F365" s="6">
        <f>IF($C365="","", IF($D365="", $C365, $C365 + $D365/2))</f>
        <v/>
      </c>
      <c r="G365" s="6">
        <f>IF($E365="","", DEGREES(ATAN((INDEX(Calc!$E:$E, MATCH("KminusZ_m", Calc!$C:$C, 0)) - $E365 + $B365) / INDEX(Calc!$E:$E, MATCH("L_ramp_m", Calc!$C:$C, 0)))))</f>
        <v/>
      </c>
      <c r="H365" s="3">
        <f>IF($E365="","", IF(AND($E365&gt;=INDEX(Calc!$E:$E, MATCH("min_fwd_draft_m", Calc!$C:$C, 0)), $E365&lt;=INDEX(Calc!$E:$E, MATCH("max_fwd_draft_m", Calc!$C:$C, 0)), $G365&lt;=INDEX(Calc!$E:$E, MATCH("theta_max_deg", Calc!$C:$C, 0))), "OK", "CHECK"))</f>
        <v/>
      </c>
      <c r="I365" s="6">
        <f>IF($E365="","", INDEX(Calc!$E:$E, MATCH("D_vessel_m", Calc!$C:$C, 0)) - $E365 + $B365)</f>
        <v/>
      </c>
      <c r="J365" s="6">
        <f>IF($F365="","", INDEX(Calc!$E:$E, MATCH("D_vessel_m", Calc!$C:$C, 0)) - $F365 + $B365)</f>
        <v/>
      </c>
      <c r="K365" s="3">
        <f>IF(D365=0, "Even Keel", "")</f>
        <v/>
      </c>
    </row>
    <row r="366">
      <c r="A366" s="3">
        <f>IF(December_Tide_2025!A366="","",December_Tide_2025!A366)</f>
        <v/>
      </c>
      <c r="B366" s="6">
        <f>IF(December_Tide_2025!B366="","",December_Tide_2025!B366)</f>
        <v/>
      </c>
      <c r="C366" s="6">
        <f>IF($A366="","", INDEX(Calc!$E:$E, MATCH("KminusZ_m", Calc!$C:$C, 0)) + $B366 - INDEX(Calc!$E:$E, MATCH("L_ramp_m", Calc!$C:$C, 0)) * TAN(RADIANS(INDEX(Calc!$E:$E, MATCH("theta_max_deg", Calc!$C:$C, 0)))))</f>
        <v/>
      </c>
      <c r="D366" s="6" t="n"/>
      <c r="E366" s="6">
        <f>IF($C366="","", IF($D366="", $C366, $C366 - $D366/2))</f>
        <v/>
      </c>
      <c r="F366" s="6">
        <f>IF($C366="","", IF($D366="", $C366, $C366 + $D366/2))</f>
        <v/>
      </c>
      <c r="G366" s="6">
        <f>IF($E366="","", DEGREES(ATAN((INDEX(Calc!$E:$E, MATCH("KminusZ_m", Calc!$C:$C, 0)) - $E366 + $B366) / INDEX(Calc!$E:$E, MATCH("L_ramp_m", Calc!$C:$C, 0)))))</f>
        <v/>
      </c>
      <c r="H366" s="3">
        <f>IF($E366="","", IF(AND($E366&gt;=INDEX(Calc!$E:$E, MATCH("min_fwd_draft_m", Calc!$C:$C, 0)), $E366&lt;=INDEX(Calc!$E:$E, MATCH("max_fwd_draft_m", Calc!$C:$C, 0)), $G366&lt;=INDEX(Calc!$E:$E, MATCH("theta_max_deg", Calc!$C:$C, 0))), "OK", "CHECK"))</f>
        <v/>
      </c>
      <c r="I366" s="6">
        <f>IF($E366="","", INDEX(Calc!$E:$E, MATCH("D_vessel_m", Calc!$C:$C, 0)) - $E366 + $B366)</f>
        <v/>
      </c>
      <c r="J366" s="6">
        <f>IF($F366="","", INDEX(Calc!$E:$E, MATCH("D_vessel_m", Calc!$C:$C, 0)) - $F366 + $B366)</f>
        <v/>
      </c>
      <c r="K366" s="3">
        <f>IF(D366=0, "Even Keel", "")</f>
        <v/>
      </c>
    </row>
    <row r="367">
      <c r="A367" s="3">
        <f>IF(December_Tide_2025!A367="","",December_Tide_2025!A367)</f>
        <v/>
      </c>
      <c r="B367" s="6">
        <f>IF(December_Tide_2025!B367="","",December_Tide_2025!B367)</f>
        <v/>
      </c>
      <c r="C367" s="6">
        <f>IF($A367="","", INDEX(Calc!$E:$E, MATCH("KminusZ_m", Calc!$C:$C, 0)) + $B367 - INDEX(Calc!$E:$E, MATCH("L_ramp_m", Calc!$C:$C, 0)) * TAN(RADIANS(INDEX(Calc!$E:$E, MATCH("theta_max_deg", Calc!$C:$C, 0)))))</f>
        <v/>
      </c>
      <c r="D367" s="6" t="n"/>
      <c r="E367" s="6">
        <f>IF($C367="","", IF($D367="", $C367, $C367 - $D367/2))</f>
        <v/>
      </c>
      <c r="F367" s="6">
        <f>IF($C367="","", IF($D367="", $C367, $C367 + $D367/2))</f>
        <v/>
      </c>
      <c r="G367" s="6">
        <f>IF($E367="","", DEGREES(ATAN((INDEX(Calc!$E:$E, MATCH("KminusZ_m", Calc!$C:$C, 0)) - $E367 + $B367) / INDEX(Calc!$E:$E, MATCH("L_ramp_m", Calc!$C:$C, 0)))))</f>
        <v/>
      </c>
      <c r="H367" s="3">
        <f>IF($E367="","", IF(AND($E367&gt;=INDEX(Calc!$E:$E, MATCH("min_fwd_draft_m", Calc!$C:$C, 0)), $E367&lt;=INDEX(Calc!$E:$E, MATCH("max_fwd_draft_m", Calc!$C:$C, 0)), $G367&lt;=INDEX(Calc!$E:$E, MATCH("theta_max_deg", Calc!$C:$C, 0))), "OK", "CHECK"))</f>
        <v/>
      </c>
      <c r="I367" s="6">
        <f>IF($E367="","", INDEX(Calc!$E:$E, MATCH("D_vessel_m", Calc!$C:$C, 0)) - $E367 + $B367)</f>
        <v/>
      </c>
      <c r="J367" s="6">
        <f>IF($F367="","", INDEX(Calc!$E:$E, MATCH("D_vessel_m", Calc!$C:$C, 0)) - $F367 + $B367)</f>
        <v/>
      </c>
      <c r="K367" s="3">
        <f>IF(D367=0, "Even Keel", "")</f>
        <v/>
      </c>
    </row>
    <row r="368">
      <c r="A368" s="3">
        <f>IF(December_Tide_2025!A368="","",December_Tide_2025!A368)</f>
        <v/>
      </c>
      <c r="B368" s="6">
        <f>IF(December_Tide_2025!B368="","",December_Tide_2025!B368)</f>
        <v/>
      </c>
      <c r="C368" s="6">
        <f>IF($A368="","", INDEX(Calc!$E:$E, MATCH("KminusZ_m", Calc!$C:$C, 0)) + $B368 - INDEX(Calc!$E:$E, MATCH("L_ramp_m", Calc!$C:$C, 0)) * TAN(RADIANS(INDEX(Calc!$E:$E, MATCH("theta_max_deg", Calc!$C:$C, 0)))))</f>
        <v/>
      </c>
      <c r="D368" s="6" t="n"/>
      <c r="E368" s="6">
        <f>IF($C368="","", IF($D368="", $C368, $C368 - $D368/2))</f>
        <v/>
      </c>
      <c r="F368" s="6">
        <f>IF($C368="","", IF($D368="", $C368, $C368 + $D368/2))</f>
        <v/>
      </c>
      <c r="G368" s="6">
        <f>IF($E368="","", DEGREES(ATAN((INDEX(Calc!$E:$E, MATCH("KminusZ_m", Calc!$C:$C, 0)) - $E368 + $B368) / INDEX(Calc!$E:$E, MATCH("L_ramp_m", Calc!$C:$C, 0)))))</f>
        <v/>
      </c>
      <c r="H368" s="3">
        <f>IF($E368="","", IF(AND($E368&gt;=INDEX(Calc!$E:$E, MATCH("min_fwd_draft_m", Calc!$C:$C, 0)), $E368&lt;=INDEX(Calc!$E:$E, MATCH("max_fwd_draft_m", Calc!$C:$C, 0)), $G368&lt;=INDEX(Calc!$E:$E, MATCH("theta_max_deg", Calc!$C:$C, 0))), "OK", "CHECK"))</f>
        <v/>
      </c>
      <c r="I368" s="6">
        <f>IF($E368="","", INDEX(Calc!$E:$E, MATCH("D_vessel_m", Calc!$C:$C, 0)) - $E368 + $B368)</f>
        <v/>
      </c>
      <c r="J368" s="6">
        <f>IF($F368="","", INDEX(Calc!$E:$E, MATCH("D_vessel_m", Calc!$C:$C, 0)) - $F368 + $B368)</f>
        <v/>
      </c>
      <c r="K368" s="3">
        <f>IF(D368=0, "Even Keel", "")</f>
        <v/>
      </c>
    </row>
    <row r="369">
      <c r="A369" s="3">
        <f>IF(December_Tide_2025!A369="","",December_Tide_2025!A369)</f>
        <v/>
      </c>
      <c r="B369" s="6">
        <f>IF(December_Tide_2025!B369="","",December_Tide_2025!B369)</f>
        <v/>
      </c>
      <c r="C369" s="6">
        <f>IF($A369="","", INDEX(Calc!$E:$E, MATCH("KminusZ_m", Calc!$C:$C, 0)) + $B369 - INDEX(Calc!$E:$E, MATCH("L_ramp_m", Calc!$C:$C, 0)) * TAN(RADIANS(INDEX(Calc!$E:$E, MATCH("theta_max_deg", Calc!$C:$C, 0)))))</f>
        <v/>
      </c>
      <c r="D369" s="6" t="n"/>
      <c r="E369" s="6">
        <f>IF($C369="","", IF($D369="", $C369, $C369 - $D369/2))</f>
        <v/>
      </c>
      <c r="F369" s="6">
        <f>IF($C369="","", IF($D369="", $C369, $C369 + $D369/2))</f>
        <v/>
      </c>
      <c r="G369" s="6">
        <f>IF($E369="","", DEGREES(ATAN((INDEX(Calc!$E:$E, MATCH("KminusZ_m", Calc!$C:$C, 0)) - $E369 + $B369) / INDEX(Calc!$E:$E, MATCH("L_ramp_m", Calc!$C:$C, 0)))))</f>
        <v/>
      </c>
      <c r="H369" s="3">
        <f>IF($E369="","", IF(AND($E369&gt;=INDEX(Calc!$E:$E, MATCH("min_fwd_draft_m", Calc!$C:$C, 0)), $E369&lt;=INDEX(Calc!$E:$E, MATCH("max_fwd_draft_m", Calc!$C:$C, 0)), $G369&lt;=INDEX(Calc!$E:$E, MATCH("theta_max_deg", Calc!$C:$C, 0))), "OK", "CHECK"))</f>
        <v/>
      </c>
      <c r="I369" s="6">
        <f>IF($E369="","", INDEX(Calc!$E:$E, MATCH("D_vessel_m", Calc!$C:$C, 0)) - $E369 + $B369)</f>
        <v/>
      </c>
      <c r="J369" s="6">
        <f>IF($F369="","", INDEX(Calc!$E:$E, MATCH("D_vessel_m", Calc!$C:$C, 0)) - $F369 + $B369)</f>
        <v/>
      </c>
      <c r="K369" s="3">
        <f>IF(D369=0, "Even Keel", "")</f>
        <v/>
      </c>
    </row>
    <row r="370">
      <c r="A370" s="3">
        <f>IF(December_Tide_2025!A370="","",December_Tide_2025!A370)</f>
        <v/>
      </c>
      <c r="B370" s="6">
        <f>IF(December_Tide_2025!B370="","",December_Tide_2025!B370)</f>
        <v/>
      </c>
      <c r="C370" s="6">
        <f>IF($A370="","", INDEX(Calc!$E:$E, MATCH("KminusZ_m", Calc!$C:$C, 0)) + $B370 - INDEX(Calc!$E:$E, MATCH("L_ramp_m", Calc!$C:$C, 0)) * TAN(RADIANS(INDEX(Calc!$E:$E, MATCH("theta_max_deg", Calc!$C:$C, 0)))))</f>
        <v/>
      </c>
      <c r="D370" s="6" t="n"/>
      <c r="E370" s="6">
        <f>IF($C370="","", IF($D370="", $C370, $C370 - $D370/2))</f>
        <v/>
      </c>
      <c r="F370" s="6">
        <f>IF($C370="","", IF($D370="", $C370, $C370 + $D370/2))</f>
        <v/>
      </c>
      <c r="G370" s="6">
        <f>IF($E370="","", DEGREES(ATAN((INDEX(Calc!$E:$E, MATCH("KminusZ_m", Calc!$C:$C, 0)) - $E370 + $B370) / INDEX(Calc!$E:$E, MATCH("L_ramp_m", Calc!$C:$C, 0)))))</f>
        <v/>
      </c>
      <c r="H370" s="3">
        <f>IF($E370="","", IF(AND($E370&gt;=INDEX(Calc!$E:$E, MATCH("min_fwd_draft_m", Calc!$C:$C, 0)), $E370&lt;=INDEX(Calc!$E:$E, MATCH("max_fwd_draft_m", Calc!$C:$C, 0)), $G370&lt;=INDEX(Calc!$E:$E, MATCH("theta_max_deg", Calc!$C:$C, 0))), "OK", "CHECK"))</f>
        <v/>
      </c>
      <c r="I370" s="6">
        <f>IF($E370="","", INDEX(Calc!$E:$E, MATCH("D_vessel_m", Calc!$C:$C, 0)) - $E370 + $B370)</f>
        <v/>
      </c>
      <c r="J370" s="6">
        <f>IF($F370="","", INDEX(Calc!$E:$E, MATCH("D_vessel_m", Calc!$C:$C, 0)) - $F370 + $B370)</f>
        <v/>
      </c>
      <c r="K370" s="3">
        <f>IF(D370=0, "Even Keel", "")</f>
        <v/>
      </c>
    </row>
    <row r="371">
      <c r="A371" s="3">
        <f>IF(December_Tide_2025!A371="","",December_Tide_2025!A371)</f>
        <v/>
      </c>
      <c r="B371" s="6">
        <f>IF(December_Tide_2025!B371="","",December_Tide_2025!B371)</f>
        <v/>
      </c>
      <c r="C371" s="6">
        <f>IF($A371="","", INDEX(Calc!$E:$E, MATCH("KminusZ_m", Calc!$C:$C, 0)) + $B371 - INDEX(Calc!$E:$E, MATCH("L_ramp_m", Calc!$C:$C, 0)) * TAN(RADIANS(INDEX(Calc!$E:$E, MATCH("theta_max_deg", Calc!$C:$C, 0)))))</f>
        <v/>
      </c>
      <c r="D371" s="6" t="n"/>
      <c r="E371" s="6">
        <f>IF($C371="","", IF($D371="", $C371, $C371 - $D371/2))</f>
        <v/>
      </c>
      <c r="F371" s="6">
        <f>IF($C371="","", IF($D371="", $C371, $C371 + $D371/2))</f>
        <v/>
      </c>
      <c r="G371" s="6">
        <f>IF($E371="","", DEGREES(ATAN((INDEX(Calc!$E:$E, MATCH("KminusZ_m", Calc!$C:$C, 0)) - $E371 + $B371) / INDEX(Calc!$E:$E, MATCH("L_ramp_m", Calc!$C:$C, 0)))))</f>
        <v/>
      </c>
      <c r="H371" s="3">
        <f>IF($E371="","", IF(AND($E371&gt;=INDEX(Calc!$E:$E, MATCH("min_fwd_draft_m", Calc!$C:$C, 0)), $E371&lt;=INDEX(Calc!$E:$E, MATCH("max_fwd_draft_m", Calc!$C:$C, 0)), $G371&lt;=INDEX(Calc!$E:$E, MATCH("theta_max_deg", Calc!$C:$C, 0))), "OK", "CHECK"))</f>
        <v/>
      </c>
      <c r="I371" s="6">
        <f>IF($E371="","", INDEX(Calc!$E:$E, MATCH("D_vessel_m", Calc!$C:$C, 0)) - $E371 + $B371)</f>
        <v/>
      </c>
      <c r="J371" s="6">
        <f>IF($F371="","", INDEX(Calc!$E:$E, MATCH("D_vessel_m", Calc!$C:$C, 0)) - $F371 + $B371)</f>
        <v/>
      </c>
      <c r="K371" s="3">
        <f>IF(D371=0, "Even Keel", "")</f>
        <v/>
      </c>
    </row>
    <row r="372">
      <c r="A372" s="3">
        <f>IF(December_Tide_2025!A372="","",December_Tide_2025!A372)</f>
        <v/>
      </c>
      <c r="B372" s="6">
        <f>IF(December_Tide_2025!B372="","",December_Tide_2025!B372)</f>
        <v/>
      </c>
      <c r="C372" s="6">
        <f>IF($A372="","", INDEX(Calc!$E:$E, MATCH("KminusZ_m", Calc!$C:$C, 0)) + $B372 - INDEX(Calc!$E:$E, MATCH("L_ramp_m", Calc!$C:$C, 0)) * TAN(RADIANS(INDEX(Calc!$E:$E, MATCH("theta_max_deg", Calc!$C:$C, 0)))))</f>
        <v/>
      </c>
      <c r="D372" s="6" t="n"/>
      <c r="E372" s="6">
        <f>IF($C372="","", IF($D372="", $C372, $C372 - $D372/2))</f>
        <v/>
      </c>
      <c r="F372" s="6">
        <f>IF($C372="","", IF($D372="", $C372, $C372 + $D372/2))</f>
        <v/>
      </c>
      <c r="G372" s="6">
        <f>IF($E372="","", DEGREES(ATAN((INDEX(Calc!$E:$E, MATCH("KminusZ_m", Calc!$C:$C, 0)) - $E372 + $B372) / INDEX(Calc!$E:$E, MATCH("L_ramp_m", Calc!$C:$C, 0)))))</f>
        <v/>
      </c>
      <c r="H372" s="3">
        <f>IF($E372="","", IF(AND($E372&gt;=INDEX(Calc!$E:$E, MATCH("min_fwd_draft_m", Calc!$C:$C, 0)), $E372&lt;=INDEX(Calc!$E:$E, MATCH("max_fwd_draft_m", Calc!$C:$C, 0)), $G372&lt;=INDEX(Calc!$E:$E, MATCH("theta_max_deg", Calc!$C:$C, 0))), "OK", "CHECK"))</f>
        <v/>
      </c>
      <c r="I372" s="6">
        <f>IF($E372="","", INDEX(Calc!$E:$E, MATCH("D_vessel_m", Calc!$C:$C, 0)) - $E372 + $B372)</f>
        <v/>
      </c>
      <c r="J372" s="6">
        <f>IF($F372="","", INDEX(Calc!$E:$E, MATCH("D_vessel_m", Calc!$C:$C, 0)) - $F372 + $B372)</f>
        <v/>
      </c>
      <c r="K372" s="3">
        <f>IF(D372=0, "Even Keel", "")</f>
        <v/>
      </c>
    </row>
    <row r="373">
      <c r="A373" s="3">
        <f>IF(December_Tide_2025!A373="","",December_Tide_2025!A373)</f>
        <v/>
      </c>
      <c r="B373" s="6">
        <f>IF(December_Tide_2025!B373="","",December_Tide_2025!B373)</f>
        <v/>
      </c>
      <c r="C373" s="6">
        <f>IF($A373="","", INDEX(Calc!$E:$E, MATCH("KminusZ_m", Calc!$C:$C, 0)) + $B373 - INDEX(Calc!$E:$E, MATCH("L_ramp_m", Calc!$C:$C, 0)) * TAN(RADIANS(INDEX(Calc!$E:$E, MATCH("theta_max_deg", Calc!$C:$C, 0)))))</f>
        <v/>
      </c>
      <c r="D373" s="6" t="n"/>
      <c r="E373" s="6">
        <f>IF($C373="","", IF($D373="", $C373, $C373 - $D373/2))</f>
        <v/>
      </c>
      <c r="F373" s="6">
        <f>IF($C373="","", IF($D373="", $C373, $C373 + $D373/2))</f>
        <v/>
      </c>
      <c r="G373" s="6">
        <f>IF($E373="","", DEGREES(ATAN((INDEX(Calc!$E:$E, MATCH("KminusZ_m", Calc!$C:$C, 0)) - $E373 + $B373) / INDEX(Calc!$E:$E, MATCH("L_ramp_m", Calc!$C:$C, 0)))))</f>
        <v/>
      </c>
      <c r="H373" s="3">
        <f>IF($E373="","", IF(AND($E373&gt;=INDEX(Calc!$E:$E, MATCH("min_fwd_draft_m", Calc!$C:$C, 0)), $E373&lt;=INDEX(Calc!$E:$E, MATCH("max_fwd_draft_m", Calc!$C:$C, 0)), $G373&lt;=INDEX(Calc!$E:$E, MATCH("theta_max_deg", Calc!$C:$C, 0))), "OK", "CHECK"))</f>
        <v/>
      </c>
      <c r="I373" s="6">
        <f>IF($E373="","", INDEX(Calc!$E:$E, MATCH("D_vessel_m", Calc!$C:$C, 0)) - $E373 + $B373)</f>
        <v/>
      </c>
      <c r="J373" s="6">
        <f>IF($F373="","", INDEX(Calc!$E:$E, MATCH("D_vessel_m", Calc!$C:$C, 0)) - $F373 + $B373)</f>
        <v/>
      </c>
      <c r="K373" s="3">
        <f>IF(D373=0, "Even Keel", "")</f>
        <v/>
      </c>
    </row>
    <row r="374">
      <c r="A374" s="3">
        <f>IF(December_Tide_2025!A374="","",December_Tide_2025!A374)</f>
        <v/>
      </c>
      <c r="B374" s="6">
        <f>IF(December_Tide_2025!B374="","",December_Tide_2025!B374)</f>
        <v/>
      </c>
      <c r="C374" s="6">
        <f>IF($A374="","", INDEX(Calc!$E:$E, MATCH("KminusZ_m", Calc!$C:$C, 0)) + $B374 - INDEX(Calc!$E:$E, MATCH("L_ramp_m", Calc!$C:$C, 0)) * TAN(RADIANS(INDEX(Calc!$E:$E, MATCH("theta_max_deg", Calc!$C:$C, 0)))))</f>
        <v/>
      </c>
      <c r="D374" s="6" t="n"/>
      <c r="E374" s="6">
        <f>IF($C374="","", IF($D374="", $C374, $C374 - $D374/2))</f>
        <v/>
      </c>
      <c r="F374" s="6">
        <f>IF($C374="","", IF($D374="", $C374, $C374 + $D374/2))</f>
        <v/>
      </c>
      <c r="G374" s="6">
        <f>IF($E374="","", DEGREES(ATAN((INDEX(Calc!$E:$E, MATCH("KminusZ_m", Calc!$C:$C, 0)) - $E374 + $B374) / INDEX(Calc!$E:$E, MATCH("L_ramp_m", Calc!$C:$C, 0)))))</f>
        <v/>
      </c>
      <c r="H374" s="3">
        <f>IF($E374="","", IF(AND($E374&gt;=INDEX(Calc!$E:$E, MATCH("min_fwd_draft_m", Calc!$C:$C, 0)), $E374&lt;=INDEX(Calc!$E:$E, MATCH("max_fwd_draft_m", Calc!$C:$C, 0)), $G374&lt;=INDEX(Calc!$E:$E, MATCH("theta_max_deg", Calc!$C:$C, 0))), "OK", "CHECK"))</f>
        <v/>
      </c>
      <c r="I374" s="6">
        <f>IF($E374="","", INDEX(Calc!$E:$E, MATCH("D_vessel_m", Calc!$C:$C, 0)) - $E374 + $B374)</f>
        <v/>
      </c>
      <c r="J374" s="6">
        <f>IF($F374="","", INDEX(Calc!$E:$E, MATCH("D_vessel_m", Calc!$C:$C, 0)) - $F374 + $B374)</f>
        <v/>
      </c>
      <c r="K374" s="3">
        <f>IF(D374=0, "Even Keel", "")</f>
        <v/>
      </c>
    </row>
    <row r="375">
      <c r="A375" s="3">
        <f>IF(December_Tide_2025!A375="","",December_Tide_2025!A375)</f>
        <v/>
      </c>
      <c r="B375" s="6">
        <f>IF(December_Tide_2025!B375="","",December_Tide_2025!B375)</f>
        <v/>
      </c>
      <c r="C375" s="6">
        <f>IF($A375="","", INDEX(Calc!$E:$E, MATCH("KminusZ_m", Calc!$C:$C, 0)) + $B375 - INDEX(Calc!$E:$E, MATCH("L_ramp_m", Calc!$C:$C, 0)) * TAN(RADIANS(INDEX(Calc!$E:$E, MATCH("theta_max_deg", Calc!$C:$C, 0)))))</f>
        <v/>
      </c>
      <c r="D375" s="6" t="n"/>
      <c r="E375" s="6">
        <f>IF($C375="","", IF($D375="", $C375, $C375 - $D375/2))</f>
        <v/>
      </c>
      <c r="F375" s="6">
        <f>IF($C375="","", IF($D375="", $C375, $C375 + $D375/2))</f>
        <v/>
      </c>
      <c r="G375" s="6">
        <f>IF($E375="","", DEGREES(ATAN((INDEX(Calc!$E:$E, MATCH("KminusZ_m", Calc!$C:$C, 0)) - $E375 + $B375) / INDEX(Calc!$E:$E, MATCH("L_ramp_m", Calc!$C:$C, 0)))))</f>
        <v/>
      </c>
      <c r="H375" s="3">
        <f>IF($E375="","", IF(AND($E375&gt;=INDEX(Calc!$E:$E, MATCH("min_fwd_draft_m", Calc!$C:$C, 0)), $E375&lt;=INDEX(Calc!$E:$E, MATCH("max_fwd_draft_m", Calc!$C:$C, 0)), $G375&lt;=INDEX(Calc!$E:$E, MATCH("theta_max_deg", Calc!$C:$C, 0))), "OK", "CHECK"))</f>
        <v/>
      </c>
      <c r="I375" s="6">
        <f>IF($E375="","", INDEX(Calc!$E:$E, MATCH("D_vessel_m", Calc!$C:$C, 0)) - $E375 + $B375)</f>
        <v/>
      </c>
      <c r="J375" s="6">
        <f>IF($F375="","", INDEX(Calc!$E:$E, MATCH("D_vessel_m", Calc!$C:$C, 0)) - $F375 + $B375)</f>
        <v/>
      </c>
      <c r="K375" s="3">
        <f>IF(D375=0, "Even Keel", "")</f>
        <v/>
      </c>
    </row>
    <row r="376">
      <c r="A376" s="3">
        <f>IF(December_Tide_2025!A376="","",December_Tide_2025!A376)</f>
        <v/>
      </c>
      <c r="B376" s="6">
        <f>IF(December_Tide_2025!B376="","",December_Tide_2025!B376)</f>
        <v/>
      </c>
      <c r="C376" s="6">
        <f>IF($A376="","", INDEX(Calc!$E:$E, MATCH("KminusZ_m", Calc!$C:$C, 0)) + $B376 - INDEX(Calc!$E:$E, MATCH("L_ramp_m", Calc!$C:$C, 0)) * TAN(RADIANS(INDEX(Calc!$E:$E, MATCH("theta_max_deg", Calc!$C:$C, 0)))))</f>
        <v/>
      </c>
      <c r="D376" s="6" t="n"/>
      <c r="E376" s="6">
        <f>IF($C376="","", IF($D376="", $C376, $C376 - $D376/2))</f>
        <v/>
      </c>
      <c r="F376" s="6">
        <f>IF($C376="","", IF($D376="", $C376, $C376 + $D376/2))</f>
        <v/>
      </c>
      <c r="G376" s="6">
        <f>IF($E376="","", DEGREES(ATAN((INDEX(Calc!$E:$E, MATCH("KminusZ_m", Calc!$C:$C, 0)) - $E376 + $B376) / INDEX(Calc!$E:$E, MATCH("L_ramp_m", Calc!$C:$C, 0)))))</f>
        <v/>
      </c>
      <c r="H376" s="3">
        <f>IF($E376="","", IF(AND($E376&gt;=INDEX(Calc!$E:$E, MATCH("min_fwd_draft_m", Calc!$C:$C, 0)), $E376&lt;=INDEX(Calc!$E:$E, MATCH("max_fwd_draft_m", Calc!$C:$C, 0)), $G376&lt;=INDEX(Calc!$E:$E, MATCH("theta_max_deg", Calc!$C:$C, 0))), "OK", "CHECK"))</f>
        <v/>
      </c>
      <c r="I376" s="6">
        <f>IF($E376="","", INDEX(Calc!$E:$E, MATCH("D_vessel_m", Calc!$C:$C, 0)) - $E376 + $B376)</f>
        <v/>
      </c>
      <c r="J376" s="6">
        <f>IF($F376="","", INDEX(Calc!$E:$E, MATCH("D_vessel_m", Calc!$C:$C, 0)) - $F376 + $B376)</f>
        <v/>
      </c>
      <c r="K376" s="3">
        <f>IF(D376=0, "Even Keel", "")</f>
        <v/>
      </c>
    </row>
    <row r="377">
      <c r="A377" s="3">
        <f>IF(December_Tide_2025!A377="","",December_Tide_2025!A377)</f>
        <v/>
      </c>
      <c r="B377" s="6">
        <f>IF(December_Tide_2025!B377="","",December_Tide_2025!B377)</f>
        <v/>
      </c>
      <c r="C377" s="6">
        <f>IF($A377="","", INDEX(Calc!$E:$E, MATCH("KminusZ_m", Calc!$C:$C, 0)) + $B377 - INDEX(Calc!$E:$E, MATCH("L_ramp_m", Calc!$C:$C, 0)) * TAN(RADIANS(INDEX(Calc!$E:$E, MATCH("theta_max_deg", Calc!$C:$C, 0)))))</f>
        <v/>
      </c>
      <c r="D377" s="6" t="n"/>
      <c r="E377" s="6">
        <f>IF($C377="","", IF($D377="", $C377, $C377 - $D377/2))</f>
        <v/>
      </c>
      <c r="F377" s="6">
        <f>IF($C377="","", IF($D377="", $C377, $C377 + $D377/2))</f>
        <v/>
      </c>
      <c r="G377" s="6">
        <f>IF($E377="","", DEGREES(ATAN((INDEX(Calc!$E:$E, MATCH("KminusZ_m", Calc!$C:$C, 0)) - $E377 + $B377) / INDEX(Calc!$E:$E, MATCH("L_ramp_m", Calc!$C:$C, 0)))))</f>
        <v/>
      </c>
      <c r="H377" s="3">
        <f>IF($E377="","", IF(AND($E377&gt;=INDEX(Calc!$E:$E, MATCH("min_fwd_draft_m", Calc!$C:$C, 0)), $E377&lt;=INDEX(Calc!$E:$E, MATCH("max_fwd_draft_m", Calc!$C:$C, 0)), $G377&lt;=INDEX(Calc!$E:$E, MATCH("theta_max_deg", Calc!$C:$C, 0))), "OK", "CHECK"))</f>
        <v/>
      </c>
      <c r="I377" s="6">
        <f>IF($E377="","", INDEX(Calc!$E:$E, MATCH("D_vessel_m", Calc!$C:$C, 0)) - $E377 + $B377)</f>
        <v/>
      </c>
      <c r="J377" s="6">
        <f>IF($F377="","", INDEX(Calc!$E:$E, MATCH("D_vessel_m", Calc!$C:$C, 0)) - $F377 + $B377)</f>
        <v/>
      </c>
      <c r="K377" s="3">
        <f>IF(D377=0, "Even Keel", "")</f>
        <v/>
      </c>
    </row>
    <row r="378">
      <c r="A378" s="3">
        <f>IF(December_Tide_2025!A378="","",December_Tide_2025!A378)</f>
        <v/>
      </c>
      <c r="B378" s="6">
        <f>IF(December_Tide_2025!B378="","",December_Tide_2025!B378)</f>
        <v/>
      </c>
      <c r="C378" s="6">
        <f>IF($A378="","", INDEX(Calc!$E:$E, MATCH("KminusZ_m", Calc!$C:$C, 0)) + $B378 - INDEX(Calc!$E:$E, MATCH("L_ramp_m", Calc!$C:$C, 0)) * TAN(RADIANS(INDEX(Calc!$E:$E, MATCH("theta_max_deg", Calc!$C:$C, 0)))))</f>
        <v/>
      </c>
      <c r="D378" s="6" t="n"/>
      <c r="E378" s="6">
        <f>IF($C378="","", IF($D378="", $C378, $C378 - $D378/2))</f>
        <v/>
      </c>
      <c r="F378" s="6">
        <f>IF($C378="","", IF($D378="", $C378, $C378 + $D378/2))</f>
        <v/>
      </c>
      <c r="G378" s="6">
        <f>IF($E378="","", DEGREES(ATAN((INDEX(Calc!$E:$E, MATCH("KminusZ_m", Calc!$C:$C, 0)) - $E378 + $B378) / INDEX(Calc!$E:$E, MATCH("L_ramp_m", Calc!$C:$C, 0)))))</f>
        <v/>
      </c>
      <c r="H378" s="3">
        <f>IF($E378="","", IF(AND($E378&gt;=INDEX(Calc!$E:$E, MATCH("min_fwd_draft_m", Calc!$C:$C, 0)), $E378&lt;=INDEX(Calc!$E:$E, MATCH("max_fwd_draft_m", Calc!$C:$C, 0)), $G378&lt;=INDEX(Calc!$E:$E, MATCH("theta_max_deg", Calc!$C:$C, 0))), "OK", "CHECK"))</f>
        <v/>
      </c>
      <c r="I378" s="6">
        <f>IF($E378="","", INDEX(Calc!$E:$E, MATCH("D_vessel_m", Calc!$C:$C, 0)) - $E378 + $B378)</f>
        <v/>
      </c>
      <c r="J378" s="6">
        <f>IF($F378="","", INDEX(Calc!$E:$E, MATCH("D_vessel_m", Calc!$C:$C, 0)) - $F378 + $B378)</f>
        <v/>
      </c>
      <c r="K378" s="3">
        <f>IF(D378=0, "Even Keel", "")</f>
        <v/>
      </c>
    </row>
    <row r="379">
      <c r="A379" s="3">
        <f>IF(December_Tide_2025!A379="","",December_Tide_2025!A379)</f>
        <v/>
      </c>
      <c r="B379" s="6">
        <f>IF(December_Tide_2025!B379="","",December_Tide_2025!B379)</f>
        <v/>
      </c>
      <c r="C379" s="6">
        <f>IF($A379="","", INDEX(Calc!$E:$E, MATCH("KminusZ_m", Calc!$C:$C, 0)) + $B379 - INDEX(Calc!$E:$E, MATCH("L_ramp_m", Calc!$C:$C, 0)) * TAN(RADIANS(INDEX(Calc!$E:$E, MATCH("theta_max_deg", Calc!$C:$C, 0)))))</f>
        <v/>
      </c>
      <c r="D379" s="6" t="n"/>
      <c r="E379" s="6">
        <f>IF($C379="","", IF($D379="", $C379, $C379 - $D379/2))</f>
        <v/>
      </c>
      <c r="F379" s="6">
        <f>IF($C379="","", IF($D379="", $C379, $C379 + $D379/2))</f>
        <v/>
      </c>
      <c r="G379" s="6">
        <f>IF($E379="","", DEGREES(ATAN((INDEX(Calc!$E:$E, MATCH("KminusZ_m", Calc!$C:$C, 0)) - $E379 + $B379) / INDEX(Calc!$E:$E, MATCH("L_ramp_m", Calc!$C:$C, 0)))))</f>
        <v/>
      </c>
      <c r="H379" s="3">
        <f>IF($E379="","", IF(AND($E379&gt;=INDEX(Calc!$E:$E, MATCH("min_fwd_draft_m", Calc!$C:$C, 0)), $E379&lt;=INDEX(Calc!$E:$E, MATCH("max_fwd_draft_m", Calc!$C:$C, 0)), $G379&lt;=INDEX(Calc!$E:$E, MATCH("theta_max_deg", Calc!$C:$C, 0))), "OK", "CHECK"))</f>
        <v/>
      </c>
      <c r="I379" s="6">
        <f>IF($E379="","", INDEX(Calc!$E:$E, MATCH("D_vessel_m", Calc!$C:$C, 0)) - $E379 + $B379)</f>
        <v/>
      </c>
      <c r="J379" s="6">
        <f>IF($F379="","", INDEX(Calc!$E:$E, MATCH("D_vessel_m", Calc!$C:$C, 0)) - $F379 + $B379)</f>
        <v/>
      </c>
      <c r="K379" s="3">
        <f>IF(D379=0, "Even Keel", "")</f>
        <v/>
      </c>
    </row>
    <row r="380">
      <c r="A380" s="3">
        <f>IF(December_Tide_2025!A380="","",December_Tide_2025!A380)</f>
        <v/>
      </c>
      <c r="B380" s="6">
        <f>IF(December_Tide_2025!B380="","",December_Tide_2025!B380)</f>
        <v/>
      </c>
      <c r="C380" s="6">
        <f>IF($A380="","", INDEX(Calc!$E:$E, MATCH("KminusZ_m", Calc!$C:$C, 0)) + $B380 - INDEX(Calc!$E:$E, MATCH("L_ramp_m", Calc!$C:$C, 0)) * TAN(RADIANS(INDEX(Calc!$E:$E, MATCH("theta_max_deg", Calc!$C:$C, 0)))))</f>
        <v/>
      </c>
      <c r="D380" s="6" t="n"/>
      <c r="E380" s="6">
        <f>IF($C380="","", IF($D380="", $C380, $C380 - $D380/2))</f>
        <v/>
      </c>
      <c r="F380" s="6">
        <f>IF($C380="","", IF($D380="", $C380, $C380 + $D380/2))</f>
        <v/>
      </c>
      <c r="G380" s="6">
        <f>IF($E380="","", DEGREES(ATAN((INDEX(Calc!$E:$E, MATCH("KminusZ_m", Calc!$C:$C, 0)) - $E380 + $B380) / INDEX(Calc!$E:$E, MATCH("L_ramp_m", Calc!$C:$C, 0)))))</f>
        <v/>
      </c>
      <c r="H380" s="3">
        <f>IF($E380="","", IF(AND($E380&gt;=INDEX(Calc!$E:$E, MATCH("min_fwd_draft_m", Calc!$C:$C, 0)), $E380&lt;=INDEX(Calc!$E:$E, MATCH("max_fwd_draft_m", Calc!$C:$C, 0)), $G380&lt;=INDEX(Calc!$E:$E, MATCH("theta_max_deg", Calc!$C:$C, 0))), "OK", "CHECK"))</f>
        <v/>
      </c>
      <c r="I380" s="6">
        <f>IF($E380="","", INDEX(Calc!$E:$E, MATCH("D_vessel_m", Calc!$C:$C, 0)) - $E380 + $B380)</f>
        <v/>
      </c>
      <c r="J380" s="6">
        <f>IF($F380="","", INDEX(Calc!$E:$E, MATCH("D_vessel_m", Calc!$C:$C, 0)) - $F380 + $B380)</f>
        <v/>
      </c>
      <c r="K380" s="3">
        <f>IF(D380=0, "Even Keel", "")</f>
        <v/>
      </c>
    </row>
    <row r="381">
      <c r="A381" s="3">
        <f>IF(December_Tide_2025!A381="","",December_Tide_2025!A381)</f>
        <v/>
      </c>
      <c r="B381" s="6">
        <f>IF(December_Tide_2025!B381="","",December_Tide_2025!B381)</f>
        <v/>
      </c>
      <c r="C381" s="6">
        <f>IF($A381="","", INDEX(Calc!$E:$E, MATCH("KminusZ_m", Calc!$C:$C, 0)) + $B381 - INDEX(Calc!$E:$E, MATCH("L_ramp_m", Calc!$C:$C, 0)) * TAN(RADIANS(INDEX(Calc!$E:$E, MATCH("theta_max_deg", Calc!$C:$C, 0)))))</f>
        <v/>
      </c>
      <c r="D381" s="6" t="n"/>
      <c r="E381" s="6">
        <f>IF($C381="","", IF($D381="", $C381, $C381 - $D381/2))</f>
        <v/>
      </c>
      <c r="F381" s="6">
        <f>IF($C381="","", IF($D381="", $C381, $C381 + $D381/2))</f>
        <v/>
      </c>
      <c r="G381" s="6">
        <f>IF($E381="","", DEGREES(ATAN((INDEX(Calc!$E:$E, MATCH("KminusZ_m", Calc!$C:$C, 0)) - $E381 + $B381) / INDEX(Calc!$E:$E, MATCH("L_ramp_m", Calc!$C:$C, 0)))))</f>
        <v/>
      </c>
      <c r="H381" s="3">
        <f>IF($E381="","", IF(AND($E381&gt;=INDEX(Calc!$E:$E, MATCH("min_fwd_draft_m", Calc!$C:$C, 0)), $E381&lt;=INDEX(Calc!$E:$E, MATCH("max_fwd_draft_m", Calc!$C:$C, 0)), $G381&lt;=INDEX(Calc!$E:$E, MATCH("theta_max_deg", Calc!$C:$C, 0))), "OK", "CHECK"))</f>
        <v/>
      </c>
      <c r="I381" s="6">
        <f>IF($E381="","", INDEX(Calc!$E:$E, MATCH("D_vessel_m", Calc!$C:$C, 0)) - $E381 + $B381)</f>
        <v/>
      </c>
      <c r="J381" s="6">
        <f>IF($F381="","", INDEX(Calc!$E:$E, MATCH("D_vessel_m", Calc!$C:$C, 0)) - $F381 + $B381)</f>
        <v/>
      </c>
      <c r="K381" s="3">
        <f>IF(D381=0, "Even Keel", "")</f>
        <v/>
      </c>
    </row>
    <row r="382">
      <c r="A382" s="3">
        <f>IF(December_Tide_2025!A382="","",December_Tide_2025!A382)</f>
        <v/>
      </c>
      <c r="B382" s="6">
        <f>IF(December_Tide_2025!B382="","",December_Tide_2025!B382)</f>
        <v/>
      </c>
      <c r="C382" s="6">
        <f>IF($A382="","", INDEX(Calc!$E:$E, MATCH("KminusZ_m", Calc!$C:$C, 0)) + $B382 - INDEX(Calc!$E:$E, MATCH("L_ramp_m", Calc!$C:$C, 0)) * TAN(RADIANS(INDEX(Calc!$E:$E, MATCH("theta_max_deg", Calc!$C:$C, 0)))))</f>
        <v/>
      </c>
      <c r="D382" s="6" t="n"/>
      <c r="E382" s="6">
        <f>IF($C382="","", IF($D382="", $C382, $C382 - $D382/2))</f>
        <v/>
      </c>
      <c r="F382" s="6">
        <f>IF($C382="","", IF($D382="", $C382, $C382 + $D382/2))</f>
        <v/>
      </c>
      <c r="G382" s="6">
        <f>IF($E382="","", DEGREES(ATAN((INDEX(Calc!$E:$E, MATCH("KminusZ_m", Calc!$C:$C, 0)) - $E382 + $B382) / INDEX(Calc!$E:$E, MATCH("L_ramp_m", Calc!$C:$C, 0)))))</f>
        <v/>
      </c>
      <c r="H382" s="3">
        <f>IF($E382="","", IF(AND($E382&gt;=INDEX(Calc!$E:$E, MATCH("min_fwd_draft_m", Calc!$C:$C, 0)), $E382&lt;=INDEX(Calc!$E:$E, MATCH("max_fwd_draft_m", Calc!$C:$C, 0)), $G382&lt;=INDEX(Calc!$E:$E, MATCH("theta_max_deg", Calc!$C:$C, 0))), "OK", "CHECK"))</f>
        <v/>
      </c>
      <c r="I382" s="6">
        <f>IF($E382="","", INDEX(Calc!$E:$E, MATCH("D_vessel_m", Calc!$C:$C, 0)) - $E382 + $B382)</f>
        <v/>
      </c>
      <c r="J382" s="6">
        <f>IF($F382="","", INDEX(Calc!$E:$E, MATCH("D_vessel_m", Calc!$C:$C, 0)) - $F382 + $B382)</f>
        <v/>
      </c>
      <c r="K382" s="3">
        <f>IF(D382=0, "Even Keel", "")</f>
        <v/>
      </c>
    </row>
    <row r="383">
      <c r="A383" s="3">
        <f>IF(December_Tide_2025!A383="","",December_Tide_2025!A383)</f>
        <v/>
      </c>
      <c r="B383" s="6">
        <f>IF(December_Tide_2025!B383="","",December_Tide_2025!B383)</f>
        <v/>
      </c>
      <c r="C383" s="6">
        <f>IF($A383="","", INDEX(Calc!$E:$E, MATCH("KminusZ_m", Calc!$C:$C, 0)) + $B383 - INDEX(Calc!$E:$E, MATCH("L_ramp_m", Calc!$C:$C, 0)) * TAN(RADIANS(INDEX(Calc!$E:$E, MATCH("theta_max_deg", Calc!$C:$C, 0)))))</f>
        <v/>
      </c>
      <c r="D383" s="6" t="n"/>
      <c r="E383" s="6">
        <f>IF($C383="","", IF($D383="", $C383, $C383 - $D383/2))</f>
        <v/>
      </c>
      <c r="F383" s="6">
        <f>IF($C383="","", IF($D383="", $C383, $C383 + $D383/2))</f>
        <v/>
      </c>
      <c r="G383" s="6">
        <f>IF($E383="","", DEGREES(ATAN((INDEX(Calc!$E:$E, MATCH("KminusZ_m", Calc!$C:$C, 0)) - $E383 + $B383) / INDEX(Calc!$E:$E, MATCH("L_ramp_m", Calc!$C:$C, 0)))))</f>
        <v/>
      </c>
      <c r="H383" s="3">
        <f>IF($E383="","", IF(AND($E383&gt;=INDEX(Calc!$E:$E, MATCH("min_fwd_draft_m", Calc!$C:$C, 0)), $E383&lt;=INDEX(Calc!$E:$E, MATCH("max_fwd_draft_m", Calc!$C:$C, 0)), $G383&lt;=INDEX(Calc!$E:$E, MATCH("theta_max_deg", Calc!$C:$C, 0))), "OK", "CHECK"))</f>
        <v/>
      </c>
      <c r="I383" s="6">
        <f>IF($E383="","", INDEX(Calc!$E:$E, MATCH("D_vessel_m", Calc!$C:$C, 0)) - $E383 + $B383)</f>
        <v/>
      </c>
      <c r="J383" s="6">
        <f>IF($F383="","", INDEX(Calc!$E:$E, MATCH("D_vessel_m", Calc!$C:$C, 0)) - $F383 + $B383)</f>
        <v/>
      </c>
      <c r="K383" s="3">
        <f>IF(D383=0, "Even Keel", "")</f>
        <v/>
      </c>
    </row>
    <row r="384">
      <c r="A384" s="3">
        <f>IF(December_Tide_2025!A384="","",December_Tide_2025!A384)</f>
        <v/>
      </c>
      <c r="B384" s="6">
        <f>IF(December_Tide_2025!B384="","",December_Tide_2025!B384)</f>
        <v/>
      </c>
      <c r="C384" s="6">
        <f>IF($A384="","", INDEX(Calc!$E:$E, MATCH("KminusZ_m", Calc!$C:$C, 0)) + $B384 - INDEX(Calc!$E:$E, MATCH("L_ramp_m", Calc!$C:$C, 0)) * TAN(RADIANS(INDEX(Calc!$E:$E, MATCH("theta_max_deg", Calc!$C:$C, 0)))))</f>
        <v/>
      </c>
      <c r="D384" s="6" t="n"/>
      <c r="E384" s="6">
        <f>IF($C384="","", IF($D384="", $C384, $C384 - $D384/2))</f>
        <v/>
      </c>
      <c r="F384" s="6">
        <f>IF($C384="","", IF($D384="", $C384, $C384 + $D384/2))</f>
        <v/>
      </c>
      <c r="G384" s="6">
        <f>IF($E384="","", DEGREES(ATAN((INDEX(Calc!$E:$E, MATCH("KminusZ_m", Calc!$C:$C, 0)) - $E384 + $B384) / INDEX(Calc!$E:$E, MATCH("L_ramp_m", Calc!$C:$C, 0)))))</f>
        <v/>
      </c>
      <c r="H384" s="3">
        <f>IF($E384="","", IF(AND($E384&gt;=INDEX(Calc!$E:$E, MATCH("min_fwd_draft_m", Calc!$C:$C, 0)), $E384&lt;=INDEX(Calc!$E:$E, MATCH("max_fwd_draft_m", Calc!$C:$C, 0)), $G384&lt;=INDEX(Calc!$E:$E, MATCH("theta_max_deg", Calc!$C:$C, 0))), "OK", "CHECK"))</f>
        <v/>
      </c>
      <c r="I384" s="6">
        <f>IF($E384="","", INDEX(Calc!$E:$E, MATCH("D_vessel_m", Calc!$C:$C, 0)) - $E384 + $B384)</f>
        <v/>
      </c>
      <c r="J384" s="6">
        <f>IF($F384="","", INDEX(Calc!$E:$E, MATCH("D_vessel_m", Calc!$C:$C, 0)) - $F384 + $B384)</f>
        <v/>
      </c>
      <c r="K384" s="3">
        <f>IF(D384=0, "Even Keel", "")</f>
        <v/>
      </c>
    </row>
    <row r="385">
      <c r="A385" s="3">
        <f>IF(December_Tide_2025!A385="","",December_Tide_2025!A385)</f>
        <v/>
      </c>
      <c r="B385" s="6">
        <f>IF(December_Tide_2025!B385="","",December_Tide_2025!B385)</f>
        <v/>
      </c>
      <c r="C385" s="6">
        <f>IF($A385="","", INDEX(Calc!$E:$E, MATCH("KminusZ_m", Calc!$C:$C, 0)) + $B385 - INDEX(Calc!$E:$E, MATCH("L_ramp_m", Calc!$C:$C, 0)) * TAN(RADIANS(INDEX(Calc!$E:$E, MATCH("theta_max_deg", Calc!$C:$C, 0)))))</f>
        <v/>
      </c>
      <c r="D385" s="6" t="n"/>
      <c r="E385" s="6">
        <f>IF($C385="","", IF($D385="", $C385, $C385 - $D385/2))</f>
        <v/>
      </c>
      <c r="F385" s="6">
        <f>IF($C385="","", IF($D385="", $C385, $C385 + $D385/2))</f>
        <v/>
      </c>
      <c r="G385" s="6">
        <f>IF($E385="","", DEGREES(ATAN((INDEX(Calc!$E:$E, MATCH("KminusZ_m", Calc!$C:$C, 0)) - $E385 + $B385) / INDEX(Calc!$E:$E, MATCH("L_ramp_m", Calc!$C:$C, 0)))))</f>
        <v/>
      </c>
      <c r="H385" s="3">
        <f>IF($E385="","", IF(AND($E385&gt;=INDEX(Calc!$E:$E, MATCH("min_fwd_draft_m", Calc!$C:$C, 0)), $E385&lt;=INDEX(Calc!$E:$E, MATCH("max_fwd_draft_m", Calc!$C:$C, 0)), $G385&lt;=INDEX(Calc!$E:$E, MATCH("theta_max_deg", Calc!$C:$C, 0))), "OK", "CHECK"))</f>
        <v/>
      </c>
      <c r="I385" s="6">
        <f>IF($E385="","", INDEX(Calc!$E:$E, MATCH("D_vessel_m", Calc!$C:$C, 0)) - $E385 + $B385)</f>
        <v/>
      </c>
      <c r="J385" s="6">
        <f>IF($F385="","", INDEX(Calc!$E:$E, MATCH("D_vessel_m", Calc!$C:$C, 0)) - $F385 + $B385)</f>
        <v/>
      </c>
      <c r="K385" s="3">
        <f>IF(D385=0, "Even Keel", "")</f>
        <v/>
      </c>
    </row>
    <row r="386">
      <c r="A386" s="3">
        <f>IF(December_Tide_2025!A386="","",December_Tide_2025!A386)</f>
        <v/>
      </c>
      <c r="B386" s="6">
        <f>IF(December_Tide_2025!B386="","",December_Tide_2025!B386)</f>
        <v/>
      </c>
      <c r="C386" s="6">
        <f>IF($A386="","", INDEX(Calc!$E:$E, MATCH("KminusZ_m", Calc!$C:$C, 0)) + $B386 - INDEX(Calc!$E:$E, MATCH("L_ramp_m", Calc!$C:$C, 0)) * TAN(RADIANS(INDEX(Calc!$E:$E, MATCH("theta_max_deg", Calc!$C:$C, 0)))))</f>
        <v/>
      </c>
      <c r="D386" s="6" t="n"/>
      <c r="E386" s="6">
        <f>IF($C386="","", IF($D386="", $C386, $C386 - $D386/2))</f>
        <v/>
      </c>
      <c r="F386" s="6">
        <f>IF($C386="","", IF($D386="", $C386, $C386 + $D386/2))</f>
        <v/>
      </c>
      <c r="G386" s="6">
        <f>IF($E386="","", DEGREES(ATAN((INDEX(Calc!$E:$E, MATCH("KminusZ_m", Calc!$C:$C, 0)) - $E386 + $B386) / INDEX(Calc!$E:$E, MATCH("L_ramp_m", Calc!$C:$C, 0)))))</f>
        <v/>
      </c>
      <c r="H386" s="3">
        <f>IF($E386="","", IF(AND($E386&gt;=INDEX(Calc!$E:$E, MATCH("min_fwd_draft_m", Calc!$C:$C, 0)), $E386&lt;=INDEX(Calc!$E:$E, MATCH("max_fwd_draft_m", Calc!$C:$C, 0)), $G386&lt;=INDEX(Calc!$E:$E, MATCH("theta_max_deg", Calc!$C:$C, 0))), "OK", "CHECK"))</f>
        <v/>
      </c>
      <c r="I386" s="6">
        <f>IF($E386="","", INDEX(Calc!$E:$E, MATCH("D_vessel_m", Calc!$C:$C, 0)) - $E386 + $B386)</f>
        <v/>
      </c>
      <c r="J386" s="6">
        <f>IF($F386="","", INDEX(Calc!$E:$E, MATCH("D_vessel_m", Calc!$C:$C, 0)) - $F386 + $B386)</f>
        <v/>
      </c>
      <c r="K386" s="3">
        <f>IF(D386=0, "Even Keel", "")</f>
        <v/>
      </c>
    </row>
    <row r="387">
      <c r="A387" s="3">
        <f>IF(December_Tide_2025!A387="","",December_Tide_2025!A387)</f>
        <v/>
      </c>
      <c r="B387" s="6">
        <f>IF(December_Tide_2025!B387="","",December_Tide_2025!B387)</f>
        <v/>
      </c>
      <c r="C387" s="6">
        <f>IF($A387="","", INDEX(Calc!$E:$E, MATCH("KminusZ_m", Calc!$C:$C, 0)) + $B387 - INDEX(Calc!$E:$E, MATCH("L_ramp_m", Calc!$C:$C, 0)) * TAN(RADIANS(INDEX(Calc!$E:$E, MATCH("theta_max_deg", Calc!$C:$C, 0)))))</f>
        <v/>
      </c>
      <c r="D387" s="6" t="n"/>
      <c r="E387" s="6">
        <f>IF($C387="","", IF($D387="", $C387, $C387 - $D387/2))</f>
        <v/>
      </c>
      <c r="F387" s="6">
        <f>IF($C387="","", IF($D387="", $C387, $C387 + $D387/2))</f>
        <v/>
      </c>
      <c r="G387" s="6">
        <f>IF($E387="","", DEGREES(ATAN((INDEX(Calc!$E:$E, MATCH("KminusZ_m", Calc!$C:$C, 0)) - $E387 + $B387) / INDEX(Calc!$E:$E, MATCH("L_ramp_m", Calc!$C:$C, 0)))))</f>
        <v/>
      </c>
      <c r="H387" s="3">
        <f>IF($E387="","", IF(AND($E387&gt;=INDEX(Calc!$E:$E, MATCH("min_fwd_draft_m", Calc!$C:$C, 0)), $E387&lt;=INDEX(Calc!$E:$E, MATCH("max_fwd_draft_m", Calc!$C:$C, 0)), $G387&lt;=INDEX(Calc!$E:$E, MATCH("theta_max_deg", Calc!$C:$C, 0))), "OK", "CHECK"))</f>
        <v/>
      </c>
      <c r="I387" s="6">
        <f>IF($E387="","", INDEX(Calc!$E:$E, MATCH("D_vessel_m", Calc!$C:$C, 0)) - $E387 + $B387)</f>
        <v/>
      </c>
      <c r="J387" s="6">
        <f>IF($F387="","", INDEX(Calc!$E:$E, MATCH("D_vessel_m", Calc!$C:$C, 0)) - $F387 + $B387)</f>
        <v/>
      </c>
      <c r="K387" s="3">
        <f>IF(D387=0, "Even Keel", "")</f>
        <v/>
      </c>
    </row>
    <row r="388">
      <c r="A388" s="3">
        <f>IF(December_Tide_2025!A388="","",December_Tide_2025!A388)</f>
        <v/>
      </c>
      <c r="B388" s="6">
        <f>IF(December_Tide_2025!B388="","",December_Tide_2025!B388)</f>
        <v/>
      </c>
      <c r="C388" s="6">
        <f>IF($A388="","", INDEX(Calc!$E:$E, MATCH("KminusZ_m", Calc!$C:$C, 0)) + $B388 - INDEX(Calc!$E:$E, MATCH("L_ramp_m", Calc!$C:$C, 0)) * TAN(RADIANS(INDEX(Calc!$E:$E, MATCH("theta_max_deg", Calc!$C:$C, 0)))))</f>
        <v/>
      </c>
      <c r="D388" s="6" t="n"/>
      <c r="E388" s="6">
        <f>IF($C388="","", IF($D388="", $C388, $C388 - $D388/2))</f>
        <v/>
      </c>
      <c r="F388" s="6">
        <f>IF($C388="","", IF($D388="", $C388, $C388 + $D388/2))</f>
        <v/>
      </c>
      <c r="G388" s="6">
        <f>IF($E388="","", DEGREES(ATAN((INDEX(Calc!$E:$E, MATCH("KminusZ_m", Calc!$C:$C, 0)) - $E388 + $B388) / INDEX(Calc!$E:$E, MATCH("L_ramp_m", Calc!$C:$C, 0)))))</f>
        <v/>
      </c>
      <c r="H388" s="3">
        <f>IF($E388="","", IF(AND($E388&gt;=INDEX(Calc!$E:$E, MATCH("min_fwd_draft_m", Calc!$C:$C, 0)), $E388&lt;=INDEX(Calc!$E:$E, MATCH("max_fwd_draft_m", Calc!$C:$C, 0)), $G388&lt;=INDEX(Calc!$E:$E, MATCH("theta_max_deg", Calc!$C:$C, 0))), "OK", "CHECK"))</f>
        <v/>
      </c>
      <c r="I388" s="6">
        <f>IF($E388="","", INDEX(Calc!$E:$E, MATCH("D_vessel_m", Calc!$C:$C, 0)) - $E388 + $B388)</f>
        <v/>
      </c>
      <c r="J388" s="6">
        <f>IF($F388="","", INDEX(Calc!$E:$E, MATCH("D_vessel_m", Calc!$C:$C, 0)) - $F388 + $B388)</f>
        <v/>
      </c>
      <c r="K388" s="3">
        <f>IF(D388=0, "Even Keel", "")</f>
        <v/>
      </c>
    </row>
    <row r="389">
      <c r="A389" s="3">
        <f>IF(December_Tide_2025!A389="","",December_Tide_2025!A389)</f>
        <v/>
      </c>
      <c r="B389" s="6">
        <f>IF(December_Tide_2025!B389="","",December_Tide_2025!B389)</f>
        <v/>
      </c>
      <c r="C389" s="6">
        <f>IF($A389="","", INDEX(Calc!$E:$E, MATCH("KminusZ_m", Calc!$C:$C, 0)) + $B389 - INDEX(Calc!$E:$E, MATCH("L_ramp_m", Calc!$C:$C, 0)) * TAN(RADIANS(INDEX(Calc!$E:$E, MATCH("theta_max_deg", Calc!$C:$C, 0)))))</f>
        <v/>
      </c>
      <c r="D389" s="6" t="n"/>
      <c r="E389" s="6">
        <f>IF($C389="","", IF($D389="", $C389, $C389 - $D389/2))</f>
        <v/>
      </c>
      <c r="F389" s="6">
        <f>IF($C389="","", IF($D389="", $C389, $C389 + $D389/2))</f>
        <v/>
      </c>
      <c r="G389" s="6">
        <f>IF($E389="","", DEGREES(ATAN((INDEX(Calc!$E:$E, MATCH("KminusZ_m", Calc!$C:$C, 0)) - $E389 + $B389) / INDEX(Calc!$E:$E, MATCH("L_ramp_m", Calc!$C:$C, 0)))))</f>
        <v/>
      </c>
      <c r="H389" s="3">
        <f>IF($E389="","", IF(AND($E389&gt;=INDEX(Calc!$E:$E, MATCH("min_fwd_draft_m", Calc!$C:$C, 0)), $E389&lt;=INDEX(Calc!$E:$E, MATCH("max_fwd_draft_m", Calc!$C:$C, 0)), $G389&lt;=INDEX(Calc!$E:$E, MATCH("theta_max_deg", Calc!$C:$C, 0))), "OK", "CHECK"))</f>
        <v/>
      </c>
      <c r="I389" s="6">
        <f>IF($E389="","", INDEX(Calc!$E:$E, MATCH("D_vessel_m", Calc!$C:$C, 0)) - $E389 + $B389)</f>
        <v/>
      </c>
      <c r="J389" s="6">
        <f>IF($F389="","", INDEX(Calc!$E:$E, MATCH("D_vessel_m", Calc!$C:$C, 0)) - $F389 + $B389)</f>
        <v/>
      </c>
      <c r="K389" s="3">
        <f>IF(D389=0, "Even Keel", "")</f>
        <v/>
      </c>
    </row>
    <row r="390">
      <c r="A390" s="3">
        <f>IF(December_Tide_2025!A390="","",December_Tide_2025!A390)</f>
        <v/>
      </c>
      <c r="B390" s="6">
        <f>IF(December_Tide_2025!B390="","",December_Tide_2025!B390)</f>
        <v/>
      </c>
      <c r="C390" s="6">
        <f>IF($A390="","", INDEX(Calc!$E:$E, MATCH("KminusZ_m", Calc!$C:$C, 0)) + $B390 - INDEX(Calc!$E:$E, MATCH("L_ramp_m", Calc!$C:$C, 0)) * TAN(RADIANS(INDEX(Calc!$E:$E, MATCH("theta_max_deg", Calc!$C:$C, 0)))))</f>
        <v/>
      </c>
      <c r="D390" s="6" t="n"/>
      <c r="E390" s="6">
        <f>IF($C390="","", IF($D390="", $C390, $C390 - $D390/2))</f>
        <v/>
      </c>
      <c r="F390" s="6">
        <f>IF($C390="","", IF($D390="", $C390, $C390 + $D390/2))</f>
        <v/>
      </c>
      <c r="G390" s="6">
        <f>IF($E390="","", DEGREES(ATAN((INDEX(Calc!$E:$E, MATCH("KminusZ_m", Calc!$C:$C, 0)) - $E390 + $B390) / INDEX(Calc!$E:$E, MATCH("L_ramp_m", Calc!$C:$C, 0)))))</f>
        <v/>
      </c>
      <c r="H390" s="3">
        <f>IF($E390="","", IF(AND($E390&gt;=INDEX(Calc!$E:$E, MATCH("min_fwd_draft_m", Calc!$C:$C, 0)), $E390&lt;=INDEX(Calc!$E:$E, MATCH("max_fwd_draft_m", Calc!$C:$C, 0)), $G390&lt;=INDEX(Calc!$E:$E, MATCH("theta_max_deg", Calc!$C:$C, 0))), "OK", "CHECK"))</f>
        <v/>
      </c>
      <c r="I390" s="6">
        <f>IF($E390="","", INDEX(Calc!$E:$E, MATCH("D_vessel_m", Calc!$C:$C, 0)) - $E390 + $B390)</f>
        <v/>
      </c>
      <c r="J390" s="6">
        <f>IF($F390="","", INDEX(Calc!$E:$E, MATCH("D_vessel_m", Calc!$C:$C, 0)) - $F390 + $B390)</f>
        <v/>
      </c>
      <c r="K390" s="3">
        <f>IF(D390=0, "Even Keel", "")</f>
        <v/>
      </c>
    </row>
    <row r="391">
      <c r="A391" s="3">
        <f>IF(December_Tide_2025!A391="","",December_Tide_2025!A391)</f>
        <v/>
      </c>
      <c r="B391" s="6">
        <f>IF(December_Tide_2025!B391="","",December_Tide_2025!B391)</f>
        <v/>
      </c>
      <c r="C391" s="6">
        <f>IF($A391="","", INDEX(Calc!$E:$E, MATCH("KminusZ_m", Calc!$C:$C, 0)) + $B391 - INDEX(Calc!$E:$E, MATCH("L_ramp_m", Calc!$C:$C, 0)) * TAN(RADIANS(INDEX(Calc!$E:$E, MATCH("theta_max_deg", Calc!$C:$C, 0)))))</f>
        <v/>
      </c>
      <c r="D391" s="6" t="n"/>
      <c r="E391" s="6">
        <f>IF($C391="","", IF($D391="", $C391, $C391 - $D391/2))</f>
        <v/>
      </c>
      <c r="F391" s="6">
        <f>IF($C391="","", IF($D391="", $C391, $C391 + $D391/2))</f>
        <v/>
      </c>
      <c r="G391" s="6">
        <f>IF($E391="","", DEGREES(ATAN((INDEX(Calc!$E:$E, MATCH("KminusZ_m", Calc!$C:$C, 0)) - $E391 + $B391) / INDEX(Calc!$E:$E, MATCH("L_ramp_m", Calc!$C:$C, 0)))))</f>
        <v/>
      </c>
      <c r="H391" s="3">
        <f>IF($E391="","", IF(AND($E391&gt;=INDEX(Calc!$E:$E, MATCH("min_fwd_draft_m", Calc!$C:$C, 0)), $E391&lt;=INDEX(Calc!$E:$E, MATCH("max_fwd_draft_m", Calc!$C:$C, 0)), $G391&lt;=INDEX(Calc!$E:$E, MATCH("theta_max_deg", Calc!$C:$C, 0))), "OK", "CHECK"))</f>
        <v/>
      </c>
      <c r="I391" s="6">
        <f>IF($E391="","", INDEX(Calc!$E:$E, MATCH("D_vessel_m", Calc!$C:$C, 0)) - $E391 + $B391)</f>
        <v/>
      </c>
      <c r="J391" s="6">
        <f>IF($F391="","", INDEX(Calc!$E:$E, MATCH("D_vessel_m", Calc!$C:$C, 0)) - $F391 + $B391)</f>
        <v/>
      </c>
      <c r="K391" s="3">
        <f>IF(D391=0, "Even Keel", "")</f>
        <v/>
      </c>
    </row>
    <row r="392">
      <c r="A392" s="3">
        <f>IF(December_Tide_2025!A392="","",December_Tide_2025!A392)</f>
        <v/>
      </c>
      <c r="B392" s="6">
        <f>IF(December_Tide_2025!B392="","",December_Tide_2025!B392)</f>
        <v/>
      </c>
      <c r="C392" s="6">
        <f>IF($A392="","", INDEX(Calc!$E:$E, MATCH("KminusZ_m", Calc!$C:$C, 0)) + $B392 - INDEX(Calc!$E:$E, MATCH("L_ramp_m", Calc!$C:$C, 0)) * TAN(RADIANS(INDEX(Calc!$E:$E, MATCH("theta_max_deg", Calc!$C:$C, 0)))))</f>
        <v/>
      </c>
      <c r="D392" s="6" t="n"/>
      <c r="E392" s="6">
        <f>IF($C392="","", IF($D392="", $C392, $C392 - $D392/2))</f>
        <v/>
      </c>
      <c r="F392" s="6">
        <f>IF($C392="","", IF($D392="", $C392, $C392 + $D392/2))</f>
        <v/>
      </c>
      <c r="G392" s="6">
        <f>IF($E392="","", DEGREES(ATAN((INDEX(Calc!$E:$E, MATCH("KminusZ_m", Calc!$C:$C, 0)) - $E392 + $B392) / INDEX(Calc!$E:$E, MATCH("L_ramp_m", Calc!$C:$C, 0)))))</f>
        <v/>
      </c>
      <c r="H392" s="3">
        <f>IF($E392="","", IF(AND($E392&gt;=INDEX(Calc!$E:$E, MATCH("min_fwd_draft_m", Calc!$C:$C, 0)), $E392&lt;=INDEX(Calc!$E:$E, MATCH("max_fwd_draft_m", Calc!$C:$C, 0)), $G392&lt;=INDEX(Calc!$E:$E, MATCH("theta_max_deg", Calc!$C:$C, 0))), "OK", "CHECK"))</f>
        <v/>
      </c>
      <c r="I392" s="6">
        <f>IF($E392="","", INDEX(Calc!$E:$E, MATCH("D_vessel_m", Calc!$C:$C, 0)) - $E392 + $B392)</f>
        <v/>
      </c>
      <c r="J392" s="6">
        <f>IF($F392="","", INDEX(Calc!$E:$E, MATCH("D_vessel_m", Calc!$C:$C, 0)) - $F392 + $B392)</f>
        <v/>
      </c>
      <c r="K392" s="3">
        <f>IF(D392=0, "Even Keel", "")</f>
        <v/>
      </c>
    </row>
    <row r="393">
      <c r="A393" s="3">
        <f>IF(December_Tide_2025!A393="","",December_Tide_2025!A393)</f>
        <v/>
      </c>
      <c r="B393" s="6">
        <f>IF(December_Tide_2025!B393="","",December_Tide_2025!B393)</f>
        <v/>
      </c>
      <c r="C393" s="6">
        <f>IF($A393="","", INDEX(Calc!$E:$E, MATCH("KminusZ_m", Calc!$C:$C, 0)) + $B393 - INDEX(Calc!$E:$E, MATCH("L_ramp_m", Calc!$C:$C, 0)) * TAN(RADIANS(INDEX(Calc!$E:$E, MATCH("theta_max_deg", Calc!$C:$C, 0)))))</f>
        <v/>
      </c>
      <c r="D393" s="6" t="n"/>
      <c r="E393" s="6">
        <f>IF($C393="","", IF($D393="", $C393, $C393 - $D393/2))</f>
        <v/>
      </c>
      <c r="F393" s="6">
        <f>IF($C393="","", IF($D393="", $C393, $C393 + $D393/2))</f>
        <v/>
      </c>
      <c r="G393" s="6">
        <f>IF($E393="","", DEGREES(ATAN((INDEX(Calc!$E:$E, MATCH("KminusZ_m", Calc!$C:$C, 0)) - $E393 + $B393) / INDEX(Calc!$E:$E, MATCH("L_ramp_m", Calc!$C:$C, 0)))))</f>
        <v/>
      </c>
      <c r="H393" s="3">
        <f>IF($E393="","", IF(AND($E393&gt;=INDEX(Calc!$E:$E, MATCH("min_fwd_draft_m", Calc!$C:$C, 0)), $E393&lt;=INDEX(Calc!$E:$E, MATCH("max_fwd_draft_m", Calc!$C:$C, 0)), $G393&lt;=INDEX(Calc!$E:$E, MATCH("theta_max_deg", Calc!$C:$C, 0))), "OK", "CHECK"))</f>
        <v/>
      </c>
      <c r="I393" s="6">
        <f>IF($E393="","", INDEX(Calc!$E:$E, MATCH("D_vessel_m", Calc!$C:$C, 0)) - $E393 + $B393)</f>
        <v/>
      </c>
      <c r="J393" s="6">
        <f>IF($F393="","", INDEX(Calc!$E:$E, MATCH("D_vessel_m", Calc!$C:$C, 0)) - $F393 + $B393)</f>
        <v/>
      </c>
      <c r="K393" s="3">
        <f>IF(D393=0, "Even Keel", "")</f>
        <v/>
      </c>
    </row>
    <row r="394">
      <c r="A394" s="3">
        <f>IF(December_Tide_2025!A394="","",December_Tide_2025!A394)</f>
        <v/>
      </c>
      <c r="B394" s="6">
        <f>IF(December_Tide_2025!B394="","",December_Tide_2025!B394)</f>
        <v/>
      </c>
      <c r="C394" s="6">
        <f>IF($A394="","", INDEX(Calc!$E:$E, MATCH("KminusZ_m", Calc!$C:$C, 0)) + $B394 - INDEX(Calc!$E:$E, MATCH("L_ramp_m", Calc!$C:$C, 0)) * TAN(RADIANS(INDEX(Calc!$E:$E, MATCH("theta_max_deg", Calc!$C:$C, 0)))))</f>
        <v/>
      </c>
      <c r="D394" s="6" t="n"/>
      <c r="E394" s="6">
        <f>IF($C394="","", IF($D394="", $C394, $C394 - $D394/2))</f>
        <v/>
      </c>
      <c r="F394" s="6">
        <f>IF($C394="","", IF($D394="", $C394, $C394 + $D394/2))</f>
        <v/>
      </c>
      <c r="G394" s="6">
        <f>IF($E394="","", DEGREES(ATAN((INDEX(Calc!$E:$E, MATCH("KminusZ_m", Calc!$C:$C, 0)) - $E394 + $B394) / INDEX(Calc!$E:$E, MATCH("L_ramp_m", Calc!$C:$C, 0)))))</f>
        <v/>
      </c>
      <c r="H394" s="3">
        <f>IF($E394="","", IF(AND($E394&gt;=INDEX(Calc!$E:$E, MATCH("min_fwd_draft_m", Calc!$C:$C, 0)), $E394&lt;=INDEX(Calc!$E:$E, MATCH("max_fwd_draft_m", Calc!$C:$C, 0)), $G394&lt;=INDEX(Calc!$E:$E, MATCH("theta_max_deg", Calc!$C:$C, 0))), "OK", "CHECK"))</f>
        <v/>
      </c>
      <c r="I394" s="6">
        <f>IF($E394="","", INDEX(Calc!$E:$E, MATCH("D_vessel_m", Calc!$C:$C, 0)) - $E394 + $B394)</f>
        <v/>
      </c>
      <c r="J394" s="6">
        <f>IF($F394="","", INDEX(Calc!$E:$E, MATCH("D_vessel_m", Calc!$C:$C, 0)) - $F394 + $B394)</f>
        <v/>
      </c>
      <c r="K394" s="3">
        <f>IF(D394=0, "Even Keel", "")</f>
        <v/>
      </c>
    </row>
    <row r="395">
      <c r="A395" s="3">
        <f>IF(December_Tide_2025!A395="","",December_Tide_2025!A395)</f>
        <v/>
      </c>
      <c r="B395" s="6">
        <f>IF(December_Tide_2025!B395="","",December_Tide_2025!B395)</f>
        <v/>
      </c>
      <c r="C395" s="6">
        <f>IF($A395="","", INDEX(Calc!$E:$E, MATCH("KminusZ_m", Calc!$C:$C, 0)) + $B395 - INDEX(Calc!$E:$E, MATCH("L_ramp_m", Calc!$C:$C, 0)) * TAN(RADIANS(INDEX(Calc!$E:$E, MATCH("theta_max_deg", Calc!$C:$C, 0)))))</f>
        <v/>
      </c>
      <c r="D395" s="6" t="n"/>
      <c r="E395" s="6">
        <f>IF($C395="","", IF($D395="", $C395, $C395 - $D395/2))</f>
        <v/>
      </c>
      <c r="F395" s="6">
        <f>IF($C395="","", IF($D395="", $C395, $C395 + $D395/2))</f>
        <v/>
      </c>
      <c r="G395" s="6">
        <f>IF($E395="","", DEGREES(ATAN((INDEX(Calc!$E:$E, MATCH("KminusZ_m", Calc!$C:$C, 0)) - $E395 + $B395) / INDEX(Calc!$E:$E, MATCH("L_ramp_m", Calc!$C:$C, 0)))))</f>
        <v/>
      </c>
      <c r="H395" s="3">
        <f>IF($E395="","", IF(AND($E395&gt;=INDEX(Calc!$E:$E, MATCH("min_fwd_draft_m", Calc!$C:$C, 0)), $E395&lt;=INDEX(Calc!$E:$E, MATCH("max_fwd_draft_m", Calc!$C:$C, 0)), $G395&lt;=INDEX(Calc!$E:$E, MATCH("theta_max_deg", Calc!$C:$C, 0))), "OK", "CHECK"))</f>
        <v/>
      </c>
      <c r="I395" s="6">
        <f>IF($E395="","", INDEX(Calc!$E:$E, MATCH("D_vessel_m", Calc!$C:$C, 0)) - $E395 + $B395)</f>
        <v/>
      </c>
      <c r="J395" s="6">
        <f>IF($F395="","", INDEX(Calc!$E:$E, MATCH("D_vessel_m", Calc!$C:$C, 0)) - $F395 + $B395)</f>
        <v/>
      </c>
      <c r="K395" s="3">
        <f>IF(D395=0, "Even Keel", "")</f>
        <v/>
      </c>
    </row>
    <row r="396">
      <c r="A396" s="3">
        <f>IF(December_Tide_2025!A396="","",December_Tide_2025!A396)</f>
        <v/>
      </c>
      <c r="B396" s="6">
        <f>IF(December_Tide_2025!B396="","",December_Tide_2025!B396)</f>
        <v/>
      </c>
      <c r="C396" s="6">
        <f>IF($A396="","", INDEX(Calc!$E:$E, MATCH("KminusZ_m", Calc!$C:$C, 0)) + $B396 - INDEX(Calc!$E:$E, MATCH("L_ramp_m", Calc!$C:$C, 0)) * TAN(RADIANS(INDEX(Calc!$E:$E, MATCH("theta_max_deg", Calc!$C:$C, 0)))))</f>
        <v/>
      </c>
      <c r="D396" s="6" t="n"/>
      <c r="E396" s="6">
        <f>IF($C396="","", IF($D396="", $C396, $C396 - $D396/2))</f>
        <v/>
      </c>
      <c r="F396" s="6">
        <f>IF($C396="","", IF($D396="", $C396, $C396 + $D396/2))</f>
        <v/>
      </c>
      <c r="G396" s="6">
        <f>IF($E396="","", DEGREES(ATAN((INDEX(Calc!$E:$E, MATCH("KminusZ_m", Calc!$C:$C, 0)) - $E396 + $B396) / INDEX(Calc!$E:$E, MATCH("L_ramp_m", Calc!$C:$C, 0)))))</f>
        <v/>
      </c>
      <c r="H396" s="3">
        <f>IF($E396="","", IF(AND($E396&gt;=INDEX(Calc!$E:$E, MATCH("min_fwd_draft_m", Calc!$C:$C, 0)), $E396&lt;=INDEX(Calc!$E:$E, MATCH("max_fwd_draft_m", Calc!$C:$C, 0)), $G396&lt;=INDEX(Calc!$E:$E, MATCH("theta_max_deg", Calc!$C:$C, 0))), "OK", "CHECK"))</f>
        <v/>
      </c>
      <c r="I396" s="6">
        <f>IF($E396="","", INDEX(Calc!$E:$E, MATCH("D_vessel_m", Calc!$C:$C, 0)) - $E396 + $B396)</f>
        <v/>
      </c>
      <c r="J396" s="6">
        <f>IF($F396="","", INDEX(Calc!$E:$E, MATCH("D_vessel_m", Calc!$C:$C, 0)) - $F396 + $B396)</f>
        <v/>
      </c>
      <c r="K396" s="3">
        <f>IF(D396=0, "Even Keel", "")</f>
        <v/>
      </c>
    </row>
    <row r="397">
      <c r="A397" s="3">
        <f>IF(December_Tide_2025!A397="","",December_Tide_2025!A397)</f>
        <v/>
      </c>
      <c r="B397" s="6">
        <f>IF(December_Tide_2025!B397="","",December_Tide_2025!B397)</f>
        <v/>
      </c>
      <c r="C397" s="6">
        <f>IF($A397="","", INDEX(Calc!$E:$E, MATCH("KminusZ_m", Calc!$C:$C, 0)) + $B397 - INDEX(Calc!$E:$E, MATCH("L_ramp_m", Calc!$C:$C, 0)) * TAN(RADIANS(INDEX(Calc!$E:$E, MATCH("theta_max_deg", Calc!$C:$C, 0)))))</f>
        <v/>
      </c>
      <c r="D397" s="6" t="n"/>
      <c r="E397" s="6">
        <f>IF($C397="","", IF($D397="", $C397, $C397 - $D397/2))</f>
        <v/>
      </c>
      <c r="F397" s="6">
        <f>IF($C397="","", IF($D397="", $C397, $C397 + $D397/2))</f>
        <v/>
      </c>
      <c r="G397" s="6">
        <f>IF($E397="","", DEGREES(ATAN((INDEX(Calc!$E:$E, MATCH("KminusZ_m", Calc!$C:$C, 0)) - $E397 + $B397) / INDEX(Calc!$E:$E, MATCH("L_ramp_m", Calc!$C:$C, 0)))))</f>
        <v/>
      </c>
      <c r="H397" s="3">
        <f>IF($E397="","", IF(AND($E397&gt;=INDEX(Calc!$E:$E, MATCH("min_fwd_draft_m", Calc!$C:$C, 0)), $E397&lt;=INDEX(Calc!$E:$E, MATCH("max_fwd_draft_m", Calc!$C:$C, 0)), $G397&lt;=INDEX(Calc!$E:$E, MATCH("theta_max_deg", Calc!$C:$C, 0))), "OK", "CHECK"))</f>
        <v/>
      </c>
      <c r="I397" s="6">
        <f>IF($E397="","", INDEX(Calc!$E:$E, MATCH("D_vessel_m", Calc!$C:$C, 0)) - $E397 + $B397)</f>
        <v/>
      </c>
      <c r="J397" s="6">
        <f>IF($F397="","", INDEX(Calc!$E:$E, MATCH("D_vessel_m", Calc!$C:$C, 0)) - $F397 + $B397)</f>
        <v/>
      </c>
      <c r="K397" s="3">
        <f>IF(D397=0, "Even Keel", "")</f>
        <v/>
      </c>
    </row>
    <row r="398">
      <c r="A398" s="3">
        <f>IF(December_Tide_2025!A398="","",December_Tide_2025!A398)</f>
        <v/>
      </c>
      <c r="B398" s="6">
        <f>IF(December_Tide_2025!B398="","",December_Tide_2025!B398)</f>
        <v/>
      </c>
      <c r="C398" s="6">
        <f>IF($A398="","", INDEX(Calc!$E:$E, MATCH("KminusZ_m", Calc!$C:$C, 0)) + $B398 - INDEX(Calc!$E:$E, MATCH("L_ramp_m", Calc!$C:$C, 0)) * TAN(RADIANS(INDEX(Calc!$E:$E, MATCH("theta_max_deg", Calc!$C:$C, 0)))))</f>
        <v/>
      </c>
      <c r="D398" s="6" t="n"/>
      <c r="E398" s="6">
        <f>IF($C398="","", IF($D398="", $C398, $C398 - $D398/2))</f>
        <v/>
      </c>
      <c r="F398" s="6">
        <f>IF($C398="","", IF($D398="", $C398, $C398 + $D398/2))</f>
        <v/>
      </c>
      <c r="G398" s="6">
        <f>IF($E398="","", DEGREES(ATAN((INDEX(Calc!$E:$E, MATCH("KminusZ_m", Calc!$C:$C, 0)) - $E398 + $B398) / INDEX(Calc!$E:$E, MATCH("L_ramp_m", Calc!$C:$C, 0)))))</f>
        <v/>
      </c>
      <c r="H398" s="3">
        <f>IF($E398="","", IF(AND($E398&gt;=INDEX(Calc!$E:$E, MATCH("min_fwd_draft_m", Calc!$C:$C, 0)), $E398&lt;=INDEX(Calc!$E:$E, MATCH("max_fwd_draft_m", Calc!$C:$C, 0)), $G398&lt;=INDEX(Calc!$E:$E, MATCH("theta_max_deg", Calc!$C:$C, 0))), "OK", "CHECK"))</f>
        <v/>
      </c>
      <c r="I398" s="6">
        <f>IF($E398="","", INDEX(Calc!$E:$E, MATCH("D_vessel_m", Calc!$C:$C, 0)) - $E398 + $B398)</f>
        <v/>
      </c>
      <c r="J398" s="6">
        <f>IF($F398="","", INDEX(Calc!$E:$E, MATCH("D_vessel_m", Calc!$C:$C, 0)) - $F398 + $B398)</f>
        <v/>
      </c>
      <c r="K398" s="3">
        <f>IF(D398=0, "Even Keel", "")</f>
        <v/>
      </c>
    </row>
    <row r="399">
      <c r="A399" s="3">
        <f>IF(December_Tide_2025!A399="","",December_Tide_2025!A399)</f>
        <v/>
      </c>
      <c r="B399" s="6">
        <f>IF(December_Tide_2025!B399="","",December_Tide_2025!B399)</f>
        <v/>
      </c>
      <c r="C399" s="6">
        <f>IF($A399="","", INDEX(Calc!$E:$E, MATCH("KminusZ_m", Calc!$C:$C, 0)) + $B399 - INDEX(Calc!$E:$E, MATCH("L_ramp_m", Calc!$C:$C, 0)) * TAN(RADIANS(INDEX(Calc!$E:$E, MATCH("theta_max_deg", Calc!$C:$C, 0)))))</f>
        <v/>
      </c>
      <c r="D399" s="6" t="n"/>
      <c r="E399" s="6">
        <f>IF($C399="","", IF($D399="", $C399, $C399 - $D399/2))</f>
        <v/>
      </c>
      <c r="F399" s="6">
        <f>IF($C399="","", IF($D399="", $C399, $C399 + $D399/2))</f>
        <v/>
      </c>
      <c r="G399" s="6">
        <f>IF($E399="","", DEGREES(ATAN((INDEX(Calc!$E:$E, MATCH("KminusZ_m", Calc!$C:$C, 0)) - $E399 + $B399) / INDEX(Calc!$E:$E, MATCH("L_ramp_m", Calc!$C:$C, 0)))))</f>
        <v/>
      </c>
      <c r="H399" s="3">
        <f>IF($E399="","", IF(AND($E399&gt;=INDEX(Calc!$E:$E, MATCH("min_fwd_draft_m", Calc!$C:$C, 0)), $E399&lt;=INDEX(Calc!$E:$E, MATCH("max_fwd_draft_m", Calc!$C:$C, 0)), $G399&lt;=INDEX(Calc!$E:$E, MATCH("theta_max_deg", Calc!$C:$C, 0))), "OK", "CHECK"))</f>
        <v/>
      </c>
      <c r="I399" s="6">
        <f>IF($E399="","", INDEX(Calc!$E:$E, MATCH("D_vessel_m", Calc!$C:$C, 0)) - $E399 + $B399)</f>
        <v/>
      </c>
      <c r="J399" s="6">
        <f>IF($F399="","", INDEX(Calc!$E:$E, MATCH("D_vessel_m", Calc!$C:$C, 0)) - $F399 + $B399)</f>
        <v/>
      </c>
      <c r="K399" s="3">
        <f>IF(D399=0, "Even Keel", "")</f>
        <v/>
      </c>
    </row>
    <row r="400">
      <c r="A400" s="3">
        <f>IF(December_Tide_2025!A400="","",December_Tide_2025!A400)</f>
        <v/>
      </c>
      <c r="B400" s="6">
        <f>IF(December_Tide_2025!B400="","",December_Tide_2025!B400)</f>
        <v/>
      </c>
      <c r="C400" s="6">
        <f>IF($A400="","", INDEX(Calc!$E:$E, MATCH("KminusZ_m", Calc!$C:$C, 0)) + $B400 - INDEX(Calc!$E:$E, MATCH("L_ramp_m", Calc!$C:$C, 0)) * TAN(RADIANS(INDEX(Calc!$E:$E, MATCH("theta_max_deg", Calc!$C:$C, 0)))))</f>
        <v/>
      </c>
      <c r="D400" s="6" t="n"/>
      <c r="E400" s="6">
        <f>IF($C400="","", IF($D400="", $C400, $C400 - $D400/2))</f>
        <v/>
      </c>
      <c r="F400" s="6">
        <f>IF($C400="","", IF($D400="", $C400, $C400 + $D400/2))</f>
        <v/>
      </c>
      <c r="G400" s="6">
        <f>IF($E400="","", DEGREES(ATAN((INDEX(Calc!$E:$E, MATCH("KminusZ_m", Calc!$C:$C, 0)) - $E400 + $B400) / INDEX(Calc!$E:$E, MATCH("L_ramp_m", Calc!$C:$C, 0)))))</f>
        <v/>
      </c>
      <c r="H400" s="3">
        <f>IF($E400="","", IF(AND($E400&gt;=INDEX(Calc!$E:$E, MATCH("min_fwd_draft_m", Calc!$C:$C, 0)), $E400&lt;=INDEX(Calc!$E:$E, MATCH("max_fwd_draft_m", Calc!$C:$C, 0)), $G400&lt;=INDEX(Calc!$E:$E, MATCH("theta_max_deg", Calc!$C:$C, 0))), "OK", "CHECK"))</f>
        <v/>
      </c>
      <c r="I400" s="6">
        <f>IF($E400="","", INDEX(Calc!$E:$E, MATCH("D_vessel_m", Calc!$C:$C, 0)) - $E400 + $B400)</f>
        <v/>
      </c>
      <c r="J400" s="6">
        <f>IF($F400="","", INDEX(Calc!$E:$E, MATCH("D_vessel_m", Calc!$C:$C, 0)) - $F400 + $B400)</f>
        <v/>
      </c>
      <c r="K400" s="3">
        <f>IF(D400=0, "Even Keel", "")</f>
        <v/>
      </c>
    </row>
    <row r="401">
      <c r="A401" s="3">
        <f>IF(December_Tide_2025!A401="","",December_Tide_2025!A401)</f>
        <v/>
      </c>
      <c r="B401" s="6">
        <f>IF(December_Tide_2025!B401="","",December_Tide_2025!B401)</f>
        <v/>
      </c>
      <c r="C401" s="6">
        <f>IF($A401="","", INDEX(Calc!$E:$E, MATCH("KminusZ_m", Calc!$C:$C, 0)) + $B401 - INDEX(Calc!$E:$E, MATCH("L_ramp_m", Calc!$C:$C, 0)) * TAN(RADIANS(INDEX(Calc!$E:$E, MATCH("theta_max_deg", Calc!$C:$C, 0)))))</f>
        <v/>
      </c>
      <c r="D401" s="6" t="n"/>
      <c r="E401" s="6">
        <f>IF($C401="","", IF($D401="", $C401, $C401 - $D401/2))</f>
        <v/>
      </c>
      <c r="F401" s="6">
        <f>IF($C401="","", IF($D401="", $C401, $C401 + $D401/2))</f>
        <v/>
      </c>
      <c r="G401" s="6">
        <f>IF($E401="","", DEGREES(ATAN((INDEX(Calc!$E:$E, MATCH("KminusZ_m", Calc!$C:$C, 0)) - $E401 + $B401) / INDEX(Calc!$E:$E, MATCH("L_ramp_m", Calc!$C:$C, 0)))))</f>
        <v/>
      </c>
      <c r="H401" s="3">
        <f>IF($E401="","", IF(AND($E401&gt;=INDEX(Calc!$E:$E, MATCH("min_fwd_draft_m", Calc!$C:$C, 0)), $E401&lt;=INDEX(Calc!$E:$E, MATCH("max_fwd_draft_m", Calc!$C:$C, 0)), $G401&lt;=INDEX(Calc!$E:$E, MATCH("theta_max_deg", Calc!$C:$C, 0))), "OK", "CHECK"))</f>
        <v/>
      </c>
      <c r="I401" s="6">
        <f>IF($E401="","", INDEX(Calc!$E:$E, MATCH("D_vessel_m", Calc!$C:$C, 0)) - $E401 + $B401)</f>
        <v/>
      </c>
      <c r="J401" s="6">
        <f>IF($F401="","", INDEX(Calc!$E:$E, MATCH("D_vessel_m", Calc!$C:$C, 0)) - $F401 + $B401)</f>
        <v/>
      </c>
      <c r="K401" s="3">
        <f>IF(D401=0, "Even Keel", "")</f>
        <v/>
      </c>
    </row>
    <row r="402">
      <c r="A402" s="3">
        <f>IF(December_Tide_2025!A402="","",December_Tide_2025!A402)</f>
        <v/>
      </c>
      <c r="B402" s="6">
        <f>IF(December_Tide_2025!B402="","",December_Tide_2025!B402)</f>
        <v/>
      </c>
      <c r="C402" s="6">
        <f>IF($A402="","", INDEX(Calc!$E:$E, MATCH("KminusZ_m", Calc!$C:$C, 0)) + $B402 - INDEX(Calc!$E:$E, MATCH("L_ramp_m", Calc!$C:$C, 0)) * TAN(RADIANS(INDEX(Calc!$E:$E, MATCH("theta_max_deg", Calc!$C:$C, 0)))))</f>
        <v/>
      </c>
      <c r="D402" s="6" t="n"/>
      <c r="E402" s="6">
        <f>IF($C402="","", IF($D402="", $C402, $C402 - $D402/2))</f>
        <v/>
      </c>
      <c r="F402" s="6">
        <f>IF($C402="","", IF($D402="", $C402, $C402 + $D402/2))</f>
        <v/>
      </c>
      <c r="G402" s="6">
        <f>IF($E402="","", DEGREES(ATAN((INDEX(Calc!$E:$E, MATCH("KminusZ_m", Calc!$C:$C, 0)) - $E402 + $B402) / INDEX(Calc!$E:$E, MATCH("L_ramp_m", Calc!$C:$C, 0)))))</f>
        <v/>
      </c>
      <c r="H402" s="3">
        <f>IF($E402="","", IF(AND($E402&gt;=INDEX(Calc!$E:$E, MATCH("min_fwd_draft_m", Calc!$C:$C, 0)), $E402&lt;=INDEX(Calc!$E:$E, MATCH("max_fwd_draft_m", Calc!$C:$C, 0)), $G402&lt;=INDEX(Calc!$E:$E, MATCH("theta_max_deg", Calc!$C:$C, 0))), "OK", "CHECK"))</f>
        <v/>
      </c>
      <c r="I402" s="6">
        <f>IF($E402="","", INDEX(Calc!$E:$E, MATCH("D_vessel_m", Calc!$C:$C, 0)) - $E402 + $B402)</f>
        <v/>
      </c>
      <c r="J402" s="6">
        <f>IF($F402="","", INDEX(Calc!$E:$E, MATCH("D_vessel_m", Calc!$C:$C, 0)) - $F402 + $B402)</f>
        <v/>
      </c>
      <c r="K402" s="3">
        <f>IF(D402=0, "Even Keel", "")</f>
        <v/>
      </c>
    </row>
    <row r="403">
      <c r="A403" s="3">
        <f>IF(December_Tide_2025!A403="","",December_Tide_2025!A403)</f>
        <v/>
      </c>
      <c r="B403" s="6">
        <f>IF(December_Tide_2025!B403="","",December_Tide_2025!B403)</f>
        <v/>
      </c>
      <c r="C403" s="6">
        <f>IF($A403="","", INDEX(Calc!$E:$E, MATCH("KminusZ_m", Calc!$C:$C, 0)) + $B403 - INDEX(Calc!$E:$E, MATCH("L_ramp_m", Calc!$C:$C, 0)) * TAN(RADIANS(INDEX(Calc!$E:$E, MATCH("theta_max_deg", Calc!$C:$C, 0)))))</f>
        <v/>
      </c>
      <c r="D403" s="6" t="n"/>
      <c r="E403" s="6">
        <f>IF($C403="","", IF($D403="", $C403, $C403 - $D403/2))</f>
        <v/>
      </c>
      <c r="F403" s="6">
        <f>IF($C403="","", IF($D403="", $C403, $C403 + $D403/2))</f>
        <v/>
      </c>
      <c r="G403" s="6">
        <f>IF($E403="","", DEGREES(ATAN((INDEX(Calc!$E:$E, MATCH("KminusZ_m", Calc!$C:$C, 0)) - $E403 + $B403) / INDEX(Calc!$E:$E, MATCH("L_ramp_m", Calc!$C:$C, 0)))))</f>
        <v/>
      </c>
      <c r="H403" s="3">
        <f>IF($E403="","", IF(AND($E403&gt;=INDEX(Calc!$E:$E, MATCH("min_fwd_draft_m", Calc!$C:$C, 0)), $E403&lt;=INDEX(Calc!$E:$E, MATCH("max_fwd_draft_m", Calc!$C:$C, 0)), $G403&lt;=INDEX(Calc!$E:$E, MATCH("theta_max_deg", Calc!$C:$C, 0))), "OK", "CHECK"))</f>
        <v/>
      </c>
      <c r="I403" s="6">
        <f>IF($E403="","", INDEX(Calc!$E:$E, MATCH("D_vessel_m", Calc!$C:$C, 0)) - $E403 + $B403)</f>
        <v/>
      </c>
      <c r="J403" s="6">
        <f>IF($F403="","", INDEX(Calc!$E:$E, MATCH("D_vessel_m", Calc!$C:$C, 0)) - $F403 + $B403)</f>
        <v/>
      </c>
      <c r="K403" s="3">
        <f>IF(D403=0, "Even Keel", "")</f>
        <v/>
      </c>
    </row>
    <row r="404">
      <c r="A404" s="3">
        <f>IF(December_Tide_2025!A404="","",December_Tide_2025!A404)</f>
        <v/>
      </c>
      <c r="B404" s="6">
        <f>IF(December_Tide_2025!B404="","",December_Tide_2025!B404)</f>
        <v/>
      </c>
      <c r="C404" s="6">
        <f>IF($A404="","", INDEX(Calc!$E:$E, MATCH("KminusZ_m", Calc!$C:$C, 0)) + $B404 - INDEX(Calc!$E:$E, MATCH("L_ramp_m", Calc!$C:$C, 0)) * TAN(RADIANS(INDEX(Calc!$E:$E, MATCH("theta_max_deg", Calc!$C:$C, 0)))))</f>
        <v/>
      </c>
      <c r="D404" s="6" t="n"/>
      <c r="E404" s="6">
        <f>IF($C404="","", IF($D404="", $C404, $C404 - $D404/2))</f>
        <v/>
      </c>
      <c r="F404" s="6">
        <f>IF($C404="","", IF($D404="", $C404, $C404 + $D404/2))</f>
        <v/>
      </c>
      <c r="G404" s="6">
        <f>IF($E404="","", DEGREES(ATAN((INDEX(Calc!$E:$E, MATCH("KminusZ_m", Calc!$C:$C, 0)) - $E404 + $B404) / INDEX(Calc!$E:$E, MATCH("L_ramp_m", Calc!$C:$C, 0)))))</f>
        <v/>
      </c>
      <c r="H404" s="3">
        <f>IF($E404="","", IF(AND($E404&gt;=INDEX(Calc!$E:$E, MATCH("min_fwd_draft_m", Calc!$C:$C, 0)), $E404&lt;=INDEX(Calc!$E:$E, MATCH("max_fwd_draft_m", Calc!$C:$C, 0)), $G404&lt;=INDEX(Calc!$E:$E, MATCH("theta_max_deg", Calc!$C:$C, 0))), "OK", "CHECK"))</f>
        <v/>
      </c>
      <c r="I404" s="6">
        <f>IF($E404="","", INDEX(Calc!$E:$E, MATCH("D_vessel_m", Calc!$C:$C, 0)) - $E404 + $B404)</f>
        <v/>
      </c>
      <c r="J404" s="6">
        <f>IF($F404="","", INDEX(Calc!$E:$E, MATCH("D_vessel_m", Calc!$C:$C, 0)) - $F404 + $B404)</f>
        <v/>
      </c>
      <c r="K404" s="3">
        <f>IF(D404=0, "Even Keel", "")</f>
        <v/>
      </c>
    </row>
    <row r="405">
      <c r="A405" s="3">
        <f>IF(December_Tide_2025!A405="","",December_Tide_2025!A405)</f>
        <v/>
      </c>
      <c r="B405" s="6">
        <f>IF(December_Tide_2025!B405="","",December_Tide_2025!B405)</f>
        <v/>
      </c>
      <c r="C405" s="6">
        <f>IF($A405="","", INDEX(Calc!$E:$E, MATCH("KminusZ_m", Calc!$C:$C, 0)) + $B405 - INDEX(Calc!$E:$E, MATCH("L_ramp_m", Calc!$C:$C, 0)) * TAN(RADIANS(INDEX(Calc!$E:$E, MATCH("theta_max_deg", Calc!$C:$C, 0)))))</f>
        <v/>
      </c>
      <c r="D405" s="6" t="n"/>
      <c r="E405" s="6">
        <f>IF($C405="","", IF($D405="", $C405, $C405 - $D405/2))</f>
        <v/>
      </c>
      <c r="F405" s="6">
        <f>IF($C405="","", IF($D405="", $C405, $C405 + $D405/2))</f>
        <v/>
      </c>
      <c r="G405" s="6">
        <f>IF($E405="","", DEGREES(ATAN((INDEX(Calc!$E:$E, MATCH("KminusZ_m", Calc!$C:$C, 0)) - $E405 + $B405) / INDEX(Calc!$E:$E, MATCH("L_ramp_m", Calc!$C:$C, 0)))))</f>
        <v/>
      </c>
      <c r="H405" s="3">
        <f>IF($E405="","", IF(AND($E405&gt;=INDEX(Calc!$E:$E, MATCH("min_fwd_draft_m", Calc!$C:$C, 0)), $E405&lt;=INDEX(Calc!$E:$E, MATCH("max_fwd_draft_m", Calc!$C:$C, 0)), $G405&lt;=INDEX(Calc!$E:$E, MATCH("theta_max_deg", Calc!$C:$C, 0))), "OK", "CHECK"))</f>
        <v/>
      </c>
      <c r="I405" s="6">
        <f>IF($E405="","", INDEX(Calc!$E:$E, MATCH("D_vessel_m", Calc!$C:$C, 0)) - $E405 + $B405)</f>
        <v/>
      </c>
      <c r="J405" s="6">
        <f>IF($F405="","", INDEX(Calc!$E:$E, MATCH("D_vessel_m", Calc!$C:$C, 0)) - $F405 + $B405)</f>
        <v/>
      </c>
      <c r="K405" s="3">
        <f>IF(D405=0, "Even Keel", "")</f>
        <v/>
      </c>
    </row>
    <row r="406">
      <c r="A406" s="3">
        <f>IF(December_Tide_2025!A406="","",December_Tide_2025!A406)</f>
        <v/>
      </c>
      <c r="B406" s="6">
        <f>IF(December_Tide_2025!B406="","",December_Tide_2025!B406)</f>
        <v/>
      </c>
      <c r="C406" s="6">
        <f>IF($A406="","", INDEX(Calc!$E:$E, MATCH("KminusZ_m", Calc!$C:$C, 0)) + $B406 - INDEX(Calc!$E:$E, MATCH("L_ramp_m", Calc!$C:$C, 0)) * TAN(RADIANS(INDEX(Calc!$E:$E, MATCH("theta_max_deg", Calc!$C:$C, 0)))))</f>
        <v/>
      </c>
      <c r="D406" s="6" t="n"/>
      <c r="E406" s="6">
        <f>IF($C406="","", IF($D406="", $C406, $C406 - $D406/2))</f>
        <v/>
      </c>
      <c r="F406" s="6">
        <f>IF($C406="","", IF($D406="", $C406, $C406 + $D406/2))</f>
        <v/>
      </c>
      <c r="G406" s="6">
        <f>IF($E406="","", DEGREES(ATAN((INDEX(Calc!$E:$E, MATCH("KminusZ_m", Calc!$C:$C, 0)) - $E406 + $B406) / INDEX(Calc!$E:$E, MATCH("L_ramp_m", Calc!$C:$C, 0)))))</f>
        <v/>
      </c>
      <c r="H406" s="3">
        <f>IF($E406="","", IF(AND($E406&gt;=INDEX(Calc!$E:$E, MATCH("min_fwd_draft_m", Calc!$C:$C, 0)), $E406&lt;=INDEX(Calc!$E:$E, MATCH("max_fwd_draft_m", Calc!$C:$C, 0)), $G406&lt;=INDEX(Calc!$E:$E, MATCH("theta_max_deg", Calc!$C:$C, 0))), "OK", "CHECK"))</f>
        <v/>
      </c>
      <c r="I406" s="6">
        <f>IF($E406="","", INDEX(Calc!$E:$E, MATCH("D_vessel_m", Calc!$C:$C, 0)) - $E406 + $B406)</f>
        <v/>
      </c>
      <c r="J406" s="6">
        <f>IF($F406="","", INDEX(Calc!$E:$E, MATCH("D_vessel_m", Calc!$C:$C, 0)) - $F406 + $B406)</f>
        <v/>
      </c>
      <c r="K406" s="3">
        <f>IF(D406=0, "Even Keel", "")</f>
        <v/>
      </c>
    </row>
    <row r="407">
      <c r="A407" s="3">
        <f>IF(December_Tide_2025!A407="","",December_Tide_2025!A407)</f>
        <v/>
      </c>
      <c r="B407" s="6">
        <f>IF(December_Tide_2025!B407="","",December_Tide_2025!B407)</f>
        <v/>
      </c>
      <c r="C407" s="6">
        <f>IF($A407="","", INDEX(Calc!$E:$E, MATCH("KminusZ_m", Calc!$C:$C, 0)) + $B407 - INDEX(Calc!$E:$E, MATCH("L_ramp_m", Calc!$C:$C, 0)) * TAN(RADIANS(INDEX(Calc!$E:$E, MATCH("theta_max_deg", Calc!$C:$C, 0)))))</f>
        <v/>
      </c>
      <c r="D407" s="6" t="n"/>
      <c r="E407" s="6">
        <f>IF($C407="","", IF($D407="", $C407, $C407 - $D407/2))</f>
        <v/>
      </c>
      <c r="F407" s="6">
        <f>IF($C407="","", IF($D407="", $C407, $C407 + $D407/2))</f>
        <v/>
      </c>
      <c r="G407" s="6">
        <f>IF($E407="","", DEGREES(ATAN((INDEX(Calc!$E:$E, MATCH("KminusZ_m", Calc!$C:$C, 0)) - $E407 + $B407) / INDEX(Calc!$E:$E, MATCH("L_ramp_m", Calc!$C:$C, 0)))))</f>
        <v/>
      </c>
      <c r="H407" s="3">
        <f>IF($E407="","", IF(AND($E407&gt;=INDEX(Calc!$E:$E, MATCH("min_fwd_draft_m", Calc!$C:$C, 0)), $E407&lt;=INDEX(Calc!$E:$E, MATCH("max_fwd_draft_m", Calc!$C:$C, 0)), $G407&lt;=INDEX(Calc!$E:$E, MATCH("theta_max_deg", Calc!$C:$C, 0))), "OK", "CHECK"))</f>
        <v/>
      </c>
      <c r="I407" s="6">
        <f>IF($E407="","", INDEX(Calc!$E:$E, MATCH("D_vessel_m", Calc!$C:$C, 0)) - $E407 + $B407)</f>
        <v/>
      </c>
      <c r="J407" s="6">
        <f>IF($F407="","", INDEX(Calc!$E:$E, MATCH("D_vessel_m", Calc!$C:$C, 0)) - $F407 + $B407)</f>
        <v/>
      </c>
      <c r="K407" s="3">
        <f>IF(D407=0, "Even Keel", "")</f>
        <v/>
      </c>
    </row>
    <row r="408">
      <c r="A408" s="3">
        <f>IF(December_Tide_2025!A408="","",December_Tide_2025!A408)</f>
        <v/>
      </c>
      <c r="B408" s="6">
        <f>IF(December_Tide_2025!B408="","",December_Tide_2025!B408)</f>
        <v/>
      </c>
      <c r="C408" s="6">
        <f>IF($A408="","", INDEX(Calc!$E:$E, MATCH("KminusZ_m", Calc!$C:$C, 0)) + $B408 - INDEX(Calc!$E:$E, MATCH("L_ramp_m", Calc!$C:$C, 0)) * TAN(RADIANS(INDEX(Calc!$E:$E, MATCH("theta_max_deg", Calc!$C:$C, 0)))))</f>
        <v/>
      </c>
      <c r="D408" s="6" t="n"/>
      <c r="E408" s="6">
        <f>IF($C408="","", IF($D408="", $C408, $C408 - $D408/2))</f>
        <v/>
      </c>
      <c r="F408" s="6">
        <f>IF($C408="","", IF($D408="", $C408, $C408 + $D408/2))</f>
        <v/>
      </c>
      <c r="G408" s="6">
        <f>IF($E408="","", DEGREES(ATAN((INDEX(Calc!$E:$E, MATCH("KminusZ_m", Calc!$C:$C, 0)) - $E408 + $B408) / INDEX(Calc!$E:$E, MATCH("L_ramp_m", Calc!$C:$C, 0)))))</f>
        <v/>
      </c>
      <c r="H408" s="3">
        <f>IF($E408="","", IF(AND($E408&gt;=INDEX(Calc!$E:$E, MATCH("min_fwd_draft_m", Calc!$C:$C, 0)), $E408&lt;=INDEX(Calc!$E:$E, MATCH("max_fwd_draft_m", Calc!$C:$C, 0)), $G408&lt;=INDEX(Calc!$E:$E, MATCH("theta_max_deg", Calc!$C:$C, 0))), "OK", "CHECK"))</f>
        <v/>
      </c>
      <c r="I408" s="6">
        <f>IF($E408="","", INDEX(Calc!$E:$E, MATCH("D_vessel_m", Calc!$C:$C, 0)) - $E408 + $B408)</f>
        <v/>
      </c>
      <c r="J408" s="6">
        <f>IF($F408="","", INDEX(Calc!$E:$E, MATCH("D_vessel_m", Calc!$C:$C, 0)) - $F408 + $B408)</f>
        <v/>
      </c>
      <c r="K408" s="3">
        <f>IF(D408=0, "Even Keel", "")</f>
        <v/>
      </c>
    </row>
    <row r="409">
      <c r="A409" s="3">
        <f>IF(December_Tide_2025!A409="","",December_Tide_2025!A409)</f>
        <v/>
      </c>
      <c r="B409" s="6">
        <f>IF(December_Tide_2025!B409="","",December_Tide_2025!B409)</f>
        <v/>
      </c>
      <c r="C409" s="6">
        <f>IF($A409="","", INDEX(Calc!$E:$E, MATCH("KminusZ_m", Calc!$C:$C, 0)) + $B409 - INDEX(Calc!$E:$E, MATCH("L_ramp_m", Calc!$C:$C, 0)) * TAN(RADIANS(INDEX(Calc!$E:$E, MATCH("theta_max_deg", Calc!$C:$C, 0)))))</f>
        <v/>
      </c>
      <c r="D409" s="6" t="n"/>
      <c r="E409" s="6">
        <f>IF($C409="","", IF($D409="", $C409, $C409 - $D409/2))</f>
        <v/>
      </c>
      <c r="F409" s="6">
        <f>IF($C409="","", IF($D409="", $C409, $C409 + $D409/2))</f>
        <v/>
      </c>
      <c r="G409" s="6">
        <f>IF($E409="","", DEGREES(ATAN((INDEX(Calc!$E:$E, MATCH("KminusZ_m", Calc!$C:$C, 0)) - $E409 + $B409) / INDEX(Calc!$E:$E, MATCH("L_ramp_m", Calc!$C:$C, 0)))))</f>
        <v/>
      </c>
      <c r="H409" s="3">
        <f>IF($E409="","", IF(AND($E409&gt;=INDEX(Calc!$E:$E, MATCH("min_fwd_draft_m", Calc!$C:$C, 0)), $E409&lt;=INDEX(Calc!$E:$E, MATCH("max_fwd_draft_m", Calc!$C:$C, 0)), $G409&lt;=INDEX(Calc!$E:$E, MATCH("theta_max_deg", Calc!$C:$C, 0))), "OK", "CHECK"))</f>
        <v/>
      </c>
      <c r="I409" s="6">
        <f>IF($E409="","", INDEX(Calc!$E:$E, MATCH("D_vessel_m", Calc!$C:$C, 0)) - $E409 + $B409)</f>
        <v/>
      </c>
      <c r="J409" s="6">
        <f>IF($F409="","", INDEX(Calc!$E:$E, MATCH("D_vessel_m", Calc!$C:$C, 0)) - $F409 + $B409)</f>
        <v/>
      </c>
      <c r="K409" s="3">
        <f>IF(D409=0, "Even Keel", "")</f>
        <v/>
      </c>
    </row>
    <row r="410">
      <c r="A410" s="3">
        <f>IF(December_Tide_2025!A410="","",December_Tide_2025!A410)</f>
        <v/>
      </c>
      <c r="B410" s="6">
        <f>IF(December_Tide_2025!B410="","",December_Tide_2025!B410)</f>
        <v/>
      </c>
      <c r="C410" s="6">
        <f>IF($A410="","", INDEX(Calc!$E:$E, MATCH("KminusZ_m", Calc!$C:$C, 0)) + $B410 - INDEX(Calc!$E:$E, MATCH("L_ramp_m", Calc!$C:$C, 0)) * TAN(RADIANS(INDEX(Calc!$E:$E, MATCH("theta_max_deg", Calc!$C:$C, 0)))))</f>
        <v/>
      </c>
      <c r="D410" s="6" t="n"/>
      <c r="E410" s="6">
        <f>IF($C410="","", IF($D410="", $C410, $C410 - $D410/2))</f>
        <v/>
      </c>
      <c r="F410" s="6">
        <f>IF($C410="","", IF($D410="", $C410, $C410 + $D410/2))</f>
        <v/>
      </c>
      <c r="G410" s="6">
        <f>IF($E410="","", DEGREES(ATAN((INDEX(Calc!$E:$E, MATCH("KminusZ_m", Calc!$C:$C, 0)) - $E410 + $B410) / INDEX(Calc!$E:$E, MATCH("L_ramp_m", Calc!$C:$C, 0)))))</f>
        <v/>
      </c>
      <c r="H410" s="3">
        <f>IF($E410="","", IF(AND($E410&gt;=INDEX(Calc!$E:$E, MATCH("min_fwd_draft_m", Calc!$C:$C, 0)), $E410&lt;=INDEX(Calc!$E:$E, MATCH("max_fwd_draft_m", Calc!$C:$C, 0)), $G410&lt;=INDEX(Calc!$E:$E, MATCH("theta_max_deg", Calc!$C:$C, 0))), "OK", "CHECK"))</f>
        <v/>
      </c>
      <c r="I410" s="6">
        <f>IF($E410="","", INDEX(Calc!$E:$E, MATCH("D_vessel_m", Calc!$C:$C, 0)) - $E410 + $B410)</f>
        <v/>
      </c>
      <c r="J410" s="6">
        <f>IF($F410="","", INDEX(Calc!$E:$E, MATCH("D_vessel_m", Calc!$C:$C, 0)) - $F410 + $B410)</f>
        <v/>
      </c>
      <c r="K410" s="3">
        <f>IF(D410=0, "Even Keel", "")</f>
        <v/>
      </c>
    </row>
    <row r="411">
      <c r="A411" s="3">
        <f>IF(December_Tide_2025!A411="","",December_Tide_2025!A411)</f>
        <v/>
      </c>
      <c r="B411" s="6">
        <f>IF(December_Tide_2025!B411="","",December_Tide_2025!B411)</f>
        <v/>
      </c>
      <c r="C411" s="6">
        <f>IF($A411="","", INDEX(Calc!$E:$E, MATCH("KminusZ_m", Calc!$C:$C, 0)) + $B411 - INDEX(Calc!$E:$E, MATCH("L_ramp_m", Calc!$C:$C, 0)) * TAN(RADIANS(INDEX(Calc!$E:$E, MATCH("theta_max_deg", Calc!$C:$C, 0)))))</f>
        <v/>
      </c>
      <c r="D411" s="6" t="n"/>
      <c r="E411" s="6">
        <f>IF($C411="","", IF($D411="", $C411, $C411 - $D411/2))</f>
        <v/>
      </c>
      <c r="F411" s="6">
        <f>IF($C411="","", IF($D411="", $C411, $C411 + $D411/2))</f>
        <v/>
      </c>
      <c r="G411" s="6">
        <f>IF($E411="","", DEGREES(ATAN((INDEX(Calc!$E:$E, MATCH("KminusZ_m", Calc!$C:$C, 0)) - $E411 + $B411) / INDEX(Calc!$E:$E, MATCH("L_ramp_m", Calc!$C:$C, 0)))))</f>
        <v/>
      </c>
      <c r="H411" s="3">
        <f>IF($E411="","", IF(AND($E411&gt;=INDEX(Calc!$E:$E, MATCH("min_fwd_draft_m", Calc!$C:$C, 0)), $E411&lt;=INDEX(Calc!$E:$E, MATCH("max_fwd_draft_m", Calc!$C:$C, 0)), $G411&lt;=INDEX(Calc!$E:$E, MATCH("theta_max_deg", Calc!$C:$C, 0))), "OK", "CHECK"))</f>
        <v/>
      </c>
      <c r="I411" s="6">
        <f>IF($E411="","", INDEX(Calc!$E:$E, MATCH("D_vessel_m", Calc!$C:$C, 0)) - $E411 + $B411)</f>
        <v/>
      </c>
      <c r="J411" s="6">
        <f>IF($F411="","", INDEX(Calc!$E:$E, MATCH("D_vessel_m", Calc!$C:$C, 0)) - $F411 + $B411)</f>
        <v/>
      </c>
      <c r="K411" s="3">
        <f>IF(D411=0, "Even Keel", "")</f>
        <v/>
      </c>
    </row>
    <row r="412">
      <c r="A412" s="3">
        <f>IF(December_Tide_2025!A412="","",December_Tide_2025!A412)</f>
        <v/>
      </c>
      <c r="B412" s="6">
        <f>IF(December_Tide_2025!B412="","",December_Tide_2025!B412)</f>
        <v/>
      </c>
      <c r="C412" s="6">
        <f>IF($A412="","", INDEX(Calc!$E:$E, MATCH("KminusZ_m", Calc!$C:$C, 0)) + $B412 - INDEX(Calc!$E:$E, MATCH("L_ramp_m", Calc!$C:$C, 0)) * TAN(RADIANS(INDEX(Calc!$E:$E, MATCH("theta_max_deg", Calc!$C:$C, 0)))))</f>
        <v/>
      </c>
      <c r="D412" s="6" t="n"/>
      <c r="E412" s="6">
        <f>IF($C412="","", IF($D412="", $C412, $C412 - $D412/2))</f>
        <v/>
      </c>
      <c r="F412" s="6">
        <f>IF($C412="","", IF($D412="", $C412, $C412 + $D412/2))</f>
        <v/>
      </c>
      <c r="G412" s="6">
        <f>IF($E412="","", DEGREES(ATAN((INDEX(Calc!$E:$E, MATCH("KminusZ_m", Calc!$C:$C, 0)) - $E412 + $B412) / INDEX(Calc!$E:$E, MATCH("L_ramp_m", Calc!$C:$C, 0)))))</f>
        <v/>
      </c>
      <c r="H412" s="3">
        <f>IF($E412="","", IF(AND($E412&gt;=INDEX(Calc!$E:$E, MATCH("min_fwd_draft_m", Calc!$C:$C, 0)), $E412&lt;=INDEX(Calc!$E:$E, MATCH("max_fwd_draft_m", Calc!$C:$C, 0)), $G412&lt;=INDEX(Calc!$E:$E, MATCH("theta_max_deg", Calc!$C:$C, 0))), "OK", "CHECK"))</f>
        <v/>
      </c>
      <c r="I412" s="6">
        <f>IF($E412="","", INDEX(Calc!$E:$E, MATCH("D_vessel_m", Calc!$C:$C, 0)) - $E412 + $B412)</f>
        <v/>
      </c>
      <c r="J412" s="6">
        <f>IF($F412="","", INDEX(Calc!$E:$E, MATCH("D_vessel_m", Calc!$C:$C, 0)) - $F412 + $B412)</f>
        <v/>
      </c>
      <c r="K412" s="3">
        <f>IF(D412=0, "Even Keel", "")</f>
        <v/>
      </c>
    </row>
    <row r="413">
      <c r="A413" s="3">
        <f>IF(December_Tide_2025!A413="","",December_Tide_2025!A413)</f>
        <v/>
      </c>
      <c r="B413" s="6">
        <f>IF(December_Tide_2025!B413="","",December_Tide_2025!B413)</f>
        <v/>
      </c>
      <c r="C413" s="6">
        <f>IF($A413="","", INDEX(Calc!$E:$E, MATCH("KminusZ_m", Calc!$C:$C, 0)) + $B413 - INDEX(Calc!$E:$E, MATCH("L_ramp_m", Calc!$C:$C, 0)) * TAN(RADIANS(INDEX(Calc!$E:$E, MATCH("theta_max_deg", Calc!$C:$C, 0)))))</f>
        <v/>
      </c>
      <c r="D413" s="6" t="n"/>
      <c r="E413" s="6">
        <f>IF($C413="","", IF($D413="", $C413, $C413 - $D413/2))</f>
        <v/>
      </c>
      <c r="F413" s="6">
        <f>IF($C413="","", IF($D413="", $C413, $C413 + $D413/2))</f>
        <v/>
      </c>
      <c r="G413" s="6">
        <f>IF($E413="","", DEGREES(ATAN((INDEX(Calc!$E:$E, MATCH("KminusZ_m", Calc!$C:$C, 0)) - $E413 + $B413) / INDEX(Calc!$E:$E, MATCH("L_ramp_m", Calc!$C:$C, 0)))))</f>
        <v/>
      </c>
      <c r="H413" s="3">
        <f>IF($E413="","", IF(AND($E413&gt;=INDEX(Calc!$E:$E, MATCH("min_fwd_draft_m", Calc!$C:$C, 0)), $E413&lt;=INDEX(Calc!$E:$E, MATCH("max_fwd_draft_m", Calc!$C:$C, 0)), $G413&lt;=INDEX(Calc!$E:$E, MATCH("theta_max_deg", Calc!$C:$C, 0))), "OK", "CHECK"))</f>
        <v/>
      </c>
      <c r="I413" s="6">
        <f>IF($E413="","", INDEX(Calc!$E:$E, MATCH("D_vessel_m", Calc!$C:$C, 0)) - $E413 + $B413)</f>
        <v/>
      </c>
      <c r="J413" s="6">
        <f>IF($F413="","", INDEX(Calc!$E:$E, MATCH("D_vessel_m", Calc!$C:$C, 0)) - $F413 + $B413)</f>
        <v/>
      </c>
      <c r="K413" s="3">
        <f>IF(D413=0, "Even Keel", "")</f>
        <v/>
      </c>
    </row>
    <row r="414">
      <c r="A414" s="3">
        <f>IF(December_Tide_2025!A414="","",December_Tide_2025!A414)</f>
        <v/>
      </c>
      <c r="B414" s="6">
        <f>IF(December_Tide_2025!B414="","",December_Tide_2025!B414)</f>
        <v/>
      </c>
      <c r="C414" s="6">
        <f>IF($A414="","", INDEX(Calc!$E:$E, MATCH("KminusZ_m", Calc!$C:$C, 0)) + $B414 - INDEX(Calc!$E:$E, MATCH("L_ramp_m", Calc!$C:$C, 0)) * TAN(RADIANS(INDEX(Calc!$E:$E, MATCH("theta_max_deg", Calc!$C:$C, 0)))))</f>
        <v/>
      </c>
      <c r="D414" s="6" t="n"/>
      <c r="E414" s="6">
        <f>IF($C414="","", IF($D414="", $C414, $C414 - $D414/2))</f>
        <v/>
      </c>
      <c r="F414" s="6">
        <f>IF($C414="","", IF($D414="", $C414, $C414 + $D414/2))</f>
        <v/>
      </c>
      <c r="G414" s="6">
        <f>IF($E414="","", DEGREES(ATAN((INDEX(Calc!$E:$E, MATCH("KminusZ_m", Calc!$C:$C, 0)) - $E414 + $B414) / INDEX(Calc!$E:$E, MATCH("L_ramp_m", Calc!$C:$C, 0)))))</f>
        <v/>
      </c>
      <c r="H414" s="3">
        <f>IF($E414="","", IF(AND($E414&gt;=INDEX(Calc!$E:$E, MATCH("min_fwd_draft_m", Calc!$C:$C, 0)), $E414&lt;=INDEX(Calc!$E:$E, MATCH("max_fwd_draft_m", Calc!$C:$C, 0)), $G414&lt;=INDEX(Calc!$E:$E, MATCH("theta_max_deg", Calc!$C:$C, 0))), "OK", "CHECK"))</f>
        <v/>
      </c>
      <c r="I414" s="6">
        <f>IF($E414="","", INDEX(Calc!$E:$E, MATCH("D_vessel_m", Calc!$C:$C, 0)) - $E414 + $B414)</f>
        <v/>
      </c>
      <c r="J414" s="6">
        <f>IF($F414="","", INDEX(Calc!$E:$E, MATCH("D_vessel_m", Calc!$C:$C, 0)) - $F414 + $B414)</f>
        <v/>
      </c>
      <c r="K414" s="3">
        <f>IF(D414=0, "Even Keel", "")</f>
        <v/>
      </c>
    </row>
    <row r="415">
      <c r="A415" s="3">
        <f>IF(December_Tide_2025!A415="","",December_Tide_2025!A415)</f>
        <v/>
      </c>
      <c r="B415" s="6">
        <f>IF(December_Tide_2025!B415="","",December_Tide_2025!B415)</f>
        <v/>
      </c>
      <c r="C415" s="6">
        <f>IF($A415="","", INDEX(Calc!$E:$E, MATCH("KminusZ_m", Calc!$C:$C, 0)) + $B415 - INDEX(Calc!$E:$E, MATCH("L_ramp_m", Calc!$C:$C, 0)) * TAN(RADIANS(INDEX(Calc!$E:$E, MATCH("theta_max_deg", Calc!$C:$C, 0)))))</f>
        <v/>
      </c>
      <c r="D415" s="6" t="n"/>
      <c r="E415" s="6">
        <f>IF($C415="","", IF($D415="", $C415, $C415 - $D415/2))</f>
        <v/>
      </c>
      <c r="F415" s="6">
        <f>IF($C415="","", IF($D415="", $C415, $C415 + $D415/2))</f>
        <v/>
      </c>
      <c r="G415" s="6">
        <f>IF($E415="","", DEGREES(ATAN((INDEX(Calc!$E:$E, MATCH("KminusZ_m", Calc!$C:$C, 0)) - $E415 + $B415) / INDEX(Calc!$E:$E, MATCH("L_ramp_m", Calc!$C:$C, 0)))))</f>
        <v/>
      </c>
      <c r="H415" s="3">
        <f>IF($E415="","", IF(AND($E415&gt;=INDEX(Calc!$E:$E, MATCH("min_fwd_draft_m", Calc!$C:$C, 0)), $E415&lt;=INDEX(Calc!$E:$E, MATCH("max_fwd_draft_m", Calc!$C:$C, 0)), $G415&lt;=INDEX(Calc!$E:$E, MATCH("theta_max_deg", Calc!$C:$C, 0))), "OK", "CHECK"))</f>
        <v/>
      </c>
      <c r="I415" s="6">
        <f>IF($E415="","", INDEX(Calc!$E:$E, MATCH("D_vessel_m", Calc!$C:$C, 0)) - $E415 + $B415)</f>
        <v/>
      </c>
      <c r="J415" s="6">
        <f>IF($F415="","", INDEX(Calc!$E:$E, MATCH("D_vessel_m", Calc!$C:$C, 0)) - $F415 + $B415)</f>
        <v/>
      </c>
      <c r="K415" s="3">
        <f>IF(D415=0, "Even Keel", "")</f>
        <v/>
      </c>
    </row>
    <row r="416">
      <c r="A416" s="3">
        <f>IF(December_Tide_2025!A416="","",December_Tide_2025!A416)</f>
        <v/>
      </c>
      <c r="B416" s="6">
        <f>IF(December_Tide_2025!B416="","",December_Tide_2025!B416)</f>
        <v/>
      </c>
      <c r="C416" s="6">
        <f>IF($A416="","", INDEX(Calc!$E:$E, MATCH("KminusZ_m", Calc!$C:$C, 0)) + $B416 - INDEX(Calc!$E:$E, MATCH("L_ramp_m", Calc!$C:$C, 0)) * TAN(RADIANS(INDEX(Calc!$E:$E, MATCH("theta_max_deg", Calc!$C:$C, 0)))))</f>
        <v/>
      </c>
      <c r="D416" s="6" t="n"/>
      <c r="E416" s="6">
        <f>IF($C416="","", IF($D416="", $C416, $C416 - $D416/2))</f>
        <v/>
      </c>
      <c r="F416" s="6">
        <f>IF($C416="","", IF($D416="", $C416, $C416 + $D416/2))</f>
        <v/>
      </c>
      <c r="G416" s="6">
        <f>IF($E416="","", DEGREES(ATAN((INDEX(Calc!$E:$E, MATCH("KminusZ_m", Calc!$C:$C, 0)) - $E416 + $B416) / INDEX(Calc!$E:$E, MATCH("L_ramp_m", Calc!$C:$C, 0)))))</f>
        <v/>
      </c>
      <c r="H416" s="3">
        <f>IF($E416="","", IF(AND($E416&gt;=INDEX(Calc!$E:$E, MATCH("min_fwd_draft_m", Calc!$C:$C, 0)), $E416&lt;=INDEX(Calc!$E:$E, MATCH("max_fwd_draft_m", Calc!$C:$C, 0)), $G416&lt;=INDEX(Calc!$E:$E, MATCH("theta_max_deg", Calc!$C:$C, 0))), "OK", "CHECK"))</f>
        <v/>
      </c>
      <c r="I416" s="6">
        <f>IF($E416="","", INDEX(Calc!$E:$E, MATCH("D_vessel_m", Calc!$C:$C, 0)) - $E416 + $B416)</f>
        <v/>
      </c>
      <c r="J416" s="6">
        <f>IF($F416="","", INDEX(Calc!$E:$E, MATCH("D_vessel_m", Calc!$C:$C, 0)) - $F416 + $B416)</f>
        <v/>
      </c>
      <c r="K416" s="3">
        <f>IF(D416=0, "Even Keel", "")</f>
        <v/>
      </c>
    </row>
    <row r="417">
      <c r="A417" s="3">
        <f>IF(December_Tide_2025!A417="","",December_Tide_2025!A417)</f>
        <v/>
      </c>
      <c r="B417" s="6">
        <f>IF(December_Tide_2025!B417="","",December_Tide_2025!B417)</f>
        <v/>
      </c>
      <c r="C417" s="6">
        <f>IF($A417="","", INDEX(Calc!$E:$E, MATCH("KminusZ_m", Calc!$C:$C, 0)) + $B417 - INDEX(Calc!$E:$E, MATCH("L_ramp_m", Calc!$C:$C, 0)) * TAN(RADIANS(INDEX(Calc!$E:$E, MATCH("theta_max_deg", Calc!$C:$C, 0)))))</f>
        <v/>
      </c>
      <c r="D417" s="6" t="n"/>
      <c r="E417" s="6">
        <f>IF($C417="","", IF($D417="", $C417, $C417 - $D417/2))</f>
        <v/>
      </c>
      <c r="F417" s="6">
        <f>IF($C417="","", IF($D417="", $C417, $C417 + $D417/2))</f>
        <v/>
      </c>
      <c r="G417" s="6">
        <f>IF($E417="","", DEGREES(ATAN((INDEX(Calc!$E:$E, MATCH("KminusZ_m", Calc!$C:$C, 0)) - $E417 + $B417) / INDEX(Calc!$E:$E, MATCH("L_ramp_m", Calc!$C:$C, 0)))))</f>
        <v/>
      </c>
      <c r="H417" s="3">
        <f>IF($E417="","", IF(AND($E417&gt;=INDEX(Calc!$E:$E, MATCH("min_fwd_draft_m", Calc!$C:$C, 0)), $E417&lt;=INDEX(Calc!$E:$E, MATCH("max_fwd_draft_m", Calc!$C:$C, 0)), $G417&lt;=INDEX(Calc!$E:$E, MATCH("theta_max_deg", Calc!$C:$C, 0))), "OK", "CHECK"))</f>
        <v/>
      </c>
      <c r="I417" s="6">
        <f>IF($E417="","", INDEX(Calc!$E:$E, MATCH("D_vessel_m", Calc!$C:$C, 0)) - $E417 + $B417)</f>
        <v/>
      </c>
      <c r="J417" s="6">
        <f>IF($F417="","", INDEX(Calc!$E:$E, MATCH("D_vessel_m", Calc!$C:$C, 0)) - $F417 + $B417)</f>
        <v/>
      </c>
      <c r="K417" s="3">
        <f>IF(D417=0, "Even Keel", "")</f>
        <v/>
      </c>
    </row>
    <row r="418">
      <c r="A418" s="3">
        <f>IF(December_Tide_2025!A418="","",December_Tide_2025!A418)</f>
        <v/>
      </c>
      <c r="B418" s="6">
        <f>IF(December_Tide_2025!B418="","",December_Tide_2025!B418)</f>
        <v/>
      </c>
      <c r="C418" s="6">
        <f>IF($A418="","", INDEX(Calc!$E:$E, MATCH("KminusZ_m", Calc!$C:$C, 0)) + $B418 - INDEX(Calc!$E:$E, MATCH("L_ramp_m", Calc!$C:$C, 0)) * TAN(RADIANS(INDEX(Calc!$E:$E, MATCH("theta_max_deg", Calc!$C:$C, 0)))))</f>
        <v/>
      </c>
      <c r="D418" s="6" t="n"/>
      <c r="E418" s="6">
        <f>IF($C418="","", IF($D418="", $C418, $C418 - $D418/2))</f>
        <v/>
      </c>
      <c r="F418" s="6">
        <f>IF($C418="","", IF($D418="", $C418, $C418 + $D418/2))</f>
        <v/>
      </c>
      <c r="G418" s="6">
        <f>IF($E418="","", DEGREES(ATAN((INDEX(Calc!$E:$E, MATCH("KminusZ_m", Calc!$C:$C, 0)) - $E418 + $B418) / INDEX(Calc!$E:$E, MATCH("L_ramp_m", Calc!$C:$C, 0)))))</f>
        <v/>
      </c>
      <c r="H418" s="3">
        <f>IF($E418="","", IF(AND($E418&gt;=INDEX(Calc!$E:$E, MATCH("min_fwd_draft_m", Calc!$C:$C, 0)), $E418&lt;=INDEX(Calc!$E:$E, MATCH("max_fwd_draft_m", Calc!$C:$C, 0)), $G418&lt;=INDEX(Calc!$E:$E, MATCH("theta_max_deg", Calc!$C:$C, 0))), "OK", "CHECK"))</f>
        <v/>
      </c>
      <c r="I418" s="6">
        <f>IF($E418="","", INDEX(Calc!$E:$E, MATCH("D_vessel_m", Calc!$C:$C, 0)) - $E418 + $B418)</f>
        <v/>
      </c>
      <c r="J418" s="6">
        <f>IF($F418="","", INDEX(Calc!$E:$E, MATCH("D_vessel_m", Calc!$C:$C, 0)) - $F418 + $B418)</f>
        <v/>
      </c>
      <c r="K418" s="3">
        <f>IF(D418=0, "Even Keel", "")</f>
        <v/>
      </c>
    </row>
    <row r="419">
      <c r="A419" s="3">
        <f>IF(December_Tide_2025!A419="","",December_Tide_2025!A419)</f>
        <v/>
      </c>
      <c r="B419" s="6">
        <f>IF(December_Tide_2025!B419="","",December_Tide_2025!B419)</f>
        <v/>
      </c>
      <c r="C419" s="6">
        <f>IF($A419="","", INDEX(Calc!$E:$E, MATCH("KminusZ_m", Calc!$C:$C, 0)) + $B419 - INDEX(Calc!$E:$E, MATCH("L_ramp_m", Calc!$C:$C, 0)) * TAN(RADIANS(INDEX(Calc!$E:$E, MATCH("theta_max_deg", Calc!$C:$C, 0)))))</f>
        <v/>
      </c>
      <c r="D419" s="6" t="n"/>
      <c r="E419" s="6">
        <f>IF($C419="","", IF($D419="", $C419, $C419 - $D419/2))</f>
        <v/>
      </c>
      <c r="F419" s="6">
        <f>IF($C419="","", IF($D419="", $C419, $C419 + $D419/2))</f>
        <v/>
      </c>
      <c r="G419" s="6">
        <f>IF($E419="","", DEGREES(ATAN((INDEX(Calc!$E:$E, MATCH("KminusZ_m", Calc!$C:$C, 0)) - $E419 + $B419) / INDEX(Calc!$E:$E, MATCH("L_ramp_m", Calc!$C:$C, 0)))))</f>
        <v/>
      </c>
      <c r="H419" s="3">
        <f>IF($E419="","", IF(AND($E419&gt;=INDEX(Calc!$E:$E, MATCH("min_fwd_draft_m", Calc!$C:$C, 0)), $E419&lt;=INDEX(Calc!$E:$E, MATCH("max_fwd_draft_m", Calc!$C:$C, 0)), $G419&lt;=INDEX(Calc!$E:$E, MATCH("theta_max_deg", Calc!$C:$C, 0))), "OK", "CHECK"))</f>
        <v/>
      </c>
      <c r="I419" s="6">
        <f>IF($E419="","", INDEX(Calc!$E:$E, MATCH("D_vessel_m", Calc!$C:$C, 0)) - $E419 + $B419)</f>
        <v/>
      </c>
      <c r="J419" s="6">
        <f>IF($F419="","", INDEX(Calc!$E:$E, MATCH("D_vessel_m", Calc!$C:$C, 0)) - $F419 + $B419)</f>
        <v/>
      </c>
      <c r="K419" s="3">
        <f>IF(D419=0, "Even Keel", "")</f>
        <v/>
      </c>
    </row>
    <row r="420">
      <c r="A420" s="3">
        <f>IF(December_Tide_2025!A420="","",December_Tide_2025!A420)</f>
        <v/>
      </c>
      <c r="B420" s="6">
        <f>IF(December_Tide_2025!B420="","",December_Tide_2025!B420)</f>
        <v/>
      </c>
      <c r="C420" s="6">
        <f>IF($A420="","", INDEX(Calc!$E:$E, MATCH("KminusZ_m", Calc!$C:$C, 0)) + $B420 - INDEX(Calc!$E:$E, MATCH("L_ramp_m", Calc!$C:$C, 0)) * TAN(RADIANS(INDEX(Calc!$E:$E, MATCH("theta_max_deg", Calc!$C:$C, 0)))))</f>
        <v/>
      </c>
      <c r="D420" s="6" t="n"/>
      <c r="E420" s="6">
        <f>IF($C420="","", IF($D420="", $C420, $C420 - $D420/2))</f>
        <v/>
      </c>
      <c r="F420" s="6">
        <f>IF($C420="","", IF($D420="", $C420, $C420 + $D420/2))</f>
        <v/>
      </c>
      <c r="G420" s="6">
        <f>IF($E420="","", DEGREES(ATAN((INDEX(Calc!$E:$E, MATCH("KminusZ_m", Calc!$C:$C, 0)) - $E420 + $B420) / INDEX(Calc!$E:$E, MATCH("L_ramp_m", Calc!$C:$C, 0)))))</f>
        <v/>
      </c>
      <c r="H420" s="3">
        <f>IF($E420="","", IF(AND($E420&gt;=INDEX(Calc!$E:$E, MATCH("min_fwd_draft_m", Calc!$C:$C, 0)), $E420&lt;=INDEX(Calc!$E:$E, MATCH("max_fwd_draft_m", Calc!$C:$C, 0)), $G420&lt;=INDEX(Calc!$E:$E, MATCH("theta_max_deg", Calc!$C:$C, 0))), "OK", "CHECK"))</f>
        <v/>
      </c>
      <c r="I420" s="6">
        <f>IF($E420="","", INDEX(Calc!$E:$E, MATCH("D_vessel_m", Calc!$C:$C, 0)) - $E420 + $B420)</f>
        <v/>
      </c>
      <c r="J420" s="6">
        <f>IF($F420="","", INDEX(Calc!$E:$E, MATCH("D_vessel_m", Calc!$C:$C, 0)) - $F420 + $B420)</f>
        <v/>
      </c>
      <c r="K420" s="3">
        <f>IF(D420=0, "Even Keel", "")</f>
        <v/>
      </c>
    </row>
    <row r="421">
      <c r="A421" s="3">
        <f>IF(December_Tide_2025!A421="","",December_Tide_2025!A421)</f>
        <v/>
      </c>
      <c r="B421" s="6">
        <f>IF(December_Tide_2025!B421="","",December_Tide_2025!B421)</f>
        <v/>
      </c>
      <c r="C421" s="6">
        <f>IF($A421="","", INDEX(Calc!$E:$E, MATCH("KminusZ_m", Calc!$C:$C, 0)) + $B421 - INDEX(Calc!$E:$E, MATCH("L_ramp_m", Calc!$C:$C, 0)) * TAN(RADIANS(INDEX(Calc!$E:$E, MATCH("theta_max_deg", Calc!$C:$C, 0)))))</f>
        <v/>
      </c>
      <c r="D421" s="6" t="n"/>
      <c r="E421" s="6">
        <f>IF($C421="","", IF($D421="", $C421, $C421 - $D421/2))</f>
        <v/>
      </c>
      <c r="F421" s="6">
        <f>IF($C421="","", IF($D421="", $C421, $C421 + $D421/2))</f>
        <v/>
      </c>
      <c r="G421" s="6">
        <f>IF($E421="","", DEGREES(ATAN((INDEX(Calc!$E:$E, MATCH("KminusZ_m", Calc!$C:$C, 0)) - $E421 + $B421) / INDEX(Calc!$E:$E, MATCH("L_ramp_m", Calc!$C:$C, 0)))))</f>
        <v/>
      </c>
      <c r="H421" s="3">
        <f>IF($E421="","", IF(AND($E421&gt;=INDEX(Calc!$E:$E, MATCH("min_fwd_draft_m", Calc!$C:$C, 0)), $E421&lt;=INDEX(Calc!$E:$E, MATCH("max_fwd_draft_m", Calc!$C:$C, 0)), $G421&lt;=INDEX(Calc!$E:$E, MATCH("theta_max_deg", Calc!$C:$C, 0))), "OK", "CHECK"))</f>
        <v/>
      </c>
      <c r="I421" s="6">
        <f>IF($E421="","", INDEX(Calc!$E:$E, MATCH("D_vessel_m", Calc!$C:$C, 0)) - $E421 + $B421)</f>
        <v/>
      </c>
      <c r="J421" s="6">
        <f>IF($F421="","", INDEX(Calc!$E:$E, MATCH("D_vessel_m", Calc!$C:$C, 0)) - $F421 + $B421)</f>
        <v/>
      </c>
      <c r="K421" s="3">
        <f>IF(D421=0, "Even Keel", "")</f>
        <v/>
      </c>
    </row>
    <row r="422">
      <c r="A422" s="3">
        <f>IF(December_Tide_2025!A422="","",December_Tide_2025!A422)</f>
        <v/>
      </c>
      <c r="B422" s="6">
        <f>IF(December_Tide_2025!B422="","",December_Tide_2025!B422)</f>
        <v/>
      </c>
      <c r="C422" s="6">
        <f>IF($A422="","", INDEX(Calc!$E:$E, MATCH("KminusZ_m", Calc!$C:$C, 0)) + $B422 - INDEX(Calc!$E:$E, MATCH("L_ramp_m", Calc!$C:$C, 0)) * TAN(RADIANS(INDEX(Calc!$E:$E, MATCH("theta_max_deg", Calc!$C:$C, 0)))))</f>
        <v/>
      </c>
      <c r="D422" s="6" t="n"/>
      <c r="E422" s="6">
        <f>IF($C422="","", IF($D422="", $C422, $C422 - $D422/2))</f>
        <v/>
      </c>
      <c r="F422" s="6">
        <f>IF($C422="","", IF($D422="", $C422, $C422 + $D422/2))</f>
        <v/>
      </c>
      <c r="G422" s="6">
        <f>IF($E422="","", DEGREES(ATAN((INDEX(Calc!$E:$E, MATCH("KminusZ_m", Calc!$C:$C, 0)) - $E422 + $B422) / INDEX(Calc!$E:$E, MATCH("L_ramp_m", Calc!$C:$C, 0)))))</f>
        <v/>
      </c>
      <c r="H422" s="3">
        <f>IF($E422="","", IF(AND($E422&gt;=INDEX(Calc!$E:$E, MATCH("min_fwd_draft_m", Calc!$C:$C, 0)), $E422&lt;=INDEX(Calc!$E:$E, MATCH("max_fwd_draft_m", Calc!$C:$C, 0)), $G422&lt;=INDEX(Calc!$E:$E, MATCH("theta_max_deg", Calc!$C:$C, 0))), "OK", "CHECK"))</f>
        <v/>
      </c>
      <c r="I422" s="6">
        <f>IF($E422="","", INDEX(Calc!$E:$E, MATCH("D_vessel_m", Calc!$C:$C, 0)) - $E422 + $B422)</f>
        <v/>
      </c>
      <c r="J422" s="6">
        <f>IF($F422="","", INDEX(Calc!$E:$E, MATCH("D_vessel_m", Calc!$C:$C, 0)) - $F422 + $B422)</f>
        <v/>
      </c>
      <c r="K422" s="3">
        <f>IF(D422=0, "Even Keel", "")</f>
        <v/>
      </c>
    </row>
    <row r="423">
      <c r="A423" s="3">
        <f>IF(December_Tide_2025!A423="","",December_Tide_2025!A423)</f>
        <v/>
      </c>
      <c r="B423" s="6">
        <f>IF(December_Tide_2025!B423="","",December_Tide_2025!B423)</f>
        <v/>
      </c>
      <c r="C423" s="6">
        <f>IF($A423="","", INDEX(Calc!$E:$E, MATCH("KminusZ_m", Calc!$C:$C, 0)) + $B423 - INDEX(Calc!$E:$E, MATCH("L_ramp_m", Calc!$C:$C, 0)) * TAN(RADIANS(INDEX(Calc!$E:$E, MATCH("theta_max_deg", Calc!$C:$C, 0)))))</f>
        <v/>
      </c>
      <c r="D423" s="6" t="n"/>
      <c r="E423" s="6">
        <f>IF($C423="","", IF($D423="", $C423, $C423 - $D423/2))</f>
        <v/>
      </c>
      <c r="F423" s="6">
        <f>IF($C423="","", IF($D423="", $C423, $C423 + $D423/2))</f>
        <v/>
      </c>
      <c r="G423" s="6">
        <f>IF($E423="","", DEGREES(ATAN((INDEX(Calc!$E:$E, MATCH("KminusZ_m", Calc!$C:$C, 0)) - $E423 + $B423) / INDEX(Calc!$E:$E, MATCH("L_ramp_m", Calc!$C:$C, 0)))))</f>
        <v/>
      </c>
      <c r="H423" s="3">
        <f>IF($E423="","", IF(AND($E423&gt;=INDEX(Calc!$E:$E, MATCH("min_fwd_draft_m", Calc!$C:$C, 0)), $E423&lt;=INDEX(Calc!$E:$E, MATCH("max_fwd_draft_m", Calc!$C:$C, 0)), $G423&lt;=INDEX(Calc!$E:$E, MATCH("theta_max_deg", Calc!$C:$C, 0))), "OK", "CHECK"))</f>
        <v/>
      </c>
      <c r="I423" s="6">
        <f>IF($E423="","", INDEX(Calc!$E:$E, MATCH("D_vessel_m", Calc!$C:$C, 0)) - $E423 + $B423)</f>
        <v/>
      </c>
      <c r="J423" s="6">
        <f>IF($F423="","", INDEX(Calc!$E:$E, MATCH("D_vessel_m", Calc!$C:$C, 0)) - $F423 + $B423)</f>
        <v/>
      </c>
      <c r="K423" s="3">
        <f>IF(D423=0, "Even Keel", "")</f>
        <v/>
      </c>
    </row>
    <row r="424">
      <c r="A424" s="3">
        <f>IF(December_Tide_2025!A424="","",December_Tide_2025!A424)</f>
        <v/>
      </c>
      <c r="B424" s="6">
        <f>IF(December_Tide_2025!B424="","",December_Tide_2025!B424)</f>
        <v/>
      </c>
      <c r="C424" s="6">
        <f>IF($A424="","", INDEX(Calc!$E:$E, MATCH("KminusZ_m", Calc!$C:$C, 0)) + $B424 - INDEX(Calc!$E:$E, MATCH("L_ramp_m", Calc!$C:$C, 0)) * TAN(RADIANS(INDEX(Calc!$E:$E, MATCH("theta_max_deg", Calc!$C:$C, 0)))))</f>
        <v/>
      </c>
      <c r="D424" s="6" t="n"/>
      <c r="E424" s="6">
        <f>IF($C424="","", IF($D424="", $C424, $C424 - $D424/2))</f>
        <v/>
      </c>
      <c r="F424" s="6">
        <f>IF($C424="","", IF($D424="", $C424, $C424 + $D424/2))</f>
        <v/>
      </c>
      <c r="G424" s="6">
        <f>IF($E424="","", DEGREES(ATAN((INDEX(Calc!$E:$E, MATCH("KminusZ_m", Calc!$C:$C, 0)) - $E424 + $B424) / INDEX(Calc!$E:$E, MATCH("L_ramp_m", Calc!$C:$C, 0)))))</f>
        <v/>
      </c>
      <c r="H424" s="3">
        <f>IF($E424="","", IF(AND($E424&gt;=INDEX(Calc!$E:$E, MATCH("min_fwd_draft_m", Calc!$C:$C, 0)), $E424&lt;=INDEX(Calc!$E:$E, MATCH("max_fwd_draft_m", Calc!$C:$C, 0)), $G424&lt;=INDEX(Calc!$E:$E, MATCH("theta_max_deg", Calc!$C:$C, 0))), "OK", "CHECK"))</f>
        <v/>
      </c>
      <c r="I424" s="6">
        <f>IF($E424="","", INDEX(Calc!$E:$E, MATCH("D_vessel_m", Calc!$C:$C, 0)) - $E424 + $B424)</f>
        <v/>
      </c>
      <c r="J424" s="6">
        <f>IF($F424="","", INDEX(Calc!$E:$E, MATCH("D_vessel_m", Calc!$C:$C, 0)) - $F424 + $B424)</f>
        <v/>
      </c>
      <c r="K424" s="3">
        <f>IF(D424=0, "Even Keel", "")</f>
        <v/>
      </c>
    </row>
    <row r="425">
      <c r="A425" s="3">
        <f>IF(December_Tide_2025!A425="","",December_Tide_2025!A425)</f>
        <v/>
      </c>
      <c r="B425" s="6">
        <f>IF(December_Tide_2025!B425="","",December_Tide_2025!B425)</f>
        <v/>
      </c>
      <c r="C425" s="6">
        <f>IF($A425="","", INDEX(Calc!$E:$E, MATCH("KminusZ_m", Calc!$C:$C, 0)) + $B425 - INDEX(Calc!$E:$E, MATCH("L_ramp_m", Calc!$C:$C, 0)) * TAN(RADIANS(INDEX(Calc!$E:$E, MATCH("theta_max_deg", Calc!$C:$C, 0)))))</f>
        <v/>
      </c>
      <c r="D425" s="6" t="n"/>
      <c r="E425" s="6">
        <f>IF($C425="","", IF($D425="", $C425, $C425 - $D425/2))</f>
        <v/>
      </c>
      <c r="F425" s="6">
        <f>IF($C425="","", IF($D425="", $C425, $C425 + $D425/2))</f>
        <v/>
      </c>
      <c r="G425" s="6">
        <f>IF($E425="","", DEGREES(ATAN((INDEX(Calc!$E:$E, MATCH("KminusZ_m", Calc!$C:$C, 0)) - $E425 + $B425) / INDEX(Calc!$E:$E, MATCH("L_ramp_m", Calc!$C:$C, 0)))))</f>
        <v/>
      </c>
      <c r="H425" s="3">
        <f>IF($E425="","", IF(AND($E425&gt;=INDEX(Calc!$E:$E, MATCH("min_fwd_draft_m", Calc!$C:$C, 0)), $E425&lt;=INDEX(Calc!$E:$E, MATCH("max_fwd_draft_m", Calc!$C:$C, 0)), $G425&lt;=INDEX(Calc!$E:$E, MATCH("theta_max_deg", Calc!$C:$C, 0))), "OK", "CHECK"))</f>
        <v/>
      </c>
      <c r="I425" s="6">
        <f>IF($E425="","", INDEX(Calc!$E:$E, MATCH("D_vessel_m", Calc!$C:$C, 0)) - $E425 + $B425)</f>
        <v/>
      </c>
      <c r="J425" s="6">
        <f>IF($F425="","", INDEX(Calc!$E:$E, MATCH("D_vessel_m", Calc!$C:$C, 0)) - $F425 + $B425)</f>
        <v/>
      </c>
      <c r="K425" s="3">
        <f>IF(D425=0, "Even Keel", "")</f>
        <v/>
      </c>
    </row>
    <row r="426">
      <c r="A426" s="3">
        <f>IF(December_Tide_2025!A426="","",December_Tide_2025!A426)</f>
        <v/>
      </c>
      <c r="B426" s="6">
        <f>IF(December_Tide_2025!B426="","",December_Tide_2025!B426)</f>
        <v/>
      </c>
      <c r="C426" s="6">
        <f>IF($A426="","", INDEX(Calc!$E:$E, MATCH("KminusZ_m", Calc!$C:$C, 0)) + $B426 - INDEX(Calc!$E:$E, MATCH("L_ramp_m", Calc!$C:$C, 0)) * TAN(RADIANS(INDEX(Calc!$E:$E, MATCH("theta_max_deg", Calc!$C:$C, 0)))))</f>
        <v/>
      </c>
      <c r="D426" s="6" t="n"/>
      <c r="E426" s="6">
        <f>IF($C426="","", IF($D426="", $C426, $C426 - $D426/2))</f>
        <v/>
      </c>
      <c r="F426" s="6">
        <f>IF($C426="","", IF($D426="", $C426, $C426 + $D426/2))</f>
        <v/>
      </c>
      <c r="G426" s="6">
        <f>IF($E426="","", DEGREES(ATAN((INDEX(Calc!$E:$E, MATCH("KminusZ_m", Calc!$C:$C, 0)) - $E426 + $B426) / INDEX(Calc!$E:$E, MATCH("L_ramp_m", Calc!$C:$C, 0)))))</f>
        <v/>
      </c>
      <c r="H426" s="3">
        <f>IF($E426="","", IF(AND($E426&gt;=INDEX(Calc!$E:$E, MATCH("min_fwd_draft_m", Calc!$C:$C, 0)), $E426&lt;=INDEX(Calc!$E:$E, MATCH("max_fwd_draft_m", Calc!$C:$C, 0)), $G426&lt;=INDEX(Calc!$E:$E, MATCH("theta_max_deg", Calc!$C:$C, 0))), "OK", "CHECK"))</f>
        <v/>
      </c>
      <c r="I426" s="6">
        <f>IF($E426="","", INDEX(Calc!$E:$E, MATCH("D_vessel_m", Calc!$C:$C, 0)) - $E426 + $B426)</f>
        <v/>
      </c>
      <c r="J426" s="6">
        <f>IF($F426="","", INDEX(Calc!$E:$E, MATCH("D_vessel_m", Calc!$C:$C, 0)) - $F426 + $B426)</f>
        <v/>
      </c>
      <c r="K426" s="3">
        <f>IF(D426=0, "Even Keel", "")</f>
        <v/>
      </c>
    </row>
    <row r="427">
      <c r="A427" s="3">
        <f>IF(December_Tide_2025!A427="","",December_Tide_2025!A427)</f>
        <v/>
      </c>
      <c r="B427" s="6">
        <f>IF(December_Tide_2025!B427="","",December_Tide_2025!B427)</f>
        <v/>
      </c>
      <c r="C427" s="6">
        <f>IF($A427="","", INDEX(Calc!$E:$E, MATCH("KminusZ_m", Calc!$C:$C, 0)) + $B427 - INDEX(Calc!$E:$E, MATCH("L_ramp_m", Calc!$C:$C, 0)) * TAN(RADIANS(INDEX(Calc!$E:$E, MATCH("theta_max_deg", Calc!$C:$C, 0)))))</f>
        <v/>
      </c>
      <c r="D427" s="6" t="n"/>
      <c r="E427" s="6">
        <f>IF($C427="","", IF($D427="", $C427, $C427 - $D427/2))</f>
        <v/>
      </c>
      <c r="F427" s="6">
        <f>IF($C427="","", IF($D427="", $C427, $C427 + $D427/2))</f>
        <v/>
      </c>
      <c r="G427" s="6">
        <f>IF($E427="","", DEGREES(ATAN((INDEX(Calc!$E:$E, MATCH("KminusZ_m", Calc!$C:$C, 0)) - $E427 + $B427) / INDEX(Calc!$E:$E, MATCH("L_ramp_m", Calc!$C:$C, 0)))))</f>
        <v/>
      </c>
      <c r="H427" s="3">
        <f>IF($E427="","", IF(AND($E427&gt;=INDEX(Calc!$E:$E, MATCH("min_fwd_draft_m", Calc!$C:$C, 0)), $E427&lt;=INDEX(Calc!$E:$E, MATCH("max_fwd_draft_m", Calc!$C:$C, 0)), $G427&lt;=INDEX(Calc!$E:$E, MATCH("theta_max_deg", Calc!$C:$C, 0))), "OK", "CHECK"))</f>
        <v/>
      </c>
      <c r="I427" s="6">
        <f>IF($E427="","", INDEX(Calc!$E:$E, MATCH("D_vessel_m", Calc!$C:$C, 0)) - $E427 + $B427)</f>
        <v/>
      </c>
      <c r="J427" s="6">
        <f>IF($F427="","", INDEX(Calc!$E:$E, MATCH("D_vessel_m", Calc!$C:$C, 0)) - $F427 + $B427)</f>
        <v/>
      </c>
      <c r="K427" s="3">
        <f>IF(D427=0, "Even Keel", "")</f>
        <v/>
      </c>
    </row>
    <row r="428">
      <c r="A428" s="3">
        <f>IF(December_Tide_2025!A428="","",December_Tide_2025!A428)</f>
        <v/>
      </c>
      <c r="B428" s="6">
        <f>IF(December_Tide_2025!B428="","",December_Tide_2025!B428)</f>
        <v/>
      </c>
      <c r="C428" s="6">
        <f>IF($A428="","", INDEX(Calc!$E:$E, MATCH("KminusZ_m", Calc!$C:$C, 0)) + $B428 - INDEX(Calc!$E:$E, MATCH("L_ramp_m", Calc!$C:$C, 0)) * TAN(RADIANS(INDEX(Calc!$E:$E, MATCH("theta_max_deg", Calc!$C:$C, 0)))))</f>
        <v/>
      </c>
      <c r="D428" s="6" t="n"/>
      <c r="E428" s="6">
        <f>IF($C428="","", IF($D428="", $C428, $C428 - $D428/2))</f>
        <v/>
      </c>
      <c r="F428" s="6">
        <f>IF($C428="","", IF($D428="", $C428, $C428 + $D428/2))</f>
        <v/>
      </c>
      <c r="G428" s="6">
        <f>IF($E428="","", DEGREES(ATAN((INDEX(Calc!$E:$E, MATCH("KminusZ_m", Calc!$C:$C, 0)) - $E428 + $B428) / INDEX(Calc!$E:$E, MATCH("L_ramp_m", Calc!$C:$C, 0)))))</f>
        <v/>
      </c>
      <c r="H428" s="3">
        <f>IF($E428="","", IF(AND($E428&gt;=INDEX(Calc!$E:$E, MATCH("min_fwd_draft_m", Calc!$C:$C, 0)), $E428&lt;=INDEX(Calc!$E:$E, MATCH("max_fwd_draft_m", Calc!$C:$C, 0)), $G428&lt;=INDEX(Calc!$E:$E, MATCH("theta_max_deg", Calc!$C:$C, 0))), "OK", "CHECK"))</f>
        <v/>
      </c>
      <c r="I428" s="6">
        <f>IF($E428="","", INDEX(Calc!$E:$E, MATCH("D_vessel_m", Calc!$C:$C, 0)) - $E428 + $B428)</f>
        <v/>
      </c>
      <c r="J428" s="6">
        <f>IF($F428="","", INDEX(Calc!$E:$E, MATCH("D_vessel_m", Calc!$C:$C, 0)) - $F428 + $B428)</f>
        <v/>
      </c>
      <c r="K428" s="3">
        <f>IF(D428=0, "Even Keel", "")</f>
        <v/>
      </c>
    </row>
    <row r="429">
      <c r="A429" s="3">
        <f>IF(December_Tide_2025!A429="","",December_Tide_2025!A429)</f>
        <v/>
      </c>
      <c r="B429" s="6">
        <f>IF(December_Tide_2025!B429="","",December_Tide_2025!B429)</f>
        <v/>
      </c>
      <c r="C429" s="6">
        <f>IF($A429="","", INDEX(Calc!$E:$E, MATCH("KminusZ_m", Calc!$C:$C, 0)) + $B429 - INDEX(Calc!$E:$E, MATCH("L_ramp_m", Calc!$C:$C, 0)) * TAN(RADIANS(INDEX(Calc!$E:$E, MATCH("theta_max_deg", Calc!$C:$C, 0)))))</f>
        <v/>
      </c>
      <c r="D429" s="6" t="n"/>
      <c r="E429" s="6">
        <f>IF($C429="","", IF($D429="", $C429, $C429 - $D429/2))</f>
        <v/>
      </c>
      <c r="F429" s="6">
        <f>IF($C429="","", IF($D429="", $C429, $C429 + $D429/2))</f>
        <v/>
      </c>
      <c r="G429" s="6">
        <f>IF($E429="","", DEGREES(ATAN((INDEX(Calc!$E:$E, MATCH("KminusZ_m", Calc!$C:$C, 0)) - $E429 + $B429) / INDEX(Calc!$E:$E, MATCH("L_ramp_m", Calc!$C:$C, 0)))))</f>
        <v/>
      </c>
      <c r="H429" s="3">
        <f>IF($E429="","", IF(AND($E429&gt;=INDEX(Calc!$E:$E, MATCH("min_fwd_draft_m", Calc!$C:$C, 0)), $E429&lt;=INDEX(Calc!$E:$E, MATCH("max_fwd_draft_m", Calc!$C:$C, 0)), $G429&lt;=INDEX(Calc!$E:$E, MATCH("theta_max_deg", Calc!$C:$C, 0))), "OK", "CHECK"))</f>
        <v/>
      </c>
      <c r="I429" s="6">
        <f>IF($E429="","", INDEX(Calc!$E:$E, MATCH("D_vessel_m", Calc!$C:$C, 0)) - $E429 + $B429)</f>
        <v/>
      </c>
      <c r="J429" s="6">
        <f>IF($F429="","", INDEX(Calc!$E:$E, MATCH("D_vessel_m", Calc!$C:$C, 0)) - $F429 + $B429)</f>
        <v/>
      </c>
      <c r="K429" s="3">
        <f>IF(D429=0, "Even Keel", "")</f>
        <v/>
      </c>
    </row>
    <row r="430">
      <c r="A430" s="3">
        <f>IF(December_Tide_2025!A430="","",December_Tide_2025!A430)</f>
        <v/>
      </c>
      <c r="B430" s="6">
        <f>IF(December_Tide_2025!B430="","",December_Tide_2025!B430)</f>
        <v/>
      </c>
      <c r="C430" s="6">
        <f>IF($A430="","", INDEX(Calc!$E:$E, MATCH("KminusZ_m", Calc!$C:$C, 0)) + $B430 - INDEX(Calc!$E:$E, MATCH("L_ramp_m", Calc!$C:$C, 0)) * TAN(RADIANS(INDEX(Calc!$E:$E, MATCH("theta_max_deg", Calc!$C:$C, 0)))))</f>
        <v/>
      </c>
      <c r="D430" s="6" t="n"/>
      <c r="E430" s="6">
        <f>IF($C430="","", IF($D430="", $C430, $C430 - $D430/2))</f>
        <v/>
      </c>
      <c r="F430" s="6">
        <f>IF($C430="","", IF($D430="", $C430, $C430 + $D430/2))</f>
        <v/>
      </c>
      <c r="G430" s="6">
        <f>IF($E430="","", DEGREES(ATAN((INDEX(Calc!$E:$E, MATCH("KminusZ_m", Calc!$C:$C, 0)) - $E430 + $B430) / INDEX(Calc!$E:$E, MATCH("L_ramp_m", Calc!$C:$C, 0)))))</f>
        <v/>
      </c>
      <c r="H430" s="3">
        <f>IF($E430="","", IF(AND($E430&gt;=INDEX(Calc!$E:$E, MATCH("min_fwd_draft_m", Calc!$C:$C, 0)), $E430&lt;=INDEX(Calc!$E:$E, MATCH("max_fwd_draft_m", Calc!$C:$C, 0)), $G430&lt;=INDEX(Calc!$E:$E, MATCH("theta_max_deg", Calc!$C:$C, 0))), "OK", "CHECK"))</f>
        <v/>
      </c>
      <c r="I430" s="6">
        <f>IF($E430="","", INDEX(Calc!$E:$E, MATCH("D_vessel_m", Calc!$C:$C, 0)) - $E430 + $B430)</f>
        <v/>
      </c>
      <c r="J430" s="6">
        <f>IF($F430="","", INDEX(Calc!$E:$E, MATCH("D_vessel_m", Calc!$C:$C, 0)) - $F430 + $B430)</f>
        <v/>
      </c>
      <c r="K430" s="3">
        <f>IF(D430=0, "Even Keel", "")</f>
        <v/>
      </c>
    </row>
    <row r="431">
      <c r="A431" s="3">
        <f>IF(December_Tide_2025!A431="","",December_Tide_2025!A431)</f>
        <v/>
      </c>
      <c r="B431" s="6">
        <f>IF(December_Tide_2025!B431="","",December_Tide_2025!B431)</f>
        <v/>
      </c>
      <c r="C431" s="6">
        <f>IF($A431="","", INDEX(Calc!$E:$E, MATCH("KminusZ_m", Calc!$C:$C, 0)) + $B431 - INDEX(Calc!$E:$E, MATCH("L_ramp_m", Calc!$C:$C, 0)) * TAN(RADIANS(INDEX(Calc!$E:$E, MATCH("theta_max_deg", Calc!$C:$C, 0)))))</f>
        <v/>
      </c>
      <c r="D431" s="6" t="n"/>
      <c r="E431" s="6">
        <f>IF($C431="","", IF($D431="", $C431, $C431 - $D431/2))</f>
        <v/>
      </c>
      <c r="F431" s="6">
        <f>IF($C431="","", IF($D431="", $C431, $C431 + $D431/2))</f>
        <v/>
      </c>
      <c r="G431" s="6">
        <f>IF($E431="","", DEGREES(ATAN((INDEX(Calc!$E:$E, MATCH("KminusZ_m", Calc!$C:$C, 0)) - $E431 + $B431) / INDEX(Calc!$E:$E, MATCH("L_ramp_m", Calc!$C:$C, 0)))))</f>
        <v/>
      </c>
      <c r="H431" s="3">
        <f>IF($E431="","", IF(AND($E431&gt;=INDEX(Calc!$E:$E, MATCH("min_fwd_draft_m", Calc!$C:$C, 0)), $E431&lt;=INDEX(Calc!$E:$E, MATCH("max_fwd_draft_m", Calc!$C:$C, 0)), $G431&lt;=INDEX(Calc!$E:$E, MATCH("theta_max_deg", Calc!$C:$C, 0))), "OK", "CHECK"))</f>
        <v/>
      </c>
      <c r="I431" s="6">
        <f>IF($E431="","", INDEX(Calc!$E:$E, MATCH("D_vessel_m", Calc!$C:$C, 0)) - $E431 + $B431)</f>
        <v/>
      </c>
      <c r="J431" s="6">
        <f>IF($F431="","", INDEX(Calc!$E:$E, MATCH("D_vessel_m", Calc!$C:$C, 0)) - $F431 + $B431)</f>
        <v/>
      </c>
      <c r="K431" s="3">
        <f>IF(D431=0, "Even Keel", "")</f>
        <v/>
      </c>
    </row>
    <row r="432">
      <c r="A432" s="3">
        <f>IF(December_Tide_2025!A432="","",December_Tide_2025!A432)</f>
        <v/>
      </c>
      <c r="B432" s="6">
        <f>IF(December_Tide_2025!B432="","",December_Tide_2025!B432)</f>
        <v/>
      </c>
      <c r="C432" s="6">
        <f>IF($A432="","", INDEX(Calc!$E:$E, MATCH("KminusZ_m", Calc!$C:$C, 0)) + $B432 - INDEX(Calc!$E:$E, MATCH("L_ramp_m", Calc!$C:$C, 0)) * TAN(RADIANS(INDEX(Calc!$E:$E, MATCH("theta_max_deg", Calc!$C:$C, 0)))))</f>
        <v/>
      </c>
      <c r="D432" s="6" t="n"/>
      <c r="E432" s="6">
        <f>IF($C432="","", IF($D432="", $C432, $C432 - $D432/2))</f>
        <v/>
      </c>
      <c r="F432" s="6">
        <f>IF($C432="","", IF($D432="", $C432, $C432 + $D432/2))</f>
        <v/>
      </c>
      <c r="G432" s="6">
        <f>IF($E432="","", DEGREES(ATAN((INDEX(Calc!$E:$E, MATCH("KminusZ_m", Calc!$C:$C, 0)) - $E432 + $B432) / INDEX(Calc!$E:$E, MATCH("L_ramp_m", Calc!$C:$C, 0)))))</f>
        <v/>
      </c>
      <c r="H432" s="3">
        <f>IF($E432="","", IF(AND($E432&gt;=INDEX(Calc!$E:$E, MATCH("min_fwd_draft_m", Calc!$C:$C, 0)), $E432&lt;=INDEX(Calc!$E:$E, MATCH("max_fwd_draft_m", Calc!$C:$C, 0)), $G432&lt;=INDEX(Calc!$E:$E, MATCH("theta_max_deg", Calc!$C:$C, 0))), "OK", "CHECK"))</f>
        <v/>
      </c>
      <c r="I432" s="6">
        <f>IF($E432="","", INDEX(Calc!$E:$E, MATCH("D_vessel_m", Calc!$C:$C, 0)) - $E432 + $B432)</f>
        <v/>
      </c>
      <c r="J432" s="6">
        <f>IF($F432="","", INDEX(Calc!$E:$E, MATCH("D_vessel_m", Calc!$C:$C, 0)) - $F432 + $B432)</f>
        <v/>
      </c>
      <c r="K432" s="3">
        <f>IF(D432=0, "Even Keel", "")</f>
        <v/>
      </c>
    </row>
    <row r="433">
      <c r="A433" s="3">
        <f>IF(December_Tide_2025!A433="","",December_Tide_2025!A433)</f>
        <v/>
      </c>
      <c r="B433" s="6">
        <f>IF(December_Tide_2025!B433="","",December_Tide_2025!B433)</f>
        <v/>
      </c>
      <c r="C433" s="6">
        <f>IF($A433="","", INDEX(Calc!$E:$E, MATCH("KminusZ_m", Calc!$C:$C, 0)) + $B433 - INDEX(Calc!$E:$E, MATCH("L_ramp_m", Calc!$C:$C, 0)) * TAN(RADIANS(INDEX(Calc!$E:$E, MATCH("theta_max_deg", Calc!$C:$C, 0)))))</f>
        <v/>
      </c>
      <c r="D433" s="6" t="n"/>
      <c r="E433" s="6">
        <f>IF($C433="","", IF($D433="", $C433, $C433 - $D433/2))</f>
        <v/>
      </c>
      <c r="F433" s="6">
        <f>IF($C433="","", IF($D433="", $C433, $C433 + $D433/2))</f>
        <v/>
      </c>
      <c r="G433" s="6">
        <f>IF($E433="","", DEGREES(ATAN((INDEX(Calc!$E:$E, MATCH("KminusZ_m", Calc!$C:$C, 0)) - $E433 + $B433) / INDEX(Calc!$E:$E, MATCH("L_ramp_m", Calc!$C:$C, 0)))))</f>
        <v/>
      </c>
      <c r="H433" s="3">
        <f>IF($E433="","", IF(AND($E433&gt;=INDEX(Calc!$E:$E, MATCH("min_fwd_draft_m", Calc!$C:$C, 0)), $E433&lt;=INDEX(Calc!$E:$E, MATCH("max_fwd_draft_m", Calc!$C:$C, 0)), $G433&lt;=INDEX(Calc!$E:$E, MATCH("theta_max_deg", Calc!$C:$C, 0))), "OK", "CHECK"))</f>
        <v/>
      </c>
      <c r="I433" s="6">
        <f>IF($E433="","", INDEX(Calc!$E:$E, MATCH("D_vessel_m", Calc!$C:$C, 0)) - $E433 + $B433)</f>
        <v/>
      </c>
      <c r="J433" s="6">
        <f>IF($F433="","", INDEX(Calc!$E:$E, MATCH("D_vessel_m", Calc!$C:$C, 0)) - $F433 + $B433)</f>
        <v/>
      </c>
      <c r="K433" s="3">
        <f>IF(D433=0, "Even Keel", "")</f>
        <v/>
      </c>
    </row>
    <row r="434">
      <c r="A434" s="3">
        <f>IF(December_Tide_2025!A434="","",December_Tide_2025!A434)</f>
        <v/>
      </c>
      <c r="B434" s="6">
        <f>IF(December_Tide_2025!B434="","",December_Tide_2025!B434)</f>
        <v/>
      </c>
      <c r="C434" s="6">
        <f>IF($A434="","", INDEX(Calc!$E:$E, MATCH("KminusZ_m", Calc!$C:$C, 0)) + $B434 - INDEX(Calc!$E:$E, MATCH("L_ramp_m", Calc!$C:$C, 0)) * TAN(RADIANS(INDEX(Calc!$E:$E, MATCH("theta_max_deg", Calc!$C:$C, 0)))))</f>
        <v/>
      </c>
      <c r="D434" s="6" t="n"/>
      <c r="E434" s="6">
        <f>IF($C434="","", IF($D434="", $C434, $C434 - $D434/2))</f>
        <v/>
      </c>
      <c r="F434" s="6">
        <f>IF($C434="","", IF($D434="", $C434, $C434 + $D434/2))</f>
        <v/>
      </c>
      <c r="G434" s="6">
        <f>IF($E434="","", DEGREES(ATAN((INDEX(Calc!$E:$E, MATCH("KminusZ_m", Calc!$C:$C, 0)) - $E434 + $B434) / INDEX(Calc!$E:$E, MATCH("L_ramp_m", Calc!$C:$C, 0)))))</f>
        <v/>
      </c>
      <c r="H434" s="3">
        <f>IF($E434="","", IF(AND($E434&gt;=INDEX(Calc!$E:$E, MATCH("min_fwd_draft_m", Calc!$C:$C, 0)), $E434&lt;=INDEX(Calc!$E:$E, MATCH("max_fwd_draft_m", Calc!$C:$C, 0)), $G434&lt;=INDEX(Calc!$E:$E, MATCH("theta_max_deg", Calc!$C:$C, 0))), "OK", "CHECK"))</f>
        <v/>
      </c>
      <c r="I434" s="6">
        <f>IF($E434="","", INDEX(Calc!$E:$E, MATCH("D_vessel_m", Calc!$C:$C, 0)) - $E434 + $B434)</f>
        <v/>
      </c>
      <c r="J434" s="6">
        <f>IF($F434="","", INDEX(Calc!$E:$E, MATCH("D_vessel_m", Calc!$C:$C, 0)) - $F434 + $B434)</f>
        <v/>
      </c>
      <c r="K434" s="3">
        <f>IF(D434=0, "Even Keel", "")</f>
        <v/>
      </c>
    </row>
    <row r="435">
      <c r="A435" s="3">
        <f>IF(December_Tide_2025!A435="","",December_Tide_2025!A435)</f>
        <v/>
      </c>
      <c r="B435" s="6">
        <f>IF(December_Tide_2025!B435="","",December_Tide_2025!B435)</f>
        <v/>
      </c>
      <c r="C435" s="6">
        <f>IF($A435="","", INDEX(Calc!$E:$E, MATCH("KminusZ_m", Calc!$C:$C, 0)) + $B435 - INDEX(Calc!$E:$E, MATCH("L_ramp_m", Calc!$C:$C, 0)) * TAN(RADIANS(INDEX(Calc!$E:$E, MATCH("theta_max_deg", Calc!$C:$C, 0)))))</f>
        <v/>
      </c>
      <c r="D435" s="6" t="n"/>
      <c r="E435" s="6">
        <f>IF($C435="","", IF($D435="", $C435, $C435 - $D435/2))</f>
        <v/>
      </c>
      <c r="F435" s="6">
        <f>IF($C435="","", IF($D435="", $C435, $C435 + $D435/2))</f>
        <v/>
      </c>
      <c r="G435" s="6">
        <f>IF($E435="","", DEGREES(ATAN((INDEX(Calc!$E:$E, MATCH("KminusZ_m", Calc!$C:$C, 0)) - $E435 + $B435) / INDEX(Calc!$E:$E, MATCH("L_ramp_m", Calc!$C:$C, 0)))))</f>
        <v/>
      </c>
      <c r="H435" s="3">
        <f>IF($E435="","", IF(AND($E435&gt;=INDEX(Calc!$E:$E, MATCH("min_fwd_draft_m", Calc!$C:$C, 0)), $E435&lt;=INDEX(Calc!$E:$E, MATCH("max_fwd_draft_m", Calc!$C:$C, 0)), $G435&lt;=INDEX(Calc!$E:$E, MATCH("theta_max_deg", Calc!$C:$C, 0))), "OK", "CHECK"))</f>
        <v/>
      </c>
      <c r="I435" s="6">
        <f>IF($E435="","", INDEX(Calc!$E:$E, MATCH("D_vessel_m", Calc!$C:$C, 0)) - $E435 + $B435)</f>
        <v/>
      </c>
      <c r="J435" s="6">
        <f>IF($F435="","", INDEX(Calc!$E:$E, MATCH("D_vessel_m", Calc!$C:$C, 0)) - $F435 + $B435)</f>
        <v/>
      </c>
      <c r="K435" s="3">
        <f>IF(D435=0, "Even Keel", "")</f>
        <v/>
      </c>
    </row>
    <row r="436">
      <c r="A436" s="3">
        <f>IF(December_Tide_2025!A436="","",December_Tide_2025!A436)</f>
        <v/>
      </c>
      <c r="B436" s="6">
        <f>IF(December_Tide_2025!B436="","",December_Tide_2025!B436)</f>
        <v/>
      </c>
      <c r="C436" s="6">
        <f>IF($A436="","", INDEX(Calc!$E:$E, MATCH("KminusZ_m", Calc!$C:$C, 0)) + $B436 - INDEX(Calc!$E:$E, MATCH("L_ramp_m", Calc!$C:$C, 0)) * TAN(RADIANS(INDEX(Calc!$E:$E, MATCH("theta_max_deg", Calc!$C:$C, 0)))))</f>
        <v/>
      </c>
      <c r="D436" s="6" t="n"/>
      <c r="E436" s="6">
        <f>IF($C436="","", IF($D436="", $C436, $C436 - $D436/2))</f>
        <v/>
      </c>
      <c r="F436" s="6">
        <f>IF($C436="","", IF($D436="", $C436, $C436 + $D436/2))</f>
        <v/>
      </c>
      <c r="G436" s="6">
        <f>IF($E436="","", DEGREES(ATAN((INDEX(Calc!$E:$E, MATCH("KminusZ_m", Calc!$C:$C, 0)) - $E436 + $B436) / INDEX(Calc!$E:$E, MATCH("L_ramp_m", Calc!$C:$C, 0)))))</f>
        <v/>
      </c>
      <c r="H436" s="3">
        <f>IF($E436="","", IF(AND($E436&gt;=INDEX(Calc!$E:$E, MATCH("min_fwd_draft_m", Calc!$C:$C, 0)), $E436&lt;=INDEX(Calc!$E:$E, MATCH("max_fwd_draft_m", Calc!$C:$C, 0)), $G436&lt;=INDEX(Calc!$E:$E, MATCH("theta_max_deg", Calc!$C:$C, 0))), "OK", "CHECK"))</f>
        <v/>
      </c>
      <c r="I436" s="6">
        <f>IF($E436="","", INDEX(Calc!$E:$E, MATCH("D_vessel_m", Calc!$C:$C, 0)) - $E436 + $B436)</f>
        <v/>
      </c>
      <c r="J436" s="6">
        <f>IF($F436="","", INDEX(Calc!$E:$E, MATCH("D_vessel_m", Calc!$C:$C, 0)) - $F436 + $B436)</f>
        <v/>
      </c>
      <c r="K436" s="3">
        <f>IF(D436=0, "Even Keel", "")</f>
        <v/>
      </c>
    </row>
    <row r="437">
      <c r="A437" s="3">
        <f>IF(December_Tide_2025!A437="","",December_Tide_2025!A437)</f>
        <v/>
      </c>
      <c r="B437" s="6">
        <f>IF(December_Tide_2025!B437="","",December_Tide_2025!B437)</f>
        <v/>
      </c>
      <c r="C437" s="6">
        <f>IF($A437="","", INDEX(Calc!$E:$E, MATCH("KminusZ_m", Calc!$C:$C, 0)) + $B437 - INDEX(Calc!$E:$E, MATCH("L_ramp_m", Calc!$C:$C, 0)) * TAN(RADIANS(INDEX(Calc!$E:$E, MATCH("theta_max_deg", Calc!$C:$C, 0)))))</f>
        <v/>
      </c>
      <c r="D437" s="6" t="n"/>
      <c r="E437" s="6">
        <f>IF($C437="","", IF($D437="", $C437, $C437 - $D437/2))</f>
        <v/>
      </c>
      <c r="F437" s="6">
        <f>IF($C437="","", IF($D437="", $C437, $C437 + $D437/2))</f>
        <v/>
      </c>
      <c r="G437" s="6">
        <f>IF($E437="","", DEGREES(ATAN((INDEX(Calc!$E:$E, MATCH("KminusZ_m", Calc!$C:$C, 0)) - $E437 + $B437) / INDEX(Calc!$E:$E, MATCH("L_ramp_m", Calc!$C:$C, 0)))))</f>
        <v/>
      </c>
      <c r="H437" s="3">
        <f>IF($E437="","", IF(AND($E437&gt;=INDEX(Calc!$E:$E, MATCH("min_fwd_draft_m", Calc!$C:$C, 0)), $E437&lt;=INDEX(Calc!$E:$E, MATCH("max_fwd_draft_m", Calc!$C:$C, 0)), $G437&lt;=INDEX(Calc!$E:$E, MATCH("theta_max_deg", Calc!$C:$C, 0))), "OK", "CHECK"))</f>
        <v/>
      </c>
      <c r="I437" s="6">
        <f>IF($E437="","", INDEX(Calc!$E:$E, MATCH("D_vessel_m", Calc!$C:$C, 0)) - $E437 + $B437)</f>
        <v/>
      </c>
      <c r="J437" s="6">
        <f>IF($F437="","", INDEX(Calc!$E:$E, MATCH("D_vessel_m", Calc!$C:$C, 0)) - $F437 + $B437)</f>
        <v/>
      </c>
      <c r="K437" s="3">
        <f>IF(D437=0, "Even Keel", "")</f>
        <v/>
      </c>
    </row>
    <row r="438">
      <c r="A438" s="3">
        <f>IF(December_Tide_2025!A438="","",December_Tide_2025!A438)</f>
        <v/>
      </c>
      <c r="B438" s="6">
        <f>IF(December_Tide_2025!B438="","",December_Tide_2025!B438)</f>
        <v/>
      </c>
      <c r="C438" s="6">
        <f>IF($A438="","", INDEX(Calc!$E:$E, MATCH("KminusZ_m", Calc!$C:$C, 0)) + $B438 - INDEX(Calc!$E:$E, MATCH("L_ramp_m", Calc!$C:$C, 0)) * TAN(RADIANS(INDEX(Calc!$E:$E, MATCH("theta_max_deg", Calc!$C:$C, 0)))))</f>
        <v/>
      </c>
      <c r="D438" s="6" t="n"/>
      <c r="E438" s="6">
        <f>IF($C438="","", IF($D438="", $C438, $C438 - $D438/2))</f>
        <v/>
      </c>
      <c r="F438" s="6">
        <f>IF($C438="","", IF($D438="", $C438, $C438 + $D438/2))</f>
        <v/>
      </c>
      <c r="G438" s="6">
        <f>IF($E438="","", DEGREES(ATAN((INDEX(Calc!$E:$E, MATCH("KminusZ_m", Calc!$C:$C, 0)) - $E438 + $B438) / INDEX(Calc!$E:$E, MATCH("L_ramp_m", Calc!$C:$C, 0)))))</f>
        <v/>
      </c>
      <c r="H438" s="3">
        <f>IF($E438="","", IF(AND($E438&gt;=INDEX(Calc!$E:$E, MATCH("min_fwd_draft_m", Calc!$C:$C, 0)), $E438&lt;=INDEX(Calc!$E:$E, MATCH("max_fwd_draft_m", Calc!$C:$C, 0)), $G438&lt;=INDEX(Calc!$E:$E, MATCH("theta_max_deg", Calc!$C:$C, 0))), "OK", "CHECK"))</f>
        <v/>
      </c>
      <c r="I438" s="6">
        <f>IF($E438="","", INDEX(Calc!$E:$E, MATCH("D_vessel_m", Calc!$C:$C, 0)) - $E438 + $B438)</f>
        <v/>
      </c>
      <c r="J438" s="6">
        <f>IF($F438="","", INDEX(Calc!$E:$E, MATCH("D_vessel_m", Calc!$C:$C, 0)) - $F438 + $B438)</f>
        <v/>
      </c>
      <c r="K438" s="3">
        <f>IF(D438=0, "Even Keel", "")</f>
        <v/>
      </c>
    </row>
    <row r="439">
      <c r="A439" s="3">
        <f>IF(December_Tide_2025!A439="","",December_Tide_2025!A439)</f>
        <v/>
      </c>
      <c r="B439" s="6">
        <f>IF(December_Tide_2025!B439="","",December_Tide_2025!B439)</f>
        <v/>
      </c>
      <c r="C439" s="6">
        <f>IF($A439="","", INDEX(Calc!$E:$E, MATCH("KminusZ_m", Calc!$C:$C, 0)) + $B439 - INDEX(Calc!$E:$E, MATCH("L_ramp_m", Calc!$C:$C, 0)) * TAN(RADIANS(INDEX(Calc!$E:$E, MATCH("theta_max_deg", Calc!$C:$C, 0)))))</f>
        <v/>
      </c>
      <c r="D439" s="6" t="n"/>
      <c r="E439" s="6">
        <f>IF($C439="","", IF($D439="", $C439, $C439 - $D439/2))</f>
        <v/>
      </c>
      <c r="F439" s="6">
        <f>IF($C439="","", IF($D439="", $C439, $C439 + $D439/2))</f>
        <v/>
      </c>
      <c r="G439" s="6">
        <f>IF($E439="","", DEGREES(ATAN((INDEX(Calc!$E:$E, MATCH("KminusZ_m", Calc!$C:$C, 0)) - $E439 + $B439) / INDEX(Calc!$E:$E, MATCH("L_ramp_m", Calc!$C:$C, 0)))))</f>
        <v/>
      </c>
      <c r="H439" s="3">
        <f>IF($E439="","", IF(AND($E439&gt;=INDEX(Calc!$E:$E, MATCH("min_fwd_draft_m", Calc!$C:$C, 0)), $E439&lt;=INDEX(Calc!$E:$E, MATCH("max_fwd_draft_m", Calc!$C:$C, 0)), $G439&lt;=INDEX(Calc!$E:$E, MATCH("theta_max_deg", Calc!$C:$C, 0))), "OK", "CHECK"))</f>
        <v/>
      </c>
      <c r="I439" s="6">
        <f>IF($E439="","", INDEX(Calc!$E:$E, MATCH("D_vessel_m", Calc!$C:$C, 0)) - $E439 + $B439)</f>
        <v/>
      </c>
      <c r="J439" s="6">
        <f>IF($F439="","", INDEX(Calc!$E:$E, MATCH("D_vessel_m", Calc!$C:$C, 0)) - $F439 + $B439)</f>
        <v/>
      </c>
      <c r="K439" s="3">
        <f>IF(D439=0, "Even Keel", "")</f>
        <v/>
      </c>
    </row>
    <row r="440">
      <c r="A440" s="3">
        <f>IF(December_Tide_2025!A440="","",December_Tide_2025!A440)</f>
        <v/>
      </c>
      <c r="B440" s="6">
        <f>IF(December_Tide_2025!B440="","",December_Tide_2025!B440)</f>
        <v/>
      </c>
      <c r="C440" s="6">
        <f>IF($A440="","", INDEX(Calc!$E:$E, MATCH("KminusZ_m", Calc!$C:$C, 0)) + $B440 - INDEX(Calc!$E:$E, MATCH("L_ramp_m", Calc!$C:$C, 0)) * TAN(RADIANS(INDEX(Calc!$E:$E, MATCH("theta_max_deg", Calc!$C:$C, 0)))))</f>
        <v/>
      </c>
      <c r="D440" s="6" t="n"/>
      <c r="E440" s="6">
        <f>IF($C440="","", IF($D440="", $C440, $C440 - $D440/2))</f>
        <v/>
      </c>
      <c r="F440" s="6">
        <f>IF($C440="","", IF($D440="", $C440, $C440 + $D440/2))</f>
        <v/>
      </c>
      <c r="G440" s="6">
        <f>IF($E440="","", DEGREES(ATAN((INDEX(Calc!$E:$E, MATCH("KminusZ_m", Calc!$C:$C, 0)) - $E440 + $B440) / INDEX(Calc!$E:$E, MATCH("L_ramp_m", Calc!$C:$C, 0)))))</f>
        <v/>
      </c>
      <c r="H440" s="3">
        <f>IF($E440="","", IF(AND($E440&gt;=INDEX(Calc!$E:$E, MATCH("min_fwd_draft_m", Calc!$C:$C, 0)), $E440&lt;=INDEX(Calc!$E:$E, MATCH("max_fwd_draft_m", Calc!$C:$C, 0)), $G440&lt;=INDEX(Calc!$E:$E, MATCH("theta_max_deg", Calc!$C:$C, 0))), "OK", "CHECK"))</f>
        <v/>
      </c>
      <c r="I440" s="6">
        <f>IF($E440="","", INDEX(Calc!$E:$E, MATCH("D_vessel_m", Calc!$C:$C, 0)) - $E440 + $B440)</f>
        <v/>
      </c>
      <c r="J440" s="6">
        <f>IF($F440="","", INDEX(Calc!$E:$E, MATCH("D_vessel_m", Calc!$C:$C, 0)) - $F440 + $B440)</f>
        <v/>
      </c>
      <c r="K440" s="3">
        <f>IF(D440=0, "Even Keel", "")</f>
        <v/>
      </c>
    </row>
    <row r="441">
      <c r="A441" s="3">
        <f>IF(December_Tide_2025!A441="","",December_Tide_2025!A441)</f>
        <v/>
      </c>
      <c r="B441" s="6">
        <f>IF(December_Tide_2025!B441="","",December_Tide_2025!B441)</f>
        <v/>
      </c>
      <c r="C441" s="6">
        <f>IF($A441="","", INDEX(Calc!$E:$E, MATCH("KminusZ_m", Calc!$C:$C, 0)) + $B441 - INDEX(Calc!$E:$E, MATCH("L_ramp_m", Calc!$C:$C, 0)) * TAN(RADIANS(INDEX(Calc!$E:$E, MATCH("theta_max_deg", Calc!$C:$C, 0)))))</f>
        <v/>
      </c>
      <c r="D441" s="6" t="n"/>
      <c r="E441" s="6">
        <f>IF($C441="","", IF($D441="", $C441, $C441 - $D441/2))</f>
        <v/>
      </c>
      <c r="F441" s="6">
        <f>IF($C441="","", IF($D441="", $C441, $C441 + $D441/2))</f>
        <v/>
      </c>
      <c r="G441" s="6">
        <f>IF($E441="","", DEGREES(ATAN((INDEX(Calc!$E:$E, MATCH("KminusZ_m", Calc!$C:$C, 0)) - $E441 + $B441) / INDEX(Calc!$E:$E, MATCH("L_ramp_m", Calc!$C:$C, 0)))))</f>
        <v/>
      </c>
      <c r="H441" s="3">
        <f>IF($E441="","", IF(AND($E441&gt;=INDEX(Calc!$E:$E, MATCH("min_fwd_draft_m", Calc!$C:$C, 0)), $E441&lt;=INDEX(Calc!$E:$E, MATCH("max_fwd_draft_m", Calc!$C:$C, 0)), $G441&lt;=INDEX(Calc!$E:$E, MATCH("theta_max_deg", Calc!$C:$C, 0))), "OK", "CHECK"))</f>
        <v/>
      </c>
      <c r="I441" s="6">
        <f>IF($E441="","", INDEX(Calc!$E:$E, MATCH("D_vessel_m", Calc!$C:$C, 0)) - $E441 + $B441)</f>
        <v/>
      </c>
      <c r="J441" s="6">
        <f>IF($F441="","", INDEX(Calc!$E:$E, MATCH("D_vessel_m", Calc!$C:$C, 0)) - $F441 + $B441)</f>
        <v/>
      </c>
      <c r="K441" s="3">
        <f>IF(D441=0, "Even Keel", "")</f>
        <v/>
      </c>
    </row>
    <row r="442">
      <c r="A442" s="3">
        <f>IF(December_Tide_2025!A442="","",December_Tide_2025!A442)</f>
        <v/>
      </c>
      <c r="B442" s="6">
        <f>IF(December_Tide_2025!B442="","",December_Tide_2025!B442)</f>
        <v/>
      </c>
      <c r="C442" s="6">
        <f>IF($A442="","", INDEX(Calc!$E:$E, MATCH("KminusZ_m", Calc!$C:$C, 0)) + $B442 - INDEX(Calc!$E:$E, MATCH("L_ramp_m", Calc!$C:$C, 0)) * TAN(RADIANS(INDEX(Calc!$E:$E, MATCH("theta_max_deg", Calc!$C:$C, 0)))))</f>
        <v/>
      </c>
      <c r="D442" s="6" t="n"/>
      <c r="E442" s="6">
        <f>IF($C442="","", IF($D442="", $C442, $C442 - $D442/2))</f>
        <v/>
      </c>
      <c r="F442" s="6">
        <f>IF($C442="","", IF($D442="", $C442, $C442 + $D442/2))</f>
        <v/>
      </c>
      <c r="G442" s="6">
        <f>IF($E442="","", DEGREES(ATAN((INDEX(Calc!$E:$E, MATCH("KminusZ_m", Calc!$C:$C, 0)) - $E442 + $B442) / INDEX(Calc!$E:$E, MATCH("L_ramp_m", Calc!$C:$C, 0)))))</f>
        <v/>
      </c>
      <c r="H442" s="3">
        <f>IF($E442="","", IF(AND($E442&gt;=INDEX(Calc!$E:$E, MATCH("min_fwd_draft_m", Calc!$C:$C, 0)), $E442&lt;=INDEX(Calc!$E:$E, MATCH("max_fwd_draft_m", Calc!$C:$C, 0)), $G442&lt;=INDEX(Calc!$E:$E, MATCH("theta_max_deg", Calc!$C:$C, 0))), "OK", "CHECK"))</f>
        <v/>
      </c>
      <c r="I442" s="6">
        <f>IF($E442="","", INDEX(Calc!$E:$E, MATCH("D_vessel_m", Calc!$C:$C, 0)) - $E442 + $B442)</f>
        <v/>
      </c>
      <c r="J442" s="6">
        <f>IF($F442="","", INDEX(Calc!$E:$E, MATCH("D_vessel_m", Calc!$C:$C, 0)) - $F442 + $B442)</f>
        <v/>
      </c>
      <c r="K442" s="3">
        <f>IF(D442=0, "Even Keel", "")</f>
        <v/>
      </c>
    </row>
    <row r="443">
      <c r="A443" s="3">
        <f>IF(December_Tide_2025!A443="","",December_Tide_2025!A443)</f>
        <v/>
      </c>
      <c r="B443" s="6">
        <f>IF(December_Tide_2025!B443="","",December_Tide_2025!B443)</f>
        <v/>
      </c>
      <c r="C443" s="6">
        <f>IF($A443="","", INDEX(Calc!$E:$E, MATCH("KminusZ_m", Calc!$C:$C, 0)) + $B443 - INDEX(Calc!$E:$E, MATCH("L_ramp_m", Calc!$C:$C, 0)) * TAN(RADIANS(INDEX(Calc!$E:$E, MATCH("theta_max_deg", Calc!$C:$C, 0)))))</f>
        <v/>
      </c>
      <c r="D443" s="6" t="n"/>
      <c r="E443" s="6">
        <f>IF($C443="","", IF($D443="", $C443, $C443 - $D443/2))</f>
        <v/>
      </c>
      <c r="F443" s="6">
        <f>IF($C443="","", IF($D443="", $C443, $C443 + $D443/2))</f>
        <v/>
      </c>
      <c r="G443" s="6">
        <f>IF($E443="","", DEGREES(ATAN((INDEX(Calc!$E:$E, MATCH("KminusZ_m", Calc!$C:$C, 0)) - $E443 + $B443) / INDEX(Calc!$E:$E, MATCH("L_ramp_m", Calc!$C:$C, 0)))))</f>
        <v/>
      </c>
      <c r="H443" s="3">
        <f>IF($E443="","", IF(AND($E443&gt;=INDEX(Calc!$E:$E, MATCH("min_fwd_draft_m", Calc!$C:$C, 0)), $E443&lt;=INDEX(Calc!$E:$E, MATCH("max_fwd_draft_m", Calc!$C:$C, 0)), $G443&lt;=INDEX(Calc!$E:$E, MATCH("theta_max_deg", Calc!$C:$C, 0))), "OK", "CHECK"))</f>
        <v/>
      </c>
      <c r="I443" s="6">
        <f>IF($E443="","", INDEX(Calc!$E:$E, MATCH("D_vessel_m", Calc!$C:$C, 0)) - $E443 + $B443)</f>
        <v/>
      </c>
      <c r="J443" s="6">
        <f>IF($F443="","", INDEX(Calc!$E:$E, MATCH("D_vessel_m", Calc!$C:$C, 0)) - $F443 + $B443)</f>
        <v/>
      </c>
      <c r="K443" s="3">
        <f>IF(D443=0, "Even Keel", "")</f>
        <v/>
      </c>
    </row>
    <row r="444">
      <c r="A444" s="3">
        <f>IF(December_Tide_2025!A444="","",December_Tide_2025!A444)</f>
        <v/>
      </c>
      <c r="B444" s="6">
        <f>IF(December_Tide_2025!B444="","",December_Tide_2025!B444)</f>
        <v/>
      </c>
      <c r="C444" s="6">
        <f>IF($A444="","", INDEX(Calc!$E:$E, MATCH("KminusZ_m", Calc!$C:$C, 0)) + $B444 - INDEX(Calc!$E:$E, MATCH("L_ramp_m", Calc!$C:$C, 0)) * TAN(RADIANS(INDEX(Calc!$E:$E, MATCH("theta_max_deg", Calc!$C:$C, 0)))))</f>
        <v/>
      </c>
      <c r="D444" s="6" t="n"/>
      <c r="E444" s="6">
        <f>IF($C444="","", IF($D444="", $C444, $C444 - $D444/2))</f>
        <v/>
      </c>
      <c r="F444" s="6">
        <f>IF($C444="","", IF($D444="", $C444, $C444 + $D444/2))</f>
        <v/>
      </c>
      <c r="G444" s="6">
        <f>IF($E444="","", DEGREES(ATAN((INDEX(Calc!$E:$E, MATCH("KminusZ_m", Calc!$C:$C, 0)) - $E444 + $B444) / INDEX(Calc!$E:$E, MATCH("L_ramp_m", Calc!$C:$C, 0)))))</f>
        <v/>
      </c>
      <c r="H444" s="3">
        <f>IF($E444="","", IF(AND($E444&gt;=INDEX(Calc!$E:$E, MATCH("min_fwd_draft_m", Calc!$C:$C, 0)), $E444&lt;=INDEX(Calc!$E:$E, MATCH("max_fwd_draft_m", Calc!$C:$C, 0)), $G444&lt;=INDEX(Calc!$E:$E, MATCH("theta_max_deg", Calc!$C:$C, 0))), "OK", "CHECK"))</f>
        <v/>
      </c>
      <c r="I444" s="6">
        <f>IF($E444="","", INDEX(Calc!$E:$E, MATCH("D_vessel_m", Calc!$C:$C, 0)) - $E444 + $B444)</f>
        <v/>
      </c>
      <c r="J444" s="6">
        <f>IF($F444="","", INDEX(Calc!$E:$E, MATCH("D_vessel_m", Calc!$C:$C, 0)) - $F444 + $B444)</f>
        <v/>
      </c>
      <c r="K444" s="3">
        <f>IF(D444=0, "Even Keel", "")</f>
        <v/>
      </c>
    </row>
    <row r="445">
      <c r="A445" s="3">
        <f>IF(December_Tide_2025!A445="","",December_Tide_2025!A445)</f>
        <v/>
      </c>
      <c r="B445" s="6">
        <f>IF(December_Tide_2025!B445="","",December_Tide_2025!B445)</f>
        <v/>
      </c>
      <c r="C445" s="6">
        <f>IF($A445="","", INDEX(Calc!$E:$E, MATCH("KminusZ_m", Calc!$C:$C, 0)) + $B445 - INDEX(Calc!$E:$E, MATCH("L_ramp_m", Calc!$C:$C, 0)) * TAN(RADIANS(INDEX(Calc!$E:$E, MATCH("theta_max_deg", Calc!$C:$C, 0)))))</f>
        <v/>
      </c>
      <c r="D445" s="6" t="n"/>
      <c r="E445" s="6">
        <f>IF($C445="","", IF($D445="", $C445, $C445 - $D445/2))</f>
        <v/>
      </c>
      <c r="F445" s="6">
        <f>IF($C445="","", IF($D445="", $C445, $C445 + $D445/2))</f>
        <v/>
      </c>
      <c r="G445" s="6">
        <f>IF($E445="","", DEGREES(ATAN((INDEX(Calc!$E:$E, MATCH("KminusZ_m", Calc!$C:$C, 0)) - $E445 + $B445) / INDEX(Calc!$E:$E, MATCH("L_ramp_m", Calc!$C:$C, 0)))))</f>
        <v/>
      </c>
      <c r="H445" s="3">
        <f>IF($E445="","", IF(AND($E445&gt;=INDEX(Calc!$E:$E, MATCH("min_fwd_draft_m", Calc!$C:$C, 0)), $E445&lt;=INDEX(Calc!$E:$E, MATCH("max_fwd_draft_m", Calc!$C:$C, 0)), $G445&lt;=INDEX(Calc!$E:$E, MATCH("theta_max_deg", Calc!$C:$C, 0))), "OK", "CHECK"))</f>
        <v/>
      </c>
      <c r="I445" s="6">
        <f>IF($E445="","", INDEX(Calc!$E:$E, MATCH("D_vessel_m", Calc!$C:$C, 0)) - $E445 + $B445)</f>
        <v/>
      </c>
      <c r="J445" s="6">
        <f>IF($F445="","", INDEX(Calc!$E:$E, MATCH("D_vessel_m", Calc!$C:$C, 0)) - $F445 + $B445)</f>
        <v/>
      </c>
      <c r="K445" s="3">
        <f>IF(D445=0, "Even Keel", "")</f>
        <v/>
      </c>
    </row>
    <row r="446">
      <c r="A446" s="3">
        <f>IF(December_Tide_2025!A446="","",December_Tide_2025!A446)</f>
        <v/>
      </c>
      <c r="B446" s="6">
        <f>IF(December_Tide_2025!B446="","",December_Tide_2025!B446)</f>
        <v/>
      </c>
      <c r="C446" s="6">
        <f>IF($A446="","", INDEX(Calc!$E:$E, MATCH("KminusZ_m", Calc!$C:$C, 0)) + $B446 - INDEX(Calc!$E:$E, MATCH("L_ramp_m", Calc!$C:$C, 0)) * TAN(RADIANS(INDEX(Calc!$E:$E, MATCH("theta_max_deg", Calc!$C:$C, 0)))))</f>
        <v/>
      </c>
      <c r="D446" s="6" t="n"/>
      <c r="E446" s="6">
        <f>IF($C446="","", IF($D446="", $C446, $C446 - $D446/2))</f>
        <v/>
      </c>
      <c r="F446" s="6">
        <f>IF($C446="","", IF($D446="", $C446, $C446 + $D446/2))</f>
        <v/>
      </c>
      <c r="G446" s="6">
        <f>IF($E446="","", DEGREES(ATAN((INDEX(Calc!$E:$E, MATCH("KminusZ_m", Calc!$C:$C, 0)) - $E446 + $B446) / INDEX(Calc!$E:$E, MATCH("L_ramp_m", Calc!$C:$C, 0)))))</f>
        <v/>
      </c>
      <c r="H446" s="3">
        <f>IF($E446="","", IF(AND($E446&gt;=INDEX(Calc!$E:$E, MATCH("min_fwd_draft_m", Calc!$C:$C, 0)), $E446&lt;=INDEX(Calc!$E:$E, MATCH("max_fwd_draft_m", Calc!$C:$C, 0)), $G446&lt;=INDEX(Calc!$E:$E, MATCH("theta_max_deg", Calc!$C:$C, 0))), "OK", "CHECK"))</f>
        <v/>
      </c>
      <c r="I446" s="6">
        <f>IF($E446="","", INDEX(Calc!$E:$E, MATCH("D_vessel_m", Calc!$C:$C, 0)) - $E446 + $B446)</f>
        <v/>
      </c>
      <c r="J446" s="6">
        <f>IF($F446="","", INDEX(Calc!$E:$E, MATCH("D_vessel_m", Calc!$C:$C, 0)) - $F446 + $B446)</f>
        <v/>
      </c>
      <c r="K446" s="3">
        <f>IF(D446=0, "Even Keel", "")</f>
        <v/>
      </c>
    </row>
    <row r="447">
      <c r="A447" s="3">
        <f>IF(December_Tide_2025!A447="","",December_Tide_2025!A447)</f>
        <v/>
      </c>
      <c r="B447" s="6">
        <f>IF(December_Tide_2025!B447="","",December_Tide_2025!B447)</f>
        <v/>
      </c>
      <c r="C447" s="6">
        <f>IF($A447="","", INDEX(Calc!$E:$E, MATCH("KminusZ_m", Calc!$C:$C, 0)) + $B447 - INDEX(Calc!$E:$E, MATCH("L_ramp_m", Calc!$C:$C, 0)) * TAN(RADIANS(INDEX(Calc!$E:$E, MATCH("theta_max_deg", Calc!$C:$C, 0)))))</f>
        <v/>
      </c>
      <c r="D447" s="6" t="n"/>
      <c r="E447" s="6">
        <f>IF($C447="","", IF($D447="", $C447, $C447 - $D447/2))</f>
        <v/>
      </c>
      <c r="F447" s="6">
        <f>IF($C447="","", IF($D447="", $C447, $C447 + $D447/2))</f>
        <v/>
      </c>
      <c r="G447" s="6">
        <f>IF($E447="","", DEGREES(ATAN((INDEX(Calc!$E:$E, MATCH("KminusZ_m", Calc!$C:$C, 0)) - $E447 + $B447) / INDEX(Calc!$E:$E, MATCH("L_ramp_m", Calc!$C:$C, 0)))))</f>
        <v/>
      </c>
      <c r="H447" s="3">
        <f>IF($E447="","", IF(AND($E447&gt;=INDEX(Calc!$E:$E, MATCH("min_fwd_draft_m", Calc!$C:$C, 0)), $E447&lt;=INDEX(Calc!$E:$E, MATCH("max_fwd_draft_m", Calc!$C:$C, 0)), $G447&lt;=INDEX(Calc!$E:$E, MATCH("theta_max_deg", Calc!$C:$C, 0))), "OK", "CHECK"))</f>
        <v/>
      </c>
      <c r="I447" s="6">
        <f>IF($E447="","", INDEX(Calc!$E:$E, MATCH("D_vessel_m", Calc!$C:$C, 0)) - $E447 + $B447)</f>
        <v/>
      </c>
      <c r="J447" s="6">
        <f>IF($F447="","", INDEX(Calc!$E:$E, MATCH("D_vessel_m", Calc!$C:$C, 0)) - $F447 + $B447)</f>
        <v/>
      </c>
      <c r="K447" s="3">
        <f>IF(D447=0, "Even Keel", "")</f>
        <v/>
      </c>
    </row>
    <row r="448">
      <c r="A448" s="3">
        <f>IF(December_Tide_2025!A448="","",December_Tide_2025!A448)</f>
        <v/>
      </c>
      <c r="B448" s="6">
        <f>IF(December_Tide_2025!B448="","",December_Tide_2025!B448)</f>
        <v/>
      </c>
      <c r="C448" s="6">
        <f>IF($A448="","", INDEX(Calc!$E:$E, MATCH("KminusZ_m", Calc!$C:$C, 0)) + $B448 - INDEX(Calc!$E:$E, MATCH("L_ramp_m", Calc!$C:$C, 0)) * TAN(RADIANS(INDEX(Calc!$E:$E, MATCH("theta_max_deg", Calc!$C:$C, 0)))))</f>
        <v/>
      </c>
      <c r="D448" s="6" t="n"/>
      <c r="E448" s="6">
        <f>IF($C448="","", IF($D448="", $C448, $C448 - $D448/2))</f>
        <v/>
      </c>
      <c r="F448" s="6">
        <f>IF($C448="","", IF($D448="", $C448, $C448 + $D448/2))</f>
        <v/>
      </c>
      <c r="G448" s="6">
        <f>IF($E448="","", DEGREES(ATAN((INDEX(Calc!$E:$E, MATCH("KminusZ_m", Calc!$C:$C, 0)) - $E448 + $B448) / INDEX(Calc!$E:$E, MATCH("L_ramp_m", Calc!$C:$C, 0)))))</f>
        <v/>
      </c>
      <c r="H448" s="3">
        <f>IF($E448="","", IF(AND($E448&gt;=INDEX(Calc!$E:$E, MATCH("min_fwd_draft_m", Calc!$C:$C, 0)), $E448&lt;=INDEX(Calc!$E:$E, MATCH("max_fwd_draft_m", Calc!$C:$C, 0)), $G448&lt;=INDEX(Calc!$E:$E, MATCH("theta_max_deg", Calc!$C:$C, 0))), "OK", "CHECK"))</f>
        <v/>
      </c>
      <c r="I448" s="6">
        <f>IF($E448="","", INDEX(Calc!$E:$E, MATCH("D_vessel_m", Calc!$C:$C, 0)) - $E448 + $B448)</f>
        <v/>
      </c>
      <c r="J448" s="6">
        <f>IF($F448="","", INDEX(Calc!$E:$E, MATCH("D_vessel_m", Calc!$C:$C, 0)) - $F448 + $B448)</f>
        <v/>
      </c>
      <c r="K448" s="3">
        <f>IF(D448=0, "Even Keel", "")</f>
        <v/>
      </c>
    </row>
    <row r="449">
      <c r="A449" s="3">
        <f>IF(December_Tide_2025!A449="","",December_Tide_2025!A449)</f>
        <v/>
      </c>
      <c r="B449" s="6">
        <f>IF(December_Tide_2025!B449="","",December_Tide_2025!B449)</f>
        <v/>
      </c>
      <c r="C449" s="6">
        <f>IF($A449="","", INDEX(Calc!$E:$E, MATCH("KminusZ_m", Calc!$C:$C, 0)) + $B449 - INDEX(Calc!$E:$E, MATCH("L_ramp_m", Calc!$C:$C, 0)) * TAN(RADIANS(INDEX(Calc!$E:$E, MATCH("theta_max_deg", Calc!$C:$C, 0)))))</f>
        <v/>
      </c>
      <c r="D449" s="6" t="n"/>
      <c r="E449" s="6">
        <f>IF($C449="","", IF($D449="", $C449, $C449 - $D449/2))</f>
        <v/>
      </c>
      <c r="F449" s="6">
        <f>IF($C449="","", IF($D449="", $C449, $C449 + $D449/2))</f>
        <v/>
      </c>
      <c r="G449" s="6">
        <f>IF($E449="","", DEGREES(ATAN((INDEX(Calc!$E:$E, MATCH("KminusZ_m", Calc!$C:$C, 0)) - $E449 + $B449) / INDEX(Calc!$E:$E, MATCH("L_ramp_m", Calc!$C:$C, 0)))))</f>
        <v/>
      </c>
      <c r="H449" s="3">
        <f>IF($E449="","", IF(AND($E449&gt;=INDEX(Calc!$E:$E, MATCH("min_fwd_draft_m", Calc!$C:$C, 0)), $E449&lt;=INDEX(Calc!$E:$E, MATCH("max_fwd_draft_m", Calc!$C:$C, 0)), $G449&lt;=INDEX(Calc!$E:$E, MATCH("theta_max_deg", Calc!$C:$C, 0))), "OK", "CHECK"))</f>
        <v/>
      </c>
      <c r="I449" s="6">
        <f>IF($E449="","", INDEX(Calc!$E:$E, MATCH("D_vessel_m", Calc!$C:$C, 0)) - $E449 + $B449)</f>
        <v/>
      </c>
      <c r="J449" s="6">
        <f>IF($F449="","", INDEX(Calc!$E:$E, MATCH("D_vessel_m", Calc!$C:$C, 0)) - $F449 + $B449)</f>
        <v/>
      </c>
      <c r="K449" s="3">
        <f>IF(D449=0, "Even Keel", "")</f>
        <v/>
      </c>
    </row>
    <row r="450">
      <c r="A450" s="3">
        <f>IF(December_Tide_2025!A450="","",December_Tide_2025!A450)</f>
        <v/>
      </c>
      <c r="B450" s="6">
        <f>IF(December_Tide_2025!B450="","",December_Tide_2025!B450)</f>
        <v/>
      </c>
      <c r="C450" s="6">
        <f>IF($A450="","", INDEX(Calc!$E:$E, MATCH("KminusZ_m", Calc!$C:$C, 0)) + $B450 - INDEX(Calc!$E:$E, MATCH("L_ramp_m", Calc!$C:$C, 0)) * TAN(RADIANS(INDEX(Calc!$E:$E, MATCH("theta_max_deg", Calc!$C:$C, 0)))))</f>
        <v/>
      </c>
      <c r="D450" s="6" t="n"/>
      <c r="E450" s="6">
        <f>IF($C450="","", IF($D450="", $C450, $C450 - $D450/2))</f>
        <v/>
      </c>
      <c r="F450" s="6">
        <f>IF($C450="","", IF($D450="", $C450, $C450 + $D450/2))</f>
        <v/>
      </c>
      <c r="G450" s="6">
        <f>IF($E450="","", DEGREES(ATAN((INDEX(Calc!$E:$E, MATCH("KminusZ_m", Calc!$C:$C, 0)) - $E450 + $B450) / INDEX(Calc!$E:$E, MATCH("L_ramp_m", Calc!$C:$C, 0)))))</f>
        <v/>
      </c>
      <c r="H450" s="3">
        <f>IF($E450="","", IF(AND($E450&gt;=INDEX(Calc!$E:$E, MATCH("min_fwd_draft_m", Calc!$C:$C, 0)), $E450&lt;=INDEX(Calc!$E:$E, MATCH("max_fwd_draft_m", Calc!$C:$C, 0)), $G450&lt;=INDEX(Calc!$E:$E, MATCH("theta_max_deg", Calc!$C:$C, 0))), "OK", "CHECK"))</f>
        <v/>
      </c>
      <c r="I450" s="6">
        <f>IF($E450="","", INDEX(Calc!$E:$E, MATCH("D_vessel_m", Calc!$C:$C, 0)) - $E450 + $B450)</f>
        <v/>
      </c>
      <c r="J450" s="6">
        <f>IF($F450="","", INDEX(Calc!$E:$E, MATCH("D_vessel_m", Calc!$C:$C, 0)) - $F450 + $B450)</f>
        <v/>
      </c>
      <c r="K450" s="3">
        <f>IF(D450=0, "Even Keel", "")</f>
        <v/>
      </c>
    </row>
    <row r="451">
      <c r="A451" s="3">
        <f>IF(December_Tide_2025!A451="","",December_Tide_2025!A451)</f>
        <v/>
      </c>
      <c r="B451" s="6">
        <f>IF(December_Tide_2025!B451="","",December_Tide_2025!B451)</f>
        <v/>
      </c>
      <c r="C451" s="6">
        <f>IF($A451="","", INDEX(Calc!$E:$E, MATCH("KminusZ_m", Calc!$C:$C, 0)) + $B451 - INDEX(Calc!$E:$E, MATCH("L_ramp_m", Calc!$C:$C, 0)) * TAN(RADIANS(INDEX(Calc!$E:$E, MATCH("theta_max_deg", Calc!$C:$C, 0)))))</f>
        <v/>
      </c>
      <c r="D451" s="6" t="n"/>
      <c r="E451" s="6">
        <f>IF($C451="","", IF($D451="", $C451, $C451 - $D451/2))</f>
        <v/>
      </c>
      <c r="F451" s="6">
        <f>IF($C451="","", IF($D451="", $C451, $C451 + $D451/2))</f>
        <v/>
      </c>
      <c r="G451" s="6">
        <f>IF($E451="","", DEGREES(ATAN((INDEX(Calc!$E:$E, MATCH("KminusZ_m", Calc!$C:$C, 0)) - $E451 + $B451) / INDEX(Calc!$E:$E, MATCH("L_ramp_m", Calc!$C:$C, 0)))))</f>
        <v/>
      </c>
      <c r="H451" s="3">
        <f>IF($E451="","", IF(AND($E451&gt;=INDEX(Calc!$E:$E, MATCH("min_fwd_draft_m", Calc!$C:$C, 0)), $E451&lt;=INDEX(Calc!$E:$E, MATCH("max_fwd_draft_m", Calc!$C:$C, 0)), $G451&lt;=INDEX(Calc!$E:$E, MATCH("theta_max_deg", Calc!$C:$C, 0))), "OK", "CHECK"))</f>
        <v/>
      </c>
      <c r="I451" s="6">
        <f>IF($E451="","", INDEX(Calc!$E:$E, MATCH("D_vessel_m", Calc!$C:$C, 0)) - $E451 + $B451)</f>
        <v/>
      </c>
      <c r="J451" s="6">
        <f>IF($F451="","", INDEX(Calc!$E:$E, MATCH("D_vessel_m", Calc!$C:$C, 0)) - $F451 + $B451)</f>
        <v/>
      </c>
      <c r="K451" s="3">
        <f>IF(D451=0, "Even Keel", "")</f>
        <v/>
      </c>
    </row>
    <row r="452">
      <c r="A452" s="3">
        <f>IF(December_Tide_2025!A452="","",December_Tide_2025!A452)</f>
        <v/>
      </c>
      <c r="B452" s="6">
        <f>IF(December_Tide_2025!B452="","",December_Tide_2025!B452)</f>
        <v/>
      </c>
      <c r="C452" s="6">
        <f>IF($A452="","", INDEX(Calc!$E:$E, MATCH("KminusZ_m", Calc!$C:$C, 0)) + $B452 - INDEX(Calc!$E:$E, MATCH("L_ramp_m", Calc!$C:$C, 0)) * TAN(RADIANS(INDEX(Calc!$E:$E, MATCH("theta_max_deg", Calc!$C:$C, 0)))))</f>
        <v/>
      </c>
      <c r="D452" s="6" t="n"/>
      <c r="E452" s="6">
        <f>IF($C452="","", IF($D452="", $C452, $C452 - $D452/2))</f>
        <v/>
      </c>
      <c r="F452" s="6">
        <f>IF($C452="","", IF($D452="", $C452, $C452 + $D452/2))</f>
        <v/>
      </c>
      <c r="G452" s="6">
        <f>IF($E452="","", DEGREES(ATAN((INDEX(Calc!$E:$E, MATCH("KminusZ_m", Calc!$C:$C, 0)) - $E452 + $B452) / INDEX(Calc!$E:$E, MATCH("L_ramp_m", Calc!$C:$C, 0)))))</f>
        <v/>
      </c>
      <c r="H452" s="3">
        <f>IF($E452="","", IF(AND($E452&gt;=INDEX(Calc!$E:$E, MATCH("min_fwd_draft_m", Calc!$C:$C, 0)), $E452&lt;=INDEX(Calc!$E:$E, MATCH("max_fwd_draft_m", Calc!$C:$C, 0)), $G452&lt;=INDEX(Calc!$E:$E, MATCH("theta_max_deg", Calc!$C:$C, 0))), "OK", "CHECK"))</f>
        <v/>
      </c>
      <c r="I452" s="6">
        <f>IF($E452="","", INDEX(Calc!$E:$E, MATCH("D_vessel_m", Calc!$C:$C, 0)) - $E452 + $B452)</f>
        <v/>
      </c>
      <c r="J452" s="6">
        <f>IF($F452="","", INDEX(Calc!$E:$E, MATCH("D_vessel_m", Calc!$C:$C, 0)) - $F452 + $B452)</f>
        <v/>
      </c>
      <c r="K452" s="3">
        <f>IF(D452=0, "Even Keel", "")</f>
        <v/>
      </c>
    </row>
    <row r="453">
      <c r="A453" s="3">
        <f>IF(December_Tide_2025!A453="","",December_Tide_2025!A453)</f>
        <v/>
      </c>
      <c r="B453" s="6">
        <f>IF(December_Tide_2025!B453="","",December_Tide_2025!B453)</f>
        <v/>
      </c>
      <c r="C453" s="6">
        <f>IF($A453="","", INDEX(Calc!$E:$E, MATCH("KminusZ_m", Calc!$C:$C, 0)) + $B453 - INDEX(Calc!$E:$E, MATCH("L_ramp_m", Calc!$C:$C, 0)) * TAN(RADIANS(INDEX(Calc!$E:$E, MATCH("theta_max_deg", Calc!$C:$C, 0)))))</f>
        <v/>
      </c>
      <c r="D453" s="6" t="n"/>
      <c r="E453" s="6">
        <f>IF($C453="","", IF($D453="", $C453, $C453 - $D453/2))</f>
        <v/>
      </c>
      <c r="F453" s="6">
        <f>IF($C453="","", IF($D453="", $C453, $C453 + $D453/2))</f>
        <v/>
      </c>
      <c r="G453" s="6">
        <f>IF($E453="","", DEGREES(ATAN((INDEX(Calc!$E:$E, MATCH("KminusZ_m", Calc!$C:$C, 0)) - $E453 + $B453) / INDEX(Calc!$E:$E, MATCH("L_ramp_m", Calc!$C:$C, 0)))))</f>
        <v/>
      </c>
      <c r="H453" s="3">
        <f>IF($E453="","", IF(AND($E453&gt;=INDEX(Calc!$E:$E, MATCH("min_fwd_draft_m", Calc!$C:$C, 0)), $E453&lt;=INDEX(Calc!$E:$E, MATCH("max_fwd_draft_m", Calc!$C:$C, 0)), $G453&lt;=INDEX(Calc!$E:$E, MATCH("theta_max_deg", Calc!$C:$C, 0))), "OK", "CHECK"))</f>
        <v/>
      </c>
      <c r="I453" s="6">
        <f>IF($E453="","", INDEX(Calc!$E:$E, MATCH("D_vessel_m", Calc!$C:$C, 0)) - $E453 + $B453)</f>
        <v/>
      </c>
      <c r="J453" s="6">
        <f>IF($F453="","", INDEX(Calc!$E:$E, MATCH("D_vessel_m", Calc!$C:$C, 0)) - $F453 + $B453)</f>
        <v/>
      </c>
      <c r="K453" s="3">
        <f>IF(D453=0, "Even Keel", "")</f>
        <v/>
      </c>
    </row>
    <row r="454">
      <c r="A454" s="3">
        <f>IF(December_Tide_2025!A454="","",December_Tide_2025!A454)</f>
        <v/>
      </c>
      <c r="B454" s="6">
        <f>IF(December_Tide_2025!B454="","",December_Tide_2025!B454)</f>
        <v/>
      </c>
      <c r="C454" s="6">
        <f>IF($A454="","", INDEX(Calc!$E:$E, MATCH("KminusZ_m", Calc!$C:$C, 0)) + $B454 - INDEX(Calc!$E:$E, MATCH("L_ramp_m", Calc!$C:$C, 0)) * TAN(RADIANS(INDEX(Calc!$E:$E, MATCH("theta_max_deg", Calc!$C:$C, 0)))))</f>
        <v/>
      </c>
      <c r="D454" s="6" t="n"/>
      <c r="E454" s="6">
        <f>IF($C454="","", IF($D454="", $C454, $C454 - $D454/2))</f>
        <v/>
      </c>
      <c r="F454" s="6">
        <f>IF($C454="","", IF($D454="", $C454, $C454 + $D454/2))</f>
        <v/>
      </c>
      <c r="G454" s="6">
        <f>IF($E454="","", DEGREES(ATAN((INDEX(Calc!$E:$E, MATCH("KminusZ_m", Calc!$C:$C, 0)) - $E454 + $B454) / INDEX(Calc!$E:$E, MATCH("L_ramp_m", Calc!$C:$C, 0)))))</f>
        <v/>
      </c>
      <c r="H454" s="3">
        <f>IF($E454="","", IF(AND($E454&gt;=INDEX(Calc!$E:$E, MATCH("min_fwd_draft_m", Calc!$C:$C, 0)), $E454&lt;=INDEX(Calc!$E:$E, MATCH("max_fwd_draft_m", Calc!$C:$C, 0)), $G454&lt;=INDEX(Calc!$E:$E, MATCH("theta_max_deg", Calc!$C:$C, 0))), "OK", "CHECK"))</f>
        <v/>
      </c>
      <c r="I454" s="6">
        <f>IF($E454="","", INDEX(Calc!$E:$E, MATCH("D_vessel_m", Calc!$C:$C, 0)) - $E454 + $B454)</f>
        <v/>
      </c>
      <c r="J454" s="6">
        <f>IF($F454="","", INDEX(Calc!$E:$E, MATCH("D_vessel_m", Calc!$C:$C, 0)) - $F454 + $B454)</f>
        <v/>
      </c>
      <c r="K454" s="3">
        <f>IF(D454=0, "Even Keel", "")</f>
        <v/>
      </c>
    </row>
    <row r="455">
      <c r="A455" s="3">
        <f>IF(December_Tide_2025!A455="","",December_Tide_2025!A455)</f>
        <v/>
      </c>
      <c r="B455" s="6">
        <f>IF(December_Tide_2025!B455="","",December_Tide_2025!B455)</f>
        <v/>
      </c>
      <c r="C455" s="6">
        <f>IF($A455="","", INDEX(Calc!$E:$E, MATCH("KminusZ_m", Calc!$C:$C, 0)) + $B455 - INDEX(Calc!$E:$E, MATCH("L_ramp_m", Calc!$C:$C, 0)) * TAN(RADIANS(INDEX(Calc!$E:$E, MATCH("theta_max_deg", Calc!$C:$C, 0)))))</f>
        <v/>
      </c>
      <c r="D455" s="6" t="n"/>
      <c r="E455" s="6">
        <f>IF($C455="","", IF($D455="", $C455, $C455 - $D455/2))</f>
        <v/>
      </c>
      <c r="F455" s="6">
        <f>IF($C455="","", IF($D455="", $C455, $C455 + $D455/2))</f>
        <v/>
      </c>
      <c r="G455" s="6">
        <f>IF($E455="","", DEGREES(ATAN((INDEX(Calc!$E:$E, MATCH("KminusZ_m", Calc!$C:$C, 0)) - $E455 + $B455) / INDEX(Calc!$E:$E, MATCH("L_ramp_m", Calc!$C:$C, 0)))))</f>
        <v/>
      </c>
      <c r="H455" s="3">
        <f>IF($E455="","", IF(AND($E455&gt;=INDEX(Calc!$E:$E, MATCH("min_fwd_draft_m", Calc!$C:$C, 0)), $E455&lt;=INDEX(Calc!$E:$E, MATCH("max_fwd_draft_m", Calc!$C:$C, 0)), $G455&lt;=INDEX(Calc!$E:$E, MATCH("theta_max_deg", Calc!$C:$C, 0))), "OK", "CHECK"))</f>
        <v/>
      </c>
      <c r="I455" s="6">
        <f>IF($E455="","", INDEX(Calc!$E:$E, MATCH("D_vessel_m", Calc!$C:$C, 0)) - $E455 + $B455)</f>
        <v/>
      </c>
      <c r="J455" s="6">
        <f>IF($F455="","", INDEX(Calc!$E:$E, MATCH("D_vessel_m", Calc!$C:$C, 0)) - $F455 + $B455)</f>
        <v/>
      </c>
      <c r="K455" s="3">
        <f>IF(D455=0, "Even Keel", "")</f>
        <v/>
      </c>
    </row>
    <row r="456">
      <c r="A456" s="3">
        <f>IF(December_Tide_2025!A456="","",December_Tide_2025!A456)</f>
        <v/>
      </c>
      <c r="B456" s="6">
        <f>IF(December_Tide_2025!B456="","",December_Tide_2025!B456)</f>
        <v/>
      </c>
      <c r="C456" s="6">
        <f>IF($A456="","", INDEX(Calc!$E:$E, MATCH("KminusZ_m", Calc!$C:$C, 0)) + $B456 - INDEX(Calc!$E:$E, MATCH("L_ramp_m", Calc!$C:$C, 0)) * TAN(RADIANS(INDEX(Calc!$E:$E, MATCH("theta_max_deg", Calc!$C:$C, 0)))))</f>
        <v/>
      </c>
      <c r="D456" s="6" t="n"/>
      <c r="E456" s="6">
        <f>IF($C456="","", IF($D456="", $C456, $C456 - $D456/2))</f>
        <v/>
      </c>
      <c r="F456" s="6">
        <f>IF($C456="","", IF($D456="", $C456, $C456 + $D456/2))</f>
        <v/>
      </c>
      <c r="G456" s="6">
        <f>IF($E456="","", DEGREES(ATAN((INDEX(Calc!$E:$E, MATCH("KminusZ_m", Calc!$C:$C, 0)) - $E456 + $B456) / INDEX(Calc!$E:$E, MATCH("L_ramp_m", Calc!$C:$C, 0)))))</f>
        <v/>
      </c>
      <c r="H456" s="3">
        <f>IF($E456="","", IF(AND($E456&gt;=INDEX(Calc!$E:$E, MATCH("min_fwd_draft_m", Calc!$C:$C, 0)), $E456&lt;=INDEX(Calc!$E:$E, MATCH("max_fwd_draft_m", Calc!$C:$C, 0)), $G456&lt;=INDEX(Calc!$E:$E, MATCH("theta_max_deg", Calc!$C:$C, 0))), "OK", "CHECK"))</f>
        <v/>
      </c>
      <c r="I456" s="6">
        <f>IF($E456="","", INDEX(Calc!$E:$E, MATCH("D_vessel_m", Calc!$C:$C, 0)) - $E456 + $B456)</f>
        <v/>
      </c>
      <c r="J456" s="6">
        <f>IF($F456="","", INDEX(Calc!$E:$E, MATCH("D_vessel_m", Calc!$C:$C, 0)) - $F456 + $B456)</f>
        <v/>
      </c>
      <c r="K456" s="3">
        <f>IF(D456=0, "Even Keel", "")</f>
        <v/>
      </c>
    </row>
    <row r="457">
      <c r="A457" s="3">
        <f>IF(December_Tide_2025!A457="","",December_Tide_2025!A457)</f>
        <v/>
      </c>
      <c r="B457" s="6">
        <f>IF(December_Tide_2025!B457="","",December_Tide_2025!B457)</f>
        <v/>
      </c>
      <c r="C457" s="6">
        <f>IF($A457="","", INDEX(Calc!$E:$E, MATCH("KminusZ_m", Calc!$C:$C, 0)) + $B457 - INDEX(Calc!$E:$E, MATCH("L_ramp_m", Calc!$C:$C, 0)) * TAN(RADIANS(INDEX(Calc!$E:$E, MATCH("theta_max_deg", Calc!$C:$C, 0)))))</f>
        <v/>
      </c>
      <c r="D457" s="6" t="n"/>
      <c r="E457" s="6">
        <f>IF($C457="","", IF($D457="", $C457, $C457 - $D457/2))</f>
        <v/>
      </c>
      <c r="F457" s="6">
        <f>IF($C457="","", IF($D457="", $C457, $C457 + $D457/2))</f>
        <v/>
      </c>
      <c r="G457" s="6">
        <f>IF($E457="","", DEGREES(ATAN((INDEX(Calc!$E:$E, MATCH("KminusZ_m", Calc!$C:$C, 0)) - $E457 + $B457) / INDEX(Calc!$E:$E, MATCH("L_ramp_m", Calc!$C:$C, 0)))))</f>
        <v/>
      </c>
      <c r="H457" s="3">
        <f>IF($E457="","", IF(AND($E457&gt;=INDEX(Calc!$E:$E, MATCH("min_fwd_draft_m", Calc!$C:$C, 0)), $E457&lt;=INDEX(Calc!$E:$E, MATCH("max_fwd_draft_m", Calc!$C:$C, 0)), $G457&lt;=INDEX(Calc!$E:$E, MATCH("theta_max_deg", Calc!$C:$C, 0))), "OK", "CHECK"))</f>
        <v/>
      </c>
      <c r="I457" s="6">
        <f>IF($E457="","", INDEX(Calc!$E:$E, MATCH("D_vessel_m", Calc!$C:$C, 0)) - $E457 + $B457)</f>
        <v/>
      </c>
      <c r="J457" s="6">
        <f>IF($F457="","", INDEX(Calc!$E:$E, MATCH("D_vessel_m", Calc!$C:$C, 0)) - $F457 + $B457)</f>
        <v/>
      </c>
      <c r="K457" s="3">
        <f>IF(D457=0, "Even Keel", "")</f>
        <v/>
      </c>
    </row>
    <row r="458">
      <c r="A458" s="3">
        <f>IF(December_Tide_2025!A458="","",December_Tide_2025!A458)</f>
        <v/>
      </c>
      <c r="B458" s="6">
        <f>IF(December_Tide_2025!B458="","",December_Tide_2025!B458)</f>
        <v/>
      </c>
      <c r="C458" s="6">
        <f>IF($A458="","", INDEX(Calc!$E:$E, MATCH("KminusZ_m", Calc!$C:$C, 0)) + $B458 - INDEX(Calc!$E:$E, MATCH("L_ramp_m", Calc!$C:$C, 0)) * TAN(RADIANS(INDEX(Calc!$E:$E, MATCH("theta_max_deg", Calc!$C:$C, 0)))))</f>
        <v/>
      </c>
      <c r="D458" s="6" t="n"/>
      <c r="E458" s="6">
        <f>IF($C458="","", IF($D458="", $C458, $C458 - $D458/2))</f>
        <v/>
      </c>
      <c r="F458" s="6">
        <f>IF($C458="","", IF($D458="", $C458, $C458 + $D458/2))</f>
        <v/>
      </c>
      <c r="G458" s="6">
        <f>IF($E458="","", DEGREES(ATAN((INDEX(Calc!$E:$E, MATCH("KminusZ_m", Calc!$C:$C, 0)) - $E458 + $B458) / INDEX(Calc!$E:$E, MATCH("L_ramp_m", Calc!$C:$C, 0)))))</f>
        <v/>
      </c>
      <c r="H458" s="3">
        <f>IF($E458="","", IF(AND($E458&gt;=INDEX(Calc!$E:$E, MATCH("min_fwd_draft_m", Calc!$C:$C, 0)), $E458&lt;=INDEX(Calc!$E:$E, MATCH("max_fwd_draft_m", Calc!$C:$C, 0)), $G458&lt;=INDEX(Calc!$E:$E, MATCH("theta_max_deg", Calc!$C:$C, 0))), "OK", "CHECK"))</f>
        <v/>
      </c>
      <c r="I458" s="6">
        <f>IF($E458="","", INDEX(Calc!$E:$E, MATCH("D_vessel_m", Calc!$C:$C, 0)) - $E458 + $B458)</f>
        <v/>
      </c>
      <c r="J458" s="6">
        <f>IF($F458="","", INDEX(Calc!$E:$E, MATCH("D_vessel_m", Calc!$C:$C, 0)) - $F458 + $B458)</f>
        <v/>
      </c>
      <c r="K458" s="3">
        <f>IF(D458=0, "Even Keel", "")</f>
        <v/>
      </c>
    </row>
    <row r="459">
      <c r="A459" s="3">
        <f>IF(December_Tide_2025!A459="","",December_Tide_2025!A459)</f>
        <v/>
      </c>
      <c r="B459" s="6">
        <f>IF(December_Tide_2025!B459="","",December_Tide_2025!B459)</f>
        <v/>
      </c>
      <c r="C459" s="6">
        <f>IF($A459="","", INDEX(Calc!$E:$E, MATCH("KminusZ_m", Calc!$C:$C, 0)) + $B459 - INDEX(Calc!$E:$E, MATCH("L_ramp_m", Calc!$C:$C, 0)) * TAN(RADIANS(INDEX(Calc!$E:$E, MATCH("theta_max_deg", Calc!$C:$C, 0)))))</f>
        <v/>
      </c>
      <c r="D459" s="6" t="n"/>
      <c r="E459" s="6">
        <f>IF($C459="","", IF($D459="", $C459, $C459 - $D459/2))</f>
        <v/>
      </c>
      <c r="F459" s="6">
        <f>IF($C459="","", IF($D459="", $C459, $C459 + $D459/2))</f>
        <v/>
      </c>
      <c r="G459" s="6">
        <f>IF($E459="","", DEGREES(ATAN((INDEX(Calc!$E:$E, MATCH("KminusZ_m", Calc!$C:$C, 0)) - $E459 + $B459) / INDEX(Calc!$E:$E, MATCH("L_ramp_m", Calc!$C:$C, 0)))))</f>
        <v/>
      </c>
      <c r="H459" s="3">
        <f>IF($E459="","", IF(AND($E459&gt;=INDEX(Calc!$E:$E, MATCH("min_fwd_draft_m", Calc!$C:$C, 0)), $E459&lt;=INDEX(Calc!$E:$E, MATCH("max_fwd_draft_m", Calc!$C:$C, 0)), $G459&lt;=INDEX(Calc!$E:$E, MATCH("theta_max_deg", Calc!$C:$C, 0))), "OK", "CHECK"))</f>
        <v/>
      </c>
      <c r="I459" s="6">
        <f>IF($E459="","", INDEX(Calc!$E:$E, MATCH("D_vessel_m", Calc!$C:$C, 0)) - $E459 + $B459)</f>
        <v/>
      </c>
      <c r="J459" s="6">
        <f>IF($F459="","", INDEX(Calc!$E:$E, MATCH("D_vessel_m", Calc!$C:$C, 0)) - $F459 + $B459)</f>
        <v/>
      </c>
      <c r="K459" s="3">
        <f>IF(D459=0, "Even Keel", "")</f>
        <v/>
      </c>
    </row>
    <row r="460">
      <c r="A460" s="3">
        <f>IF(December_Tide_2025!A460="","",December_Tide_2025!A460)</f>
        <v/>
      </c>
      <c r="B460" s="6">
        <f>IF(December_Tide_2025!B460="","",December_Tide_2025!B460)</f>
        <v/>
      </c>
      <c r="C460" s="6">
        <f>IF($A460="","", INDEX(Calc!$E:$E, MATCH("KminusZ_m", Calc!$C:$C, 0)) + $B460 - INDEX(Calc!$E:$E, MATCH("L_ramp_m", Calc!$C:$C, 0)) * TAN(RADIANS(INDEX(Calc!$E:$E, MATCH("theta_max_deg", Calc!$C:$C, 0)))))</f>
        <v/>
      </c>
      <c r="D460" s="6" t="n"/>
      <c r="E460" s="6">
        <f>IF($C460="","", IF($D460="", $C460, $C460 - $D460/2))</f>
        <v/>
      </c>
      <c r="F460" s="6">
        <f>IF($C460="","", IF($D460="", $C460, $C460 + $D460/2))</f>
        <v/>
      </c>
      <c r="G460" s="6">
        <f>IF($E460="","", DEGREES(ATAN((INDEX(Calc!$E:$E, MATCH("KminusZ_m", Calc!$C:$C, 0)) - $E460 + $B460) / INDEX(Calc!$E:$E, MATCH("L_ramp_m", Calc!$C:$C, 0)))))</f>
        <v/>
      </c>
      <c r="H460" s="3">
        <f>IF($E460="","", IF(AND($E460&gt;=INDEX(Calc!$E:$E, MATCH("min_fwd_draft_m", Calc!$C:$C, 0)), $E460&lt;=INDEX(Calc!$E:$E, MATCH("max_fwd_draft_m", Calc!$C:$C, 0)), $G460&lt;=INDEX(Calc!$E:$E, MATCH("theta_max_deg", Calc!$C:$C, 0))), "OK", "CHECK"))</f>
        <v/>
      </c>
      <c r="I460" s="6">
        <f>IF($E460="","", INDEX(Calc!$E:$E, MATCH("D_vessel_m", Calc!$C:$C, 0)) - $E460 + $B460)</f>
        <v/>
      </c>
      <c r="J460" s="6">
        <f>IF($F460="","", INDEX(Calc!$E:$E, MATCH("D_vessel_m", Calc!$C:$C, 0)) - $F460 + $B460)</f>
        <v/>
      </c>
      <c r="K460" s="3">
        <f>IF(D460=0, "Even Keel", "")</f>
        <v/>
      </c>
    </row>
    <row r="461">
      <c r="A461" s="3">
        <f>IF(December_Tide_2025!A461="","",December_Tide_2025!A461)</f>
        <v/>
      </c>
      <c r="B461" s="6">
        <f>IF(December_Tide_2025!B461="","",December_Tide_2025!B461)</f>
        <v/>
      </c>
      <c r="C461" s="6">
        <f>IF($A461="","", INDEX(Calc!$E:$E, MATCH("KminusZ_m", Calc!$C:$C, 0)) + $B461 - INDEX(Calc!$E:$E, MATCH("L_ramp_m", Calc!$C:$C, 0)) * TAN(RADIANS(INDEX(Calc!$E:$E, MATCH("theta_max_deg", Calc!$C:$C, 0)))))</f>
        <v/>
      </c>
      <c r="D461" s="6" t="n"/>
      <c r="E461" s="6">
        <f>IF($C461="","", IF($D461="", $C461, $C461 - $D461/2))</f>
        <v/>
      </c>
      <c r="F461" s="6">
        <f>IF($C461="","", IF($D461="", $C461, $C461 + $D461/2))</f>
        <v/>
      </c>
      <c r="G461" s="6">
        <f>IF($E461="","", DEGREES(ATAN((INDEX(Calc!$E:$E, MATCH("KminusZ_m", Calc!$C:$C, 0)) - $E461 + $B461) / INDEX(Calc!$E:$E, MATCH("L_ramp_m", Calc!$C:$C, 0)))))</f>
        <v/>
      </c>
      <c r="H461" s="3">
        <f>IF($E461="","", IF(AND($E461&gt;=INDEX(Calc!$E:$E, MATCH("min_fwd_draft_m", Calc!$C:$C, 0)), $E461&lt;=INDEX(Calc!$E:$E, MATCH("max_fwd_draft_m", Calc!$C:$C, 0)), $G461&lt;=INDEX(Calc!$E:$E, MATCH("theta_max_deg", Calc!$C:$C, 0))), "OK", "CHECK"))</f>
        <v/>
      </c>
      <c r="I461" s="6">
        <f>IF($E461="","", INDEX(Calc!$E:$E, MATCH("D_vessel_m", Calc!$C:$C, 0)) - $E461 + $B461)</f>
        <v/>
      </c>
      <c r="J461" s="6">
        <f>IF($F461="","", INDEX(Calc!$E:$E, MATCH("D_vessel_m", Calc!$C:$C, 0)) - $F461 + $B461)</f>
        <v/>
      </c>
      <c r="K461" s="3">
        <f>IF(D461=0, "Even Keel", "")</f>
        <v/>
      </c>
    </row>
    <row r="462">
      <c r="A462" s="3">
        <f>IF(December_Tide_2025!A462="","",December_Tide_2025!A462)</f>
        <v/>
      </c>
      <c r="B462" s="6">
        <f>IF(December_Tide_2025!B462="","",December_Tide_2025!B462)</f>
        <v/>
      </c>
      <c r="C462" s="6">
        <f>IF($A462="","", INDEX(Calc!$E:$E, MATCH("KminusZ_m", Calc!$C:$C, 0)) + $B462 - INDEX(Calc!$E:$E, MATCH("L_ramp_m", Calc!$C:$C, 0)) * TAN(RADIANS(INDEX(Calc!$E:$E, MATCH("theta_max_deg", Calc!$C:$C, 0)))))</f>
        <v/>
      </c>
      <c r="D462" s="6" t="n"/>
      <c r="E462" s="6">
        <f>IF($C462="","", IF($D462="", $C462, $C462 - $D462/2))</f>
        <v/>
      </c>
      <c r="F462" s="6">
        <f>IF($C462="","", IF($D462="", $C462, $C462 + $D462/2))</f>
        <v/>
      </c>
      <c r="G462" s="6">
        <f>IF($E462="","", DEGREES(ATAN((INDEX(Calc!$E:$E, MATCH("KminusZ_m", Calc!$C:$C, 0)) - $E462 + $B462) / INDEX(Calc!$E:$E, MATCH("L_ramp_m", Calc!$C:$C, 0)))))</f>
        <v/>
      </c>
      <c r="H462" s="3">
        <f>IF($E462="","", IF(AND($E462&gt;=INDEX(Calc!$E:$E, MATCH("min_fwd_draft_m", Calc!$C:$C, 0)), $E462&lt;=INDEX(Calc!$E:$E, MATCH("max_fwd_draft_m", Calc!$C:$C, 0)), $G462&lt;=INDEX(Calc!$E:$E, MATCH("theta_max_deg", Calc!$C:$C, 0))), "OK", "CHECK"))</f>
        <v/>
      </c>
      <c r="I462" s="6">
        <f>IF($E462="","", INDEX(Calc!$E:$E, MATCH("D_vessel_m", Calc!$C:$C, 0)) - $E462 + $B462)</f>
        <v/>
      </c>
      <c r="J462" s="6">
        <f>IF($F462="","", INDEX(Calc!$E:$E, MATCH("D_vessel_m", Calc!$C:$C, 0)) - $F462 + $B462)</f>
        <v/>
      </c>
      <c r="K462" s="3">
        <f>IF(D462=0, "Even Keel", "")</f>
        <v/>
      </c>
    </row>
    <row r="463">
      <c r="A463" s="3">
        <f>IF(December_Tide_2025!A463="","",December_Tide_2025!A463)</f>
        <v/>
      </c>
      <c r="B463" s="6">
        <f>IF(December_Tide_2025!B463="","",December_Tide_2025!B463)</f>
        <v/>
      </c>
      <c r="C463" s="6">
        <f>IF($A463="","", INDEX(Calc!$E:$E, MATCH("KminusZ_m", Calc!$C:$C, 0)) + $B463 - INDEX(Calc!$E:$E, MATCH("L_ramp_m", Calc!$C:$C, 0)) * TAN(RADIANS(INDEX(Calc!$E:$E, MATCH("theta_max_deg", Calc!$C:$C, 0)))))</f>
        <v/>
      </c>
      <c r="D463" s="6" t="n"/>
      <c r="E463" s="6">
        <f>IF($C463="","", IF($D463="", $C463, $C463 - $D463/2))</f>
        <v/>
      </c>
      <c r="F463" s="6">
        <f>IF($C463="","", IF($D463="", $C463, $C463 + $D463/2))</f>
        <v/>
      </c>
      <c r="G463" s="6">
        <f>IF($E463="","", DEGREES(ATAN((INDEX(Calc!$E:$E, MATCH("KminusZ_m", Calc!$C:$C, 0)) - $E463 + $B463) / INDEX(Calc!$E:$E, MATCH("L_ramp_m", Calc!$C:$C, 0)))))</f>
        <v/>
      </c>
      <c r="H463" s="3">
        <f>IF($E463="","", IF(AND($E463&gt;=INDEX(Calc!$E:$E, MATCH("min_fwd_draft_m", Calc!$C:$C, 0)), $E463&lt;=INDEX(Calc!$E:$E, MATCH("max_fwd_draft_m", Calc!$C:$C, 0)), $G463&lt;=INDEX(Calc!$E:$E, MATCH("theta_max_deg", Calc!$C:$C, 0))), "OK", "CHECK"))</f>
        <v/>
      </c>
      <c r="I463" s="6">
        <f>IF($E463="","", INDEX(Calc!$E:$E, MATCH("D_vessel_m", Calc!$C:$C, 0)) - $E463 + $B463)</f>
        <v/>
      </c>
      <c r="J463" s="6">
        <f>IF($F463="","", INDEX(Calc!$E:$E, MATCH("D_vessel_m", Calc!$C:$C, 0)) - $F463 + $B463)</f>
        <v/>
      </c>
      <c r="K463" s="3">
        <f>IF(D463=0, "Even Keel", "")</f>
        <v/>
      </c>
    </row>
    <row r="464">
      <c r="A464" s="3">
        <f>IF(December_Tide_2025!A464="","",December_Tide_2025!A464)</f>
        <v/>
      </c>
      <c r="B464" s="6">
        <f>IF(December_Tide_2025!B464="","",December_Tide_2025!B464)</f>
        <v/>
      </c>
      <c r="C464" s="6">
        <f>IF($A464="","", INDEX(Calc!$E:$E, MATCH("KminusZ_m", Calc!$C:$C, 0)) + $B464 - INDEX(Calc!$E:$E, MATCH("L_ramp_m", Calc!$C:$C, 0)) * TAN(RADIANS(INDEX(Calc!$E:$E, MATCH("theta_max_deg", Calc!$C:$C, 0)))))</f>
        <v/>
      </c>
      <c r="D464" s="6" t="n"/>
      <c r="E464" s="6">
        <f>IF($C464="","", IF($D464="", $C464, $C464 - $D464/2))</f>
        <v/>
      </c>
      <c r="F464" s="6">
        <f>IF($C464="","", IF($D464="", $C464, $C464 + $D464/2))</f>
        <v/>
      </c>
      <c r="G464" s="6">
        <f>IF($E464="","", DEGREES(ATAN((INDEX(Calc!$E:$E, MATCH("KminusZ_m", Calc!$C:$C, 0)) - $E464 + $B464) / INDEX(Calc!$E:$E, MATCH("L_ramp_m", Calc!$C:$C, 0)))))</f>
        <v/>
      </c>
      <c r="H464" s="3">
        <f>IF($E464="","", IF(AND($E464&gt;=INDEX(Calc!$E:$E, MATCH("min_fwd_draft_m", Calc!$C:$C, 0)), $E464&lt;=INDEX(Calc!$E:$E, MATCH("max_fwd_draft_m", Calc!$C:$C, 0)), $G464&lt;=INDEX(Calc!$E:$E, MATCH("theta_max_deg", Calc!$C:$C, 0))), "OK", "CHECK"))</f>
        <v/>
      </c>
      <c r="I464" s="6">
        <f>IF($E464="","", INDEX(Calc!$E:$E, MATCH("D_vessel_m", Calc!$C:$C, 0)) - $E464 + $B464)</f>
        <v/>
      </c>
      <c r="J464" s="6">
        <f>IF($F464="","", INDEX(Calc!$E:$E, MATCH("D_vessel_m", Calc!$C:$C, 0)) - $F464 + $B464)</f>
        <v/>
      </c>
      <c r="K464" s="3">
        <f>IF(D464=0, "Even Keel", "")</f>
        <v/>
      </c>
    </row>
    <row r="465">
      <c r="A465" s="3">
        <f>IF(December_Tide_2025!A465="","",December_Tide_2025!A465)</f>
        <v/>
      </c>
      <c r="B465" s="6">
        <f>IF(December_Tide_2025!B465="","",December_Tide_2025!B465)</f>
        <v/>
      </c>
      <c r="C465" s="6">
        <f>IF($A465="","", INDEX(Calc!$E:$E, MATCH("KminusZ_m", Calc!$C:$C, 0)) + $B465 - INDEX(Calc!$E:$E, MATCH("L_ramp_m", Calc!$C:$C, 0)) * TAN(RADIANS(INDEX(Calc!$E:$E, MATCH("theta_max_deg", Calc!$C:$C, 0)))))</f>
        <v/>
      </c>
      <c r="D465" s="6" t="n"/>
      <c r="E465" s="6">
        <f>IF($C465="","", IF($D465="", $C465, $C465 - $D465/2))</f>
        <v/>
      </c>
      <c r="F465" s="6">
        <f>IF($C465="","", IF($D465="", $C465, $C465 + $D465/2))</f>
        <v/>
      </c>
      <c r="G465" s="6">
        <f>IF($E465="","", DEGREES(ATAN((INDEX(Calc!$E:$E, MATCH("KminusZ_m", Calc!$C:$C, 0)) - $E465 + $B465) / INDEX(Calc!$E:$E, MATCH("L_ramp_m", Calc!$C:$C, 0)))))</f>
        <v/>
      </c>
      <c r="H465" s="3">
        <f>IF($E465="","", IF(AND($E465&gt;=INDEX(Calc!$E:$E, MATCH("min_fwd_draft_m", Calc!$C:$C, 0)), $E465&lt;=INDEX(Calc!$E:$E, MATCH("max_fwd_draft_m", Calc!$C:$C, 0)), $G465&lt;=INDEX(Calc!$E:$E, MATCH("theta_max_deg", Calc!$C:$C, 0))), "OK", "CHECK"))</f>
        <v/>
      </c>
      <c r="I465" s="6">
        <f>IF($E465="","", INDEX(Calc!$E:$E, MATCH("D_vessel_m", Calc!$C:$C, 0)) - $E465 + $B465)</f>
        <v/>
      </c>
      <c r="J465" s="6">
        <f>IF($F465="","", INDEX(Calc!$E:$E, MATCH("D_vessel_m", Calc!$C:$C, 0)) - $F465 + $B465)</f>
        <v/>
      </c>
      <c r="K465" s="3">
        <f>IF(D465=0, "Even Keel", "")</f>
        <v/>
      </c>
    </row>
    <row r="466">
      <c r="A466" s="3">
        <f>IF(December_Tide_2025!A466="","",December_Tide_2025!A466)</f>
        <v/>
      </c>
      <c r="B466" s="6">
        <f>IF(December_Tide_2025!B466="","",December_Tide_2025!B466)</f>
        <v/>
      </c>
      <c r="C466" s="6">
        <f>IF($A466="","", INDEX(Calc!$E:$E, MATCH("KminusZ_m", Calc!$C:$C, 0)) + $B466 - INDEX(Calc!$E:$E, MATCH("L_ramp_m", Calc!$C:$C, 0)) * TAN(RADIANS(INDEX(Calc!$E:$E, MATCH("theta_max_deg", Calc!$C:$C, 0)))))</f>
        <v/>
      </c>
      <c r="D466" s="6" t="n"/>
      <c r="E466" s="6">
        <f>IF($C466="","", IF($D466="", $C466, $C466 - $D466/2))</f>
        <v/>
      </c>
      <c r="F466" s="6">
        <f>IF($C466="","", IF($D466="", $C466, $C466 + $D466/2))</f>
        <v/>
      </c>
      <c r="G466" s="6">
        <f>IF($E466="","", DEGREES(ATAN((INDEX(Calc!$E:$E, MATCH("KminusZ_m", Calc!$C:$C, 0)) - $E466 + $B466) / INDEX(Calc!$E:$E, MATCH("L_ramp_m", Calc!$C:$C, 0)))))</f>
        <v/>
      </c>
      <c r="H466" s="3">
        <f>IF($E466="","", IF(AND($E466&gt;=INDEX(Calc!$E:$E, MATCH("min_fwd_draft_m", Calc!$C:$C, 0)), $E466&lt;=INDEX(Calc!$E:$E, MATCH("max_fwd_draft_m", Calc!$C:$C, 0)), $G466&lt;=INDEX(Calc!$E:$E, MATCH("theta_max_deg", Calc!$C:$C, 0))), "OK", "CHECK"))</f>
        <v/>
      </c>
      <c r="I466" s="6">
        <f>IF($E466="","", INDEX(Calc!$E:$E, MATCH("D_vessel_m", Calc!$C:$C, 0)) - $E466 + $B466)</f>
        <v/>
      </c>
      <c r="J466" s="6">
        <f>IF($F466="","", INDEX(Calc!$E:$E, MATCH("D_vessel_m", Calc!$C:$C, 0)) - $F466 + $B466)</f>
        <v/>
      </c>
      <c r="K466" s="3">
        <f>IF(D466=0, "Even Keel", "")</f>
        <v/>
      </c>
    </row>
    <row r="467">
      <c r="A467" s="3">
        <f>IF(December_Tide_2025!A467="","",December_Tide_2025!A467)</f>
        <v/>
      </c>
      <c r="B467" s="6">
        <f>IF(December_Tide_2025!B467="","",December_Tide_2025!B467)</f>
        <v/>
      </c>
      <c r="C467" s="6">
        <f>IF($A467="","", INDEX(Calc!$E:$E, MATCH("KminusZ_m", Calc!$C:$C, 0)) + $B467 - INDEX(Calc!$E:$E, MATCH("L_ramp_m", Calc!$C:$C, 0)) * TAN(RADIANS(INDEX(Calc!$E:$E, MATCH("theta_max_deg", Calc!$C:$C, 0)))))</f>
        <v/>
      </c>
      <c r="D467" s="6" t="n"/>
      <c r="E467" s="6">
        <f>IF($C467="","", IF($D467="", $C467, $C467 - $D467/2))</f>
        <v/>
      </c>
      <c r="F467" s="6">
        <f>IF($C467="","", IF($D467="", $C467, $C467 + $D467/2))</f>
        <v/>
      </c>
      <c r="G467" s="6">
        <f>IF($E467="","", DEGREES(ATAN((INDEX(Calc!$E:$E, MATCH("KminusZ_m", Calc!$C:$C, 0)) - $E467 + $B467) / INDEX(Calc!$E:$E, MATCH("L_ramp_m", Calc!$C:$C, 0)))))</f>
        <v/>
      </c>
      <c r="H467" s="3">
        <f>IF($E467="","", IF(AND($E467&gt;=INDEX(Calc!$E:$E, MATCH("min_fwd_draft_m", Calc!$C:$C, 0)), $E467&lt;=INDEX(Calc!$E:$E, MATCH("max_fwd_draft_m", Calc!$C:$C, 0)), $G467&lt;=INDEX(Calc!$E:$E, MATCH("theta_max_deg", Calc!$C:$C, 0))), "OK", "CHECK"))</f>
        <v/>
      </c>
      <c r="I467" s="6">
        <f>IF($E467="","", INDEX(Calc!$E:$E, MATCH("D_vessel_m", Calc!$C:$C, 0)) - $E467 + $B467)</f>
        <v/>
      </c>
      <c r="J467" s="6">
        <f>IF($F467="","", INDEX(Calc!$E:$E, MATCH("D_vessel_m", Calc!$C:$C, 0)) - $F467 + $B467)</f>
        <v/>
      </c>
      <c r="K467" s="3">
        <f>IF(D467=0, "Even Keel", "")</f>
        <v/>
      </c>
    </row>
    <row r="468">
      <c r="A468" s="3">
        <f>IF(December_Tide_2025!A468="","",December_Tide_2025!A468)</f>
        <v/>
      </c>
      <c r="B468" s="6">
        <f>IF(December_Tide_2025!B468="","",December_Tide_2025!B468)</f>
        <v/>
      </c>
      <c r="C468" s="6">
        <f>IF($A468="","", INDEX(Calc!$E:$E, MATCH("KminusZ_m", Calc!$C:$C, 0)) + $B468 - INDEX(Calc!$E:$E, MATCH("L_ramp_m", Calc!$C:$C, 0)) * TAN(RADIANS(INDEX(Calc!$E:$E, MATCH("theta_max_deg", Calc!$C:$C, 0)))))</f>
        <v/>
      </c>
      <c r="D468" s="6" t="n"/>
      <c r="E468" s="6">
        <f>IF($C468="","", IF($D468="", $C468, $C468 - $D468/2))</f>
        <v/>
      </c>
      <c r="F468" s="6">
        <f>IF($C468="","", IF($D468="", $C468, $C468 + $D468/2))</f>
        <v/>
      </c>
      <c r="G468" s="6">
        <f>IF($E468="","", DEGREES(ATAN((INDEX(Calc!$E:$E, MATCH("KminusZ_m", Calc!$C:$C, 0)) - $E468 + $B468) / INDEX(Calc!$E:$E, MATCH("L_ramp_m", Calc!$C:$C, 0)))))</f>
        <v/>
      </c>
      <c r="H468" s="3">
        <f>IF($E468="","", IF(AND($E468&gt;=INDEX(Calc!$E:$E, MATCH("min_fwd_draft_m", Calc!$C:$C, 0)), $E468&lt;=INDEX(Calc!$E:$E, MATCH("max_fwd_draft_m", Calc!$C:$C, 0)), $G468&lt;=INDEX(Calc!$E:$E, MATCH("theta_max_deg", Calc!$C:$C, 0))), "OK", "CHECK"))</f>
        <v/>
      </c>
      <c r="I468" s="6">
        <f>IF($E468="","", INDEX(Calc!$E:$E, MATCH("D_vessel_m", Calc!$C:$C, 0)) - $E468 + $B468)</f>
        <v/>
      </c>
      <c r="J468" s="6">
        <f>IF($F468="","", INDEX(Calc!$E:$E, MATCH("D_vessel_m", Calc!$C:$C, 0)) - $F468 + $B468)</f>
        <v/>
      </c>
      <c r="K468" s="3">
        <f>IF(D468=0, "Even Keel", "")</f>
        <v/>
      </c>
    </row>
    <row r="469">
      <c r="A469" s="3">
        <f>IF(December_Tide_2025!A469="","",December_Tide_2025!A469)</f>
        <v/>
      </c>
      <c r="B469" s="6">
        <f>IF(December_Tide_2025!B469="","",December_Tide_2025!B469)</f>
        <v/>
      </c>
      <c r="C469" s="6">
        <f>IF($A469="","", INDEX(Calc!$E:$E, MATCH("KminusZ_m", Calc!$C:$C, 0)) + $B469 - INDEX(Calc!$E:$E, MATCH("L_ramp_m", Calc!$C:$C, 0)) * TAN(RADIANS(INDEX(Calc!$E:$E, MATCH("theta_max_deg", Calc!$C:$C, 0)))))</f>
        <v/>
      </c>
      <c r="D469" s="6" t="n"/>
      <c r="E469" s="6">
        <f>IF($C469="","", IF($D469="", $C469, $C469 - $D469/2))</f>
        <v/>
      </c>
      <c r="F469" s="6">
        <f>IF($C469="","", IF($D469="", $C469, $C469 + $D469/2))</f>
        <v/>
      </c>
      <c r="G469" s="6">
        <f>IF($E469="","", DEGREES(ATAN((INDEX(Calc!$E:$E, MATCH("KminusZ_m", Calc!$C:$C, 0)) - $E469 + $B469) / INDEX(Calc!$E:$E, MATCH("L_ramp_m", Calc!$C:$C, 0)))))</f>
        <v/>
      </c>
      <c r="H469" s="3">
        <f>IF($E469="","", IF(AND($E469&gt;=INDEX(Calc!$E:$E, MATCH("min_fwd_draft_m", Calc!$C:$C, 0)), $E469&lt;=INDEX(Calc!$E:$E, MATCH("max_fwd_draft_m", Calc!$C:$C, 0)), $G469&lt;=INDEX(Calc!$E:$E, MATCH("theta_max_deg", Calc!$C:$C, 0))), "OK", "CHECK"))</f>
        <v/>
      </c>
      <c r="I469" s="6">
        <f>IF($E469="","", INDEX(Calc!$E:$E, MATCH("D_vessel_m", Calc!$C:$C, 0)) - $E469 + $B469)</f>
        <v/>
      </c>
      <c r="J469" s="6">
        <f>IF($F469="","", INDEX(Calc!$E:$E, MATCH("D_vessel_m", Calc!$C:$C, 0)) - $F469 + $B469)</f>
        <v/>
      </c>
      <c r="K469" s="3">
        <f>IF(D469=0, "Even Keel", "")</f>
        <v/>
      </c>
    </row>
    <row r="470">
      <c r="A470" s="3">
        <f>IF(December_Tide_2025!A470="","",December_Tide_2025!A470)</f>
        <v/>
      </c>
      <c r="B470" s="6">
        <f>IF(December_Tide_2025!B470="","",December_Tide_2025!B470)</f>
        <v/>
      </c>
      <c r="C470" s="6">
        <f>IF($A470="","", INDEX(Calc!$E:$E, MATCH("KminusZ_m", Calc!$C:$C, 0)) + $B470 - INDEX(Calc!$E:$E, MATCH("L_ramp_m", Calc!$C:$C, 0)) * TAN(RADIANS(INDEX(Calc!$E:$E, MATCH("theta_max_deg", Calc!$C:$C, 0)))))</f>
        <v/>
      </c>
      <c r="D470" s="6" t="n"/>
      <c r="E470" s="6">
        <f>IF($C470="","", IF($D470="", $C470, $C470 - $D470/2))</f>
        <v/>
      </c>
      <c r="F470" s="6">
        <f>IF($C470="","", IF($D470="", $C470, $C470 + $D470/2))</f>
        <v/>
      </c>
      <c r="G470" s="6">
        <f>IF($E470="","", DEGREES(ATAN((INDEX(Calc!$E:$E, MATCH("KminusZ_m", Calc!$C:$C, 0)) - $E470 + $B470) / INDEX(Calc!$E:$E, MATCH("L_ramp_m", Calc!$C:$C, 0)))))</f>
        <v/>
      </c>
      <c r="H470" s="3">
        <f>IF($E470="","", IF(AND($E470&gt;=INDEX(Calc!$E:$E, MATCH("min_fwd_draft_m", Calc!$C:$C, 0)), $E470&lt;=INDEX(Calc!$E:$E, MATCH("max_fwd_draft_m", Calc!$C:$C, 0)), $G470&lt;=INDEX(Calc!$E:$E, MATCH("theta_max_deg", Calc!$C:$C, 0))), "OK", "CHECK"))</f>
        <v/>
      </c>
      <c r="I470" s="6">
        <f>IF($E470="","", INDEX(Calc!$E:$E, MATCH("D_vessel_m", Calc!$C:$C, 0)) - $E470 + $B470)</f>
        <v/>
      </c>
      <c r="J470" s="6">
        <f>IF($F470="","", INDEX(Calc!$E:$E, MATCH("D_vessel_m", Calc!$C:$C, 0)) - $F470 + $B470)</f>
        <v/>
      </c>
      <c r="K470" s="3">
        <f>IF(D470=0, "Even Keel", "")</f>
        <v/>
      </c>
    </row>
    <row r="471">
      <c r="A471" s="3">
        <f>IF(December_Tide_2025!A471="","",December_Tide_2025!A471)</f>
        <v/>
      </c>
      <c r="B471" s="6">
        <f>IF(December_Tide_2025!B471="","",December_Tide_2025!B471)</f>
        <v/>
      </c>
      <c r="C471" s="6">
        <f>IF($A471="","", INDEX(Calc!$E:$E, MATCH("KminusZ_m", Calc!$C:$C, 0)) + $B471 - INDEX(Calc!$E:$E, MATCH("L_ramp_m", Calc!$C:$C, 0)) * TAN(RADIANS(INDEX(Calc!$E:$E, MATCH("theta_max_deg", Calc!$C:$C, 0)))))</f>
        <v/>
      </c>
      <c r="D471" s="6" t="n"/>
      <c r="E471" s="6">
        <f>IF($C471="","", IF($D471="", $C471, $C471 - $D471/2))</f>
        <v/>
      </c>
      <c r="F471" s="6">
        <f>IF($C471="","", IF($D471="", $C471, $C471 + $D471/2))</f>
        <v/>
      </c>
      <c r="G471" s="6">
        <f>IF($E471="","", DEGREES(ATAN((INDEX(Calc!$E:$E, MATCH("KminusZ_m", Calc!$C:$C, 0)) - $E471 + $B471) / INDEX(Calc!$E:$E, MATCH("L_ramp_m", Calc!$C:$C, 0)))))</f>
        <v/>
      </c>
      <c r="H471" s="3">
        <f>IF($E471="","", IF(AND($E471&gt;=INDEX(Calc!$E:$E, MATCH("min_fwd_draft_m", Calc!$C:$C, 0)), $E471&lt;=INDEX(Calc!$E:$E, MATCH("max_fwd_draft_m", Calc!$C:$C, 0)), $G471&lt;=INDEX(Calc!$E:$E, MATCH("theta_max_deg", Calc!$C:$C, 0))), "OK", "CHECK"))</f>
        <v/>
      </c>
      <c r="I471" s="6">
        <f>IF($E471="","", INDEX(Calc!$E:$E, MATCH("D_vessel_m", Calc!$C:$C, 0)) - $E471 + $B471)</f>
        <v/>
      </c>
      <c r="J471" s="6">
        <f>IF($F471="","", INDEX(Calc!$E:$E, MATCH("D_vessel_m", Calc!$C:$C, 0)) - $F471 + $B471)</f>
        <v/>
      </c>
      <c r="K471" s="3">
        <f>IF(D471=0, "Even Keel", "")</f>
        <v/>
      </c>
    </row>
    <row r="472">
      <c r="A472" s="3">
        <f>IF(December_Tide_2025!A472="","",December_Tide_2025!A472)</f>
        <v/>
      </c>
      <c r="B472" s="6">
        <f>IF(December_Tide_2025!B472="","",December_Tide_2025!B472)</f>
        <v/>
      </c>
      <c r="C472" s="6">
        <f>IF($A472="","", INDEX(Calc!$E:$E, MATCH("KminusZ_m", Calc!$C:$C, 0)) + $B472 - INDEX(Calc!$E:$E, MATCH("L_ramp_m", Calc!$C:$C, 0)) * TAN(RADIANS(INDEX(Calc!$E:$E, MATCH("theta_max_deg", Calc!$C:$C, 0)))))</f>
        <v/>
      </c>
      <c r="D472" s="6" t="n"/>
      <c r="E472" s="6">
        <f>IF($C472="","", IF($D472="", $C472, $C472 - $D472/2))</f>
        <v/>
      </c>
      <c r="F472" s="6">
        <f>IF($C472="","", IF($D472="", $C472, $C472 + $D472/2))</f>
        <v/>
      </c>
      <c r="G472" s="6">
        <f>IF($E472="","", DEGREES(ATAN((INDEX(Calc!$E:$E, MATCH("KminusZ_m", Calc!$C:$C, 0)) - $E472 + $B472) / INDEX(Calc!$E:$E, MATCH("L_ramp_m", Calc!$C:$C, 0)))))</f>
        <v/>
      </c>
      <c r="H472" s="3">
        <f>IF($E472="","", IF(AND($E472&gt;=INDEX(Calc!$E:$E, MATCH("min_fwd_draft_m", Calc!$C:$C, 0)), $E472&lt;=INDEX(Calc!$E:$E, MATCH("max_fwd_draft_m", Calc!$C:$C, 0)), $G472&lt;=INDEX(Calc!$E:$E, MATCH("theta_max_deg", Calc!$C:$C, 0))), "OK", "CHECK"))</f>
        <v/>
      </c>
      <c r="I472" s="6">
        <f>IF($E472="","", INDEX(Calc!$E:$E, MATCH("D_vessel_m", Calc!$C:$C, 0)) - $E472 + $B472)</f>
        <v/>
      </c>
      <c r="J472" s="6">
        <f>IF($F472="","", INDEX(Calc!$E:$E, MATCH("D_vessel_m", Calc!$C:$C, 0)) - $F472 + $B472)</f>
        <v/>
      </c>
      <c r="K472" s="3">
        <f>IF(D472=0, "Even Keel", "")</f>
        <v/>
      </c>
    </row>
    <row r="473">
      <c r="A473" s="3">
        <f>IF(December_Tide_2025!A473="","",December_Tide_2025!A473)</f>
        <v/>
      </c>
      <c r="B473" s="6">
        <f>IF(December_Tide_2025!B473="","",December_Tide_2025!B473)</f>
        <v/>
      </c>
      <c r="C473" s="6">
        <f>IF($A473="","", INDEX(Calc!$E:$E, MATCH("KminusZ_m", Calc!$C:$C, 0)) + $B473 - INDEX(Calc!$E:$E, MATCH("L_ramp_m", Calc!$C:$C, 0)) * TAN(RADIANS(INDEX(Calc!$E:$E, MATCH("theta_max_deg", Calc!$C:$C, 0)))))</f>
        <v/>
      </c>
      <c r="D473" s="6" t="n"/>
      <c r="E473" s="6">
        <f>IF($C473="","", IF($D473="", $C473, $C473 - $D473/2))</f>
        <v/>
      </c>
      <c r="F473" s="6">
        <f>IF($C473="","", IF($D473="", $C473, $C473 + $D473/2))</f>
        <v/>
      </c>
      <c r="G473" s="6">
        <f>IF($E473="","", DEGREES(ATAN((INDEX(Calc!$E:$E, MATCH("KminusZ_m", Calc!$C:$C, 0)) - $E473 + $B473) / INDEX(Calc!$E:$E, MATCH("L_ramp_m", Calc!$C:$C, 0)))))</f>
        <v/>
      </c>
      <c r="H473" s="3">
        <f>IF($E473="","", IF(AND($E473&gt;=INDEX(Calc!$E:$E, MATCH("min_fwd_draft_m", Calc!$C:$C, 0)), $E473&lt;=INDEX(Calc!$E:$E, MATCH("max_fwd_draft_m", Calc!$C:$C, 0)), $G473&lt;=INDEX(Calc!$E:$E, MATCH("theta_max_deg", Calc!$C:$C, 0))), "OK", "CHECK"))</f>
        <v/>
      </c>
      <c r="I473" s="6">
        <f>IF($E473="","", INDEX(Calc!$E:$E, MATCH("D_vessel_m", Calc!$C:$C, 0)) - $E473 + $B473)</f>
        <v/>
      </c>
      <c r="J473" s="6">
        <f>IF($F473="","", INDEX(Calc!$E:$E, MATCH("D_vessel_m", Calc!$C:$C, 0)) - $F473 + $B473)</f>
        <v/>
      </c>
      <c r="K473" s="3">
        <f>IF(D473=0, "Even Keel", "")</f>
        <v/>
      </c>
    </row>
    <row r="474">
      <c r="A474" s="3">
        <f>IF(December_Tide_2025!A474="","",December_Tide_2025!A474)</f>
        <v/>
      </c>
      <c r="B474" s="6">
        <f>IF(December_Tide_2025!B474="","",December_Tide_2025!B474)</f>
        <v/>
      </c>
      <c r="C474" s="6">
        <f>IF($A474="","", INDEX(Calc!$E:$E, MATCH("KminusZ_m", Calc!$C:$C, 0)) + $B474 - INDEX(Calc!$E:$E, MATCH("L_ramp_m", Calc!$C:$C, 0)) * TAN(RADIANS(INDEX(Calc!$E:$E, MATCH("theta_max_deg", Calc!$C:$C, 0)))))</f>
        <v/>
      </c>
      <c r="D474" s="6" t="n"/>
      <c r="E474" s="6">
        <f>IF($C474="","", IF($D474="", $C474, $C474 - $D474/2))</f>
        <v/>
      </c>
      <c r="F474" s="6">
        <f>IF($C474="","", IF($D474="", $C474, $C474 + $D474/2))</f>
        <v/>
      </c>
      <c r="G474" s="6">
        <f>IF($E474="","", DEGREES(ATAN((INDEX(Calc!$E:$E, MATCH("KminusZ_m", Calc!$C:$C, 0)) - $E474 + $B474) / INDEX(Calc!$E:$E, MATCH("L_ramp_m", Calc!$C:$C, 0)))))</f>
        <v/>
      </c>
      <c r="H474" s="3">
        <f>IF($E474="","", IF(AND($E474&gt;=INDEX(Calc!$E:$E, MATCH("min_fwd_draft_m", Calc!$C:$C, 0)), $E474&lt;=INDEX(Calc!$E:$E, MATCH("max_fwd_draft_m", Calc!$C:$C, 0)), $G474&lt;=INDEX(Calc!$E:$E, MATCH("theta_max_deg", Calc!$C:$C, 0))), "OK", "CHECK"))</f>
        <v/>
      </c>
      <c r="I474" s="6">
        <f>IF($E474="","", INDEX(Calc!$E:$E, MATCH("D_vessel_m", Calc!$C:$C, 0)) - $E474 + $B474)</f>
        <v/>
      </c>
      <c r="J474" s="6">
        <f>IF($F474="","", INDEX(Calc!$E:$E, MATCH("D_vessel_m", Calc!$C:$C, 0)) - $F474 + $B474)</f>
        <v/>
      </c>
      <c r="K474" s="3">
        <f>IF(D474=0, "Even Keel", "")</f>
        <v/>
      </c>
    </row>
    <row r="475">
      <c r="A475" s="3">
        <f>IF(December_Tide_2025!A475="","",December_Tide_2025!A475)</f>
        <v/>
      </c>
      <c r="B475" s="6">
        <f>IF(December_Tide_2025!B475="","",December_Tide_2025!B475)</f>
        <v/>
      </c>
      <c r="C475" s="6">
        <f>IF($A475="","", INDEX(Calc!$E:$E, MATCH("KminusZ_m", Calc!$C:$C, 0)) + $B475 - INDEX(Calc!$E:$E, MATCH("L_ramp_m", Calc!$C:$C, 0)) * TAN(RADIANS(INDEX(Calc!$E:$E, MATCH("theta_max_deg", Calc!$C:$C, 0)))))</f>
        <v/>
      </c>
      <c r="D475" s="6" t="n"/>
      <c r="E475" s="6">
        <f>IF($C475="","", IF($D475="", $C475, $C475 - $D475/2))</f>
        <v/>
      </c>
      <c r="F475" s="6">
        <f>IF($C475="","", IF($D475="", $C475, $C475 + $D475/2))</f>
        <v/>
      </c>
      <c r="G475" s="6">
        <f>IF($E475="","", DEGREES(ATAN((INDEX(Calc!$E:$E, MATCH("KminusZ_m", Calc!$C:$C, 0)) - $E475 + $B475) / INDEX(Calc!$E:$E, MATCH("L_ramp_m", Calc!$C:$C, 0)))))</f>
        <v/>
      </c>
      <c r="H475" s="3">
        <f>IF($E475="","", IF(AND($E475&gt;=INDEX(Calc!$E:$E, MATCH("min_fwd_draft_m", Calc!$C:$C, 0)), $E475&lt;=INDEX(Calc!$E:$E, MATCH("max_fwd_draft_m", Calc!$C:$C, 0)), $G475&lt;=INDEX(Calc!$E:$E, MATCH("theta_max_deg", Calc!$C:$C, 0))), "OK", "CHECK"))</f>
        <v/>
      </c>
      <c r="I475" s="6">
        <f>IF($E475="","", INDEX(Calc!$E:$E, MATCH("D_vessel_m", Calc!$C:$C, 0)) - $E475 + $B475)</f>
        <v/>
      </c>
      <c r="J475" s="6">
        <f>IF($F475="","", INDEX(Calc!$E:$E, MATCH("D_vessel_m", Calc!$C:$C, 0)) - $F475 + $B475)</f>
        <v/>
      </c>
      <c r="K475" s="3">
        <f>IF(D475=0, "Even Keel", "")</f>
        <v/>
      </c>
    </row>
    <row r="476">
      <c r="A476" s="3">
        <f>IF(December_Tide_2025!A476="","",December_Tide_2025!A476)</f>
        <v/>
      </c>
      <c r="B476" s="6">
        <f>IF(December_Tide_2025!B476="","",December_Tide_2025!B476)</f>
        <v/>
      </c>
      <c r="C476" s="6">
        <f>IF($A476="","", INDEX(Calc!$E:$E, MATCH("KminusZ_m", Calc!$C:$C, 0)) + $B476 - INDEX(Calc!$E:$E, MATCH("L_ramp_m", Calc!$C:$C, 0)) * TAN(RADIANS(INDEX(Calc!$E:$E, MATCH("theta_max_deg", Calc!$C:$C, 0)))))</f>
        <v/>
      </c>
      <c r="D476" s="6" t="n"/>
      <c r="E476" s="6">
        <f>IF($C476="","", IF($D476="", $C476, $C476 - $D476/2))</f>
        <v/>
      </c>
      <c r="F476" s="6">
        <f>IF($C476="","", IF($D476="", $C476, $C476 + $D476/2))</f>
        <v/>
      </c>
      <c r="G476" s="6">
        <f>IF($E476="","", DEGREES(ATAN((INDEX(Calc!$E:$E, MATCH("KminusZ_m", Calc!$C:$C, 0)) - $E476 + $B476) / INDEX(Calc!$E:$E, MATCH("L_ramp_m", Calc!$C:$C, 0)))))</f>
        <v/>
      </c>
      <c r="H476" s="3">
        <f>IF($E476="","", IF(AND($E476&gt;=INDEX(Calc!$E:$E, MATCH("min_fwd_draft_m", Calc!$C:$C, 0)), $E476&lt;=INDEX(Calc!$E:$E, MATCH("max_fwd_draft_m", Calc!$C:$C, 0)), $G476&lt;=INDEX(Calc!$E:$E, MATCH("theta_max_deg", Calc!$C:$C, 0))), "OK", "CHECK"))</f>
        <v/>
      </c>
      <c r="I476" s="6">
        <f>IF($E476="","", INDEX(Calc!$E:$E, MATCH("D_vessel_m", Calc!$C:$C, 0)) - $E476 + $B476)</f>
        <v/>
      </c>
      <c r="J476" s="6">
        <f>IF($F476="","", INDEX(Calc!$E:$E, MATCH("D_vessel_m", Calc!$C:$C, 0)) - $F476 + $B476)</f>
        <v/>
      </c>
      <c r="K476" s="3">
        <f>IF(D476=0, "Even Keel", "")</f>
        <v/>
      </c>
    </row>
    <row r="477">
      <c r="A477" s="3">
        <f>IF(December_Tide_2025!A477="","",December_Tide_2025!A477)</f>
        <v/>
      </c>
      <c r="B477" s="6">
        <f>IF(December_Tide_2025!B477="","",December_Tide_2025!B477)</f>
        <v/>
      </c>
      <c r="C477" s="6">
        <f>IF($A477="","", INDEX(Calc!$E:$E, MATCH("KminusZ_m", Calc!$C:$C, 0)) + $B477 - INDEX(Calc!$E:$E, MATCH("L_ramp_m", Calc!$C:$C, 0)) * TAN(RADIANS(INDEX(Calc!$E:$E, MATCH("theta_max_deg", Calc!$C:$C, 0)))))</f>
        <v/>
      </c>
      <c r="D477" s="6" t="n"/>
      <c r="E477" s="6">
        <f>IF($C477="","", IF($D477="", $C477, $C477 - $D477/2))</f>
        <v/>
      </c>
      <c r="F477" s="6">
        <f>IF($C477="","", IF($D477="", $C477, $C477 + $D477/2))</f>
        <v/>
      </c>
      <c r="G477" s="6">
        <f>IF($E477="","", DEGREES(ATAN((INDEX(Calc!$E:$E, MATCH("KminusZ_m", Calc!$C:$C, 0)) - $E477 + $B477) / INDEX(Calc!$E:$E, MATCH("L_ramp_m", Calc!$C:$C, 0)))))</f>
        <v/>
      </c>
      <c r="H477" s="3">
        <f>IF($E477="","", IF(AND($E477&gt;=INDEX(Calc!$E:$E, MATCH("min_fwd_draft_m", Calc!$C:$C, 0)), $E477&lt;=INDEX(Calc!$E:$E, MATCH("max_fwd_draft_m", Calc!$C:$C, 0)), $G477&lt;=INDEX(Calc!$E:$E, MATCH("theta_max_deg", Calc!$C:$C, 0))), "OK", "CHECK"))</f>
        <v/>
      </c>
      <c r="I477" s="6">
        <f>IF($E477="","", INDEX(Calc!$E:$E, MATCH("D_vessel_m", Calc!$C:$C, 0)) - $E477 + $B477)</f>
        <v/>
      </c>
      <c r="J477" s="6">
        <f>IF($F477="","", INDEX(Calc!$E:$E, MATCH("D_vessel_m", Calc!$C:$C, 0)) - $F477 + $B477)</f>
        <v/>
      </c>
      <c r="K477" s="3">
        <f>IF(D477=0, "Even Keel", "")</f>
        <v/>
      </c>
    </row>
    <row r="478">
      <c r="A478" s="3">
        <f>IF(December_Tide_2025!A478="","",December_Tide_2025!A478)</f>
        <v/>
      </c>
      <c r="B478" s="6">
        <f>IF(December_Tide_2025!B478="","",December_Tide_2025!B478)</f>
        <v/>
      </c>
      <c r="C478" s="6">
        <f>IF($A478="","", INDEX(Calc!$E:$E, MATCH("KminusZ_m", Calc!$C:$C, 0)) + $B478 - INDEX(Calc!$E:$E, MATCH("L_ramp_m", Calc!$C:$C, 0)) * TAN(RADIANS(INDEX(Calc!$E:$E, MATCH("theta_max_deg", Calc!$C:$C, 0)))))</f>
        <v/>
      </c>
      <c r="D478" s="6" t="n"/>
      <c r="E478" s="6">
        <f>IF($C478="","", IF($D478="", $C478, $C478 - $D478/2))</f>
        <v/>
      </c>
      <c r="F478" s="6">
        <f>IF($C478="","", IF($D478="", $C478, $C478 + $D478/2))</f>
        <v/>
      </c>
      <c r="G478" s="6">
        <f>IF($E478="","", DEGREES(ATAN((INDEX(Calc!$E:$E, MATCH("KminusZ_m", Calc!$C:$C, 0)) - $E478 + $B478) / INDEX(Calc!$E:$E, MATCH("L_ramp_m", Calc!$C:$C, 0)))))</f>
        <v/>
      </c>
      <c r="H478" s="3">
        <f>IF($E478="","", IF(AND($E478&gt;=INDEX(Calc!$E:$E, MATCH("min_fwd_draft_m", Calc!$C:$C, 0)), $E478&lt;=INDEX(Calc!$E:$E, MATCH("max_fwd_draft_m", Calc!$C:$C, 0)), $G478&lt;=INDEX(Calc!$E:$E, MATCH("theta_max_deg", Calc!$C:$C, 0))), "OK", "CHECK"))</f>
        <v/>
      </c>
      <c r="I478" s="6">
        <f>IF($E478="","", INDEX(Calc!$E:$E, MATCH("D_vessel_m", Calc!$C:$C, 0)) - $E478 + $B478)</f>
        <v/>
      </c>
      <c r="J478" s="6">
        <f>IF($F478="","", INDEX(Calc!$E:$E, MATCH("D_vessel_m", Calc!$C:$C, 0)) - $F478 + $B478)</f>
        <v/>
      </c>
      <c r="K478" s="3">
        <f>IF(D478=0, "Even Keel", "")</f>
        <v/>
      </c>
    </row>
    <row r="479">
      <c r="A479" s="3">
        <f>IF(December_Tide_2025!A479="","",December_Tide_2025!A479)</f>
        <v/>
      </c>
      <c r="B479" s="6">
        <f>IF(December_Tide_2025!B479="","",December_Tide_2025!B479)</f>
        <v/>
      </c>
      <c r="C479" s="6">
        <f>IF($A479="","", INDEX(Calc!$E:$E, MATCH("KminusZ_m", Calc!$C:$C, 0)) + $B479 - INDEX(Calc!$E:$E, MATCH("L_ramp_m", Calc!$C:$C, 0)) * TAN(RADIANS(INDEX(Calc!$E:$E, MATCH("theta_max_deg", Calc!$C:$C, 0)))))</f>
        <v/>
      </c>
      <c r="D479" s="6" t="n"/>
      <c r="E479" s="6">
        <f>IF($C479="","", IF($D479="", $C479, $C479 - $D479/2))</f>
        <v/>
      </c>
      <c r="F479" s="6">
        <f>IF($C479="","", IF($D479="", $C479, $C479 + $D479/2))</f>
        <v/>
      </c>
      <c r="G479" s="6">
        <f>IF($E479="","", DEGREES(ATAN((INDEX(Calc!$E:$E, MATCH("KminusZ_m", Calc!$C:$C, 0)) - $E479 + $B479) / INDEX(Calc!$E:$E, MATCH("L_ramp_m", Calc!$C:$C, 0)))))</f>
        <v/>
      </c>
      <c r="H479" s="3">
        <f>IF($E479="","", IF(AND($E479&gt;=INDEX(Calc!$E:$E, MATCH("min_fwd_draft_m", Calc!$C:$C, 0)), $E479&lt;=INDEX(Calc!$E:$E, MATCH("max_fwd_draft_m", Calc!$C:$C, 0)), $G479&lt;=INDEX(Calc!$E:$E, MATCH("theta_max_deg", Calc!$C:$C, 0))), "OK", "CHECK"))</f>
        <v/>
      </c>
      <c r="I479" s="6">
        <f>IF($E479="","", INDEX(Calc!$E:$E, MATCH("D_vessel_m", Calc!$C:$C, 0)) - $E479 + $B479)</f>
        <v/>
      </c>
      <c r="J479" s="6">
        <f>IF($F479="","", INDEX(Calc!$E:$E, MATCH("D_vessel_m", Calc!$C:$C, 0)) - $F479 + $B479)</f>
        <v/>
      </c>
      <c r="K479" s="3">
        <f>IF(D479=0, "Even Keel", "")</f>
        <v/>
      </c>
    </row>
    <row r="480">
      <c r="A480" s="3">
        <f>IF(December_Tide_2025!A480="","",December_Tide_2025!A480)</f>
        <v/>
      </c>
      <c r="B480" s="6">
        <f>IF(December_Tide_2025!B480="","",December_Tide_2025!B480)</f>
        <v/>
      </c>
      <c r="C480" s="6">
        <f>IF($A480="","", INDEX(Calc!$E:$E, MATCH("KminusZ_m", Calc!$C:$C, 0)) + $B480 - INDEX(Calc!$E:$E, MATCH("L_ramp_m", Calc!$C:$C, 0)) * TAN(RADIANS(INDEX(Calc!$E:$E, MATCH("theta_max_deg", Calc!$C:$C, 0)))))</f>
        <v/>
      </c>
      <c r="D480" s="6" t="n"/>
      <c r="E480" s="6">
        <f>IF($C480="","", IF($D480="", $C480, $C480 - $D480/2))</f>
        <v/>
      </c>
      <c r="F480" s="6">
        <f>IF($C480="","", IF($D480="", $C480, $C480 + $D480/2))</f>
        <v/>
      </c>
      <c r="G480" s="6">
        <f>IF($E480="","", DEGREES(ATAN((INDEX(Calc!$E:$E, MATCH("KminusZ_m", Calc!$C:$C, 0)) - $E480 + $B480) / INDEX(Calc!$E:$E, MATCH("L_ramp_m", Calc!$C:$C, 0)))))</f>
        <v/>
      </c>
      <c r="H480" s="3">
        <f>IF($E480="","", IF(AND($E480&gt;=INDEX(Calc!$E:$E, MATCH("min_fwd_draft_m", Calc!$C:$C, 0)), $E480&lt;=INDEX(Calc!$E:$E, MATCH("max_fwd_draft_m", Calc!$C:$C, 0)), $G480&lt;=INDEX(Calc!$E:$E, MATCH("theta_max_deg", Calc!$C:$C, 0))), "OK", "CHECK"))</f>
        <v/>
      </c>
      <c r="I480" s="6">
        <f>IF($E480="","", INDEX(Calc!$E:$E, MATCH("D_vessel_m", Calc!$C:$C, 0)) - $E480 + $B480)</f>
        <v/>
      </c>
      <c r="J480" s="6">
        <f>IF($F480="","", INDEX(Calc!$E:$E, MATCH("D_vessel_m", Calc!$C:$C, 0)) - $F480 + $B480)</f>
        <v/>
      </c>
      <c r="K480" s="3">
        <f>IF(D480=0, "Even Keel", "")</f>
        <v/>
      </c>
    </row>
    <row r="481">
      <c r="A481" s="3">
        <f>IF(December_Tide_2025!A481="","",December_Tide_2025!A481)</f>
        <v/>
      </c>
      <c r="B481" s="6">
        <f>IF(December_Tide_2025!B481="","",December_Tide_2025!B481)</f>
        <v/>
      </c>
      <c r="C481" s="6">
        <f>IF($A481="","", INDEX(Calc!$E:$E, MATCH("KminusZ_m", Calc!$C:$C, 0)) + $B481 - INDEX(Calc!$E:$E, MATCH("L_ramp_m", Calc!$C:$C, 0)) * TAN(RADIANS(INDEX(Calc!$E:$E, MATCH("theta_max_deg", Calc!$C:$C, 0)))))</f>
        <v/>
      </c>
      <c r="D481" s="6" t="n"/>
      <c r="E481" s="6">
        <f>IF($C481="","", IF($D481="", $C481, $C481 - $D481/2))</f>
        <v/>
      </c>
      <c r="F481" s="6">
        <f>IF($C481="","", IF($D481="", $C481, $C481 + $D481/2))</f>
        <v/>
      </c>
      <c r="G481" s="6">
        <f>IF($E481="","", DEGREES(ATAN((INDEX(Calc!$E:$E, MATCH("KminusZ_m", Calc!$C:$C, 0)) - $E481 + $B481) / INDEX(Calc!$E:$E, MATCH("L_ramp_m", Calc!$C:$C, 0)))))</f>
        <v/>
      </c>
      <c r="H481" s="3">
        <f>IF($E481="","", IF(AND($E481&gt;=INDEX(Calc!$E:$E, MATCH("min_fwd_draft_m", Calc!$C:$C, 0)), $E481&lt;=INDEX(Calc!$E:$E, MATCH("max_fwd_draft_m", Calc!$C:$C, 0)), $G481&lt;=INDEX(Calc!$E:$E, MATCH("theta_max_deg", Calc!$C:$C, 0))), "OK", "CHECK"))</f>
        <v/>
      </c>
      <c r="I481" s="6">
        <f>IF($E481="","", INDEX(Calc!$E:$E, MATCH("D_vessel_m", Calc!$C:$C, 0)) - $E481 + $B481)</f>
        <v/>
      </c>
      <c r="J481" s="6">
        <f>IF($F481="","", INDEX(Calc!$E:$E, MATCH("D_vessel_m", Calc!$C:$C, 0)) - $F481 + $B481)</f>
        <v/>
      </c>
      <c r="K481" s="3">
        <f>IF(D481=0, "Even Keel", "")</f>
        <v/>
      </c>
    </row>
    <row r="482">
      <c r="A482" s="3">
        <f>IF(December_Tide_2025!A482="","",December_Tide_2025!A482)</f>
        <v/>
      </c>
      <c r="B482" s="6">
        <f>IF(December_Tide_2025!B482="","",December_Tide_2025!B482)</f>
        <v/>
      </c>
      <c r="C482" s="6">
        <f>IF($A482="","", INDEX(Calc!$E:$E, MATCH("KminusZ_m", Calc!$C:$C, 0)) + $B482 - INDEX(Calc!$E:$E, MATCH("L_ramp_m", Calc!$C:$C, 0)) * TAN(RADIANS(INDEX(Calc!$E:$E, MATCH("theta_max_deg", Calc!$C:$C, 0)))))</f>
        <v/>
      </c>
      <c r="D482" s="6" t="n"/>
      <c r="E482" s="6">
        <f>IF($C482="","", IF($D482="", $C482, $C482 - $D482/2))</f>
        <v/>
      </c>
      <c r="F482" s="6">
        <f>IF($C482="","", IF($D482="", $C482, $C482 + $D482/2))</f>
        <v/>
      </c>
      <c r="G482" s="6">
        <f>IF($E482="","", DEGREES(ATAN((INDEX(Calc!$E:$E, MATCH("KminusZ_m", Calc!$C:$C, 0)) - $E482 + $B482) / INDEX(Calc!$E:$E, MATCH("L_ramp_m", Calc!$C:$C, 0)))))</f>
        <v/>
      </c>
      <c r="H482" s="3">
        <f>IF($E482="","", IF(AND($E482&gt;=INDEX(Calc!$E:$E, MATCH("min_fwd_draft_m", Calc!$C:$C, 0)), $E482&lt;=INDEX(Calc!$E:$E, MATCH("max_fwd_draft_m", Calc!$C:$C, 0)), $G482&lt;=INDEX(Calc!$E:$E, MATCH("theta_max_deg", Calc!$C:$C, 0))), "OK", "CHECK"))</f>
        <v/>
      </c>
      <c r="I482" s="6">
        <f>IF($E482="","", INDEX(Calc!$E:$E, MATCH("D_vessel_m", Calc!$C:$C, 0)) - $E482 + $B482)</f>
        <v/>
      </c>
      <c r="J482" s="6">
        <f>IF($F482="","", INDEX(Calc!$E:$E, MATCH("D_vessel_m", Calc!$C:$C, 0)) - $F482 + $B482)</f>
        <v/>
      </c>
      <c r="K482" s="3">
        <f>IF(D482=0, "Even Keel", "")</f>
        <v/>
      </c>
    </row>
    <row r="483">
      <c r="A483" s="3">
        <f>IF(December_Tide_2025!A483="","",December_Tide_2025!A483)</f>
        <v/>
      </c>
      <c r="B483" s="6">
        <f>IF(December_Tide_2025!B483="","",December_Tide_2025!B483)</f>
        <v/>
      </c>
      <c r="C483" s="6">
        <f>IF($A483="","", INDEX(Calc!$E:$E, MATCH("KminusZ_m", Calc!$C:$C, 0)) + $B483 - INDEX(Calc!$E:$E, MATCH("L_ramp_m", Calc!$C:$C, 0)) * TAN(RADIANS(INDEX(Calc!$E:$E, MATCH("theta_max_deg", Calc!$C:$C, 0)))))</f>
        <v/>
      </c>
      <c r="D483" s="6" t="n"/>
      <c r="E483" s="6">
        <f>IF($C483="","", IF($D483="", $C483, $C483 - $D483/2))</f>
        <v/>
      </c>
      <c r="F483" s="6">
        <f>IF($C483="","", IF($D483="", $C483, $C483 + $D483/2))</f>
        <v/>
      </c>
      <c r="G483" s="6">
        <f>IF($E483="","", DEGREES(ATAN((INDEX(Calc!$E:$E, MATCH("KminusZ_m", Calc!$C:$C, 0)) - $E483 + $B483) / INDEX(Calc!$E:$E, MATCH("L_ramp_m", Calc!$C:$C, 0)))))</f>
        <v/>
      </c>
      <c r="H483" s="3">
        <f>IF($E483="","", IF(AND($E483&gt;=INDEX(Calc!$E:$E, MATCH("min_fwd_draft_m", Calc!$C:$C, 0)), $E483&lt;=INDEX(Calc!$E:$E, MATCH("max_fwd_draft_m", Calc!$C:$C, 0)), $G483&lt;=INDEX(Calc!$E:$E, MATCH("theta_max_deg", Calc!$C:$C, 0))), "OK", "CHECK"))</f>
        <v/>
      </c>
      <c r="I483" s="6">
        <f>IF($E483="","", INDEX(Calc!$E:$E, MATCH("D_vessel_m", Calc!$C:$C, 0)) - $E483 + $B483)</f>
        <v/>
      </c>
      <c r="J483" s="6">
        <f>IF($F483="","", INDEX(Calc!$E:$E, MATCH("D_vessel_m", Calc!$C:$C, 0)) - $F483 + $B483)</f>
        <v/>
      </c>
      <c r="K483" s="3">
        <f>IF(D483=0, "Even Keel", "")</f>
        <v/>
      </c>
    </row>
    <row r="484">
      <c r="A484" s="3">
        <f>IF(December_Tide_2025!A484="","",December_Tide_2025!A484)</f>
        <v/>
      </c>
      <c r="B484" s="6">
        <f>IF(December_Tide_2025!B484="","",December_Tide_2025!B484)</f>
        <v/>
      </c>
      <c r="C484" s="6">
        <f>IF($A484="","", INDEX(Calc!$E:$E, MATCH("KminusZ_m", Calc!$C:$C, 0)) + $B484 - INDEX(Calc!$E:$E, MATCH("L_ramp_m", Calc!$C:$C, 0)) * TAN(RADIANS(INDEX(Calc!$E:$E, MATCH("theta_max_deg", Calc!$C:$C, 0)))))</f>
        <v/>
      </c>
      <c r="D484" s="6" t="n"/>
      <c r="E484" s="6">
        <f>IF($C484="","", IF($D484="", $C484, $C484 - $D484/2))</f>
        <v/>
      </c>
      <c r="F484" s="6">
        <f>IF($C484="","", IF($D484="", $C484, $C484 + $D484/2))</f>
        <v/>
      </c>
      <c r="G484" s="6">
        <f>IF($E484="","", DEGREES(ATAN((INDEX(Calc!$E:$E, MATCH("KminusZ_m", Calc!$C:$C, 0)) - $E484 + $B484) / INDEX(Calc!$E:$E, MATCH("L_ramp_m", Calc!$C:$C, 0)))))</f>
        <v/>
      </c>
      <c r="H484" s="3">
        <f>IF($E484="","", IF(AND($E484&gt;=INDEX(Calc!$E:$E, MATCH("min_fwd_draft_m", Calc!$C:$C, 0)), $E484&lt;=INDEX(Calc!$E:$E, MATCH("max_fwd_draft_m", Calc!$C:$C, 0)), $G484&lt;=INDEX(Calc!$E:$E, MATCH("theta_max_deg", Calc!$C:$C, 0))), "OK", "CHECK"))</f>
        <v/>
      </c>
      <c r="I484" s="6">
        <f>IF($E484="","", INDEX(Calc!$E:$E, MATCH("D_vessel_m", Calc!$C:$C, 0)) - $E484 + $B484)</f>
        <v/>
      </c>
      <c r="J484" s="6">
        <f>IF($F484="","", INDEX(Calc!$E:$E, MATCH("D_vessel_m", Calc!$C:$C, 0)) - $F484 + $B484)</f>
        <v/>
      </c>
      <c r="K484" s="3">
        <f>IF(D484=0, "Even Keel", "")</f>
        <v/>
      </c>
    </row>
    <row r="485">
      <c r="A485" s="3">
        <f>IF(December_Tide_2025!A485="","",December_Tide_2025!A485)</f>
        <v/>
      </c>
      <c r="B485" s="6">
        <f>IF(December_Tide_2025!B485="","",December_Tide_2025!B485)</f>
        <v/>
      </c>
      <c r="C485" s="6">
        <f>IF($A485="","", INDEX(Calc!$E:$E, MATCH("KminusZ_m", Calc!$C:$C, 0)) + $B485 - INDEX(Calc!$E:$E, MATCH("L_ramp_m", Calc!$C:$C, 0)) * TAN(RADIANS(INDEX(Calc!$E:$E, MATCH("theta_max_deg", Calc!$C:$C, 0)))))</f>
        <v/>
      </c>
      <c r="D485" s="6" t="n"/>
      <c r="E485" s="6">
        <f>IF($C485="","", IF($D485="", $C485, $C485 - $D485/2))</f>
        <v/>
      </c>
      <c r="F485" s="6">
        <f>IF($C485="","", IF($D485="", $C485, $C485 + $D485/2))</f>
        <v/>
      </c>
      <c r="G485" s="6">
        <f>IF($E485="","", DEGREES(ATAN((INDEX(Calc!$E:$E, MATCH("KminusZ_m", Calc!$C:$C, 0)) - $E485 + $B485) / INDEX(Calc!$E:$E, MATCH("L_ramp_m", Calc!$C:$C, 0)))))</f>
        <v/>
      </c>
      <c r="H485" s="3">
        <f>IF($E485="","", IF(AND($E485&gt;=INDEX(Calc!$E:$E, MATCH("min_fwd_draft_m", Calc!$C:$C, 0)), $E485&lt;=INDEX(Calc!$E:$E, MATCH("max_fwd_draft_m", Calc!$C:$C, 0)), $G485&lt;=INDEX(Calc!$E:$E, MATCH("theta_max_deg", Calc!$C:$C, 0))), "OK", "CHECK"))</f>
        <v/>
      </c>
      <c r="I485" s="6">
        <f>IF($E485="","", INDEX(Calc!$E:$E, MATCH("D_vessel_m", Calc!$C:$C, 0)) - $E485 + $B485)</f>
        <v/>
      </c>
      <c r="J485" s="6">
        <f>IF($F485="","", INDEX(Calc!$E:$E, MATCH("D_vessel_m", Calc!$C:$C, 0)) - $F485 + $B485)</f>
        <v/>
      </c>
      <c r="K485" s="3">
        <f>IF(D485=0, "Even Keel", "")</f>
        <v/>
      </c>
    </row>
    <row r="486">
      <c r="A486" s="3">
        <f>IF(December_Tide_2025!A486="","",December_Tide_2025!A486)</f>
        <v/>
      </c>
      <c r="B486" s="6">
        <f>IF(December_Tide_2025!B486="","",December_Tide_2025!B486)</f>
        <v/>
      </c>
      <c r="C486" s="6">
        <f>IF($A486="","", INDEX(Calc!$E:$E, MATCH("KminusZ_m", Calc!$C:$C, 0)) + $B486 - INDEX(Calc!$E:$E, MATCH("L_ramp_m", Calc!$C:$C, 0)) * TAN(RADIANS(INDEX(Calc!$E:$E, MATCH("theta_max_deg", Calc!$C:$C, 0)))))</f>
        <v/>
      </c>
      <c r="D486" s="6" t="n"/>
      <c r="E486" s="6">
        <f>IF($C486="","", IF($D486="", $C486, $C486 - $D486/2))</f>
        <v/>
      </c>
      <c r="F486" s="6">
        <f>IF($C486="","", IF($D486="", $C486, $C486 + $D486/2))</f>
        <v/>
      </c>
      <c r="G486" s="6">
        <f>IF($E486="","", DEGREES(ATAN((INDEX(Calc!$E:$E, MATCH("KminusZ_m", Calc!$C:$C, 0)) - $E486 + $B486) / INDEX(Calc!$E:$E, MATCH("L_ramp_m", Calc!$C:$C, 0)))))</f>
        <v/>
      </c>
      <c r="H486" s="3">
        <f>IF($E486="","", IF(AND($E486&gt;=INDEX(Calc!$E:$E, MATCH("min_fwd_draft_m", Calc!$C:$C, 0)), $E486&lt;=INDEX(Calc!$E:$E, MATCH("max_fwd_draft_m", Calc!$C:$C, 0)), $G486&lt;=INDEX(Calc!$E:$E, MATCH("theta_max_deg", Calc!$C:$C, 0))), "OK", "CHECK"))</f>
        <v/>
      </c>
      <c r="I486" s="6">
        <f>IF($E486="","", INDEX(Calc!$E:$E, MATCH("D_vessel_m", Calc!$C:$C, 0)) - $E486 + $B486)</f>
        <v/>
      </c>
      <c r="J486" s="6">
        <f>IF($F486="","", INDEX(Calc!$E:$E, MATCH("D_vessel_m", Calc!$C:$C, 0)) - $F486 + $B486)</f>
        <v/>
      </c>
      <c r="K486" s="3">
        <f>IF(D486=0, "Even Keel", "")</f>
        <v/>
      </c>
    </row>
    <row r="487">
      <c r="A487" s="3">
        <f>IF(December_Tide_2025!A487="","",December_Tide_2025!A487)</f>
        <v/>
      </c>
      <c r="B487" s="6">
        <f>IF(December_Tide_2025!B487="","",December_Tide_2025!B487)</f>
        <v/>
      </c>
      <c r="C487" s="6">
        <f>IF($A487="","", INDEX(Calc!$E:$E, MATCH("KminusZ_m", Calc!$C:$C, 0)) + $B487 - INDEX(Calc!$E:$E, MATCH("L_ramp_m", Calc!$C:$C, 0)) * TAN(RADIANS(INDEX(Calc!$E:$E, MATCH("theta_max_deg", Calc!$C:$C, 0)))))</f>
        <v/>
      </c>
      <c r="D487" s="6" t="n"/>
      <c r="E487" s="6">
        <f>IF($C487="","", IF($D487="", $C487, $C487 - $D487/2))</f>
        <v/>
      </c>
      <c r="F487" s="6">
        <f>IF($C487="","", IF($D487="", $C487, $C487 + $D487/2))</f>
        <v/>
      </c>
      <c r="G487" s="6">
        <f>IF($E487="","", DEGREES(ATAN((INDEX(Calc!$E:$E, MATCH("KminusZ_m", Calc!$C:$C, 0)) - $E487 + $B487) / INDEX(Calc!$E:$E, MATCH("L_ramp_m", Calc!$C:$C, 0)))))</f>
        <v/>
      </c>
      <c r="H487" s="3">
        <f>IF($E487="","", IF(AND($E487&gt;=INDEX(Calc!$E:$E, MATCH("min_fwd_draft_m", Calc!$C:$C, 0)), $E487&lt;=INDEX(Calc!$E:$E, MATCH("max_fwd_draft_m", Calc!$C:$C, 0)), $G487&lt;=INDEX(Calc!$E:$E, MATCH("theta_max_deg", Calc!$C:$C, 0))), "OK", "CHECK"))</f>
        <v/>
      </c>
      <c r="I487" s="6">
        <f>IF($E487="","", INDEX(Calc!$E:$E, MATCH("D_vessel_m", Calc!$C:$C, 0)) - $E487 + $B487)</f>
        <v/>
      </c>
      <c r="J487" s="6">
        <f>IF($F487="","", INDEX(Calc!$E:$E, MATCH("D_vessel_m", Calc!$C:$C, 0)) - $F487 + $B487)</f>
        <v/>
      </c>
      <c r="K487" s="3">
        <f>IF(D487=0, "Even Keel", "")</f>
        <v/>
      </c>
    </row>
    <row r="488">
      <c r="A488" s="3">
        <f>IF(December_Tide_2025!A488="","",December_Tide_2025!A488)</f>
        <v/>
      </c>
      <c r="B488" s="6">
        <f>IF(December_Tide_2025!B488="","",December_Tide_2025!B488)</f>
        <v/>
      </c>
      <c r="C488" s="6">
        <f>IF($A488="","", INDEX(Calc!$E:$E, MATCH("KminusZ_m", Calc!$C:$C, 0)) + $B488 - INDEX(Calc!$E:$E, MATCH("L_ramp_m", Calc!$C:$C, 0)) * TAN(RADIANS(INDEX(Calc!$E:$E, MATCH("theta_max_deg", Calc!$C:$C, 0)))))</f>
        <v/>
      </c>
      <c r="D488" s="6" t="n"/>
      <c r="E488" s="6">
        <f>IF($C488="","", IF($D488="", $C488, $C488 - $D488/2))</f>
        <v/>
      </c>
      <c r="F488" s="6">
        <f>IF($C488="","", IF($D488="", $C488, $C488 + $D488/2))</f>
        <v/>
      </c>
      <c r="G488" s="6">
        <f>IF($E488="","", DEGREES(ATAN((INDEX(Calc!$E:$E, MATCH("KminusZ_m", Calc!$C:$C, 0)) - $E488 + $B488) / INDEX(Calc!$E:$E, MATCH("L_ramp_m", Calc!$C:$C, 0)))))</f>
        <v/>
      </c>
      <c r="H488" s="3">
        <f>IF($E488="","", IF(AND($E488&gt;=INDEX(Calc!$E:$E, MATCH("min_fwd_draft_m", Calc!$C:$C, 0)), $E488&lt;=INDEX(Calc!$E:$E, MATCH("max_fwd_draft_m", Calc!$C:$C, 0)), $G488&lt;=INDEX(Calc!$E:$E, MATCH("theta_max_deg", Calc!$C:$C, 0))), "OK", "CHECK"))</f>
        <v/>
      </c>
      <c r="I488" s="6">
        <f>IF($E488="","", INDEX(Calc!$E:$E, MATCH("D_vessel_m", Calc!$C:$C, 0)) - $E488 + $B488)</f>
        <v/>
      </c>
      <c r="J488" s="6">
        <f>IF($F488="","", INDEX(Calc!$E:$E, MATCH("D_vessel_m", Calc!$C:$C, 0)) - $F488 + $B488)</f>
        <v/>
      </c>
      <c r="K488" s="3">
        <f>IF(D488=0, "Even Keel", "")</f>
        <v/>
      </c>
    </row>
    <row r="489">
      <c r="A489" s="3">
        <f>IF(December_Tide_2025!A489="","",December_Tide_2025!A489)</f>
        <v/>
      </c>
      <c r="B489" s="6">
        <f>IF(December_Tide_2025!B489="","",December_Tide_2025!B489)</f>
        <v/>
      </c>
      <c r="C489" s="6">
        <f>IF($A489="","", INDEX(Calc!$E:$E, MATCH("KminusZ_m", Calc!$C:$C, 0)) + $B489 - INDEX(Calc!$E:$E, MATCH("L_ramp_m", Calc!$C:$C, 0)) * TAN(RADIANS(INDEX(Calc!$E:$E, MATCH("theta_max_deg", Calc!$C:$C, 0)))))</f>
        <v/>
      </c>
      <c r="D489" s="6" t="n"/>
      <c r="E489" s="6">
        <f>IF($C489="","", IF($D489="", $C489, $C489 - $D489/2))</f>
        <v/>
      </c>
      <c r="F489" s="6">
        <f>IF($C489="","", IF($D489="", $C489, $C489 + $D489/2))</f>
        <v/>
      </c>
      <c r="G489" s="6">
        <f>IF($E489="","", DEGREES(ATAN((INDEX(Calc!$E:$E, MATCH("KminusZ_m", Calc!$C:$C, 0)) - $E489 + $B489) / INDEX(Calc!$E:$E, MATCH("L_ramp_m", Calc!$C:$C, 0)))))</f>
        <v/>
      </c>
      <c r="H489" s="3">
        <f>IF($E489="","", IF(AND($E489&gt;=INDEX(Calc!$E:$E, MATCH("min_fwd_draft_m", Calc!$C:$C, 0)), $E489&lt;=INDEX(Calc!$E:$E, MATCH("max_fwd_draft_m", Calc!$C:$C, 0)), $G489&lt;=INDEX(Calc!$E:$E, MATCH("theta_max_deg", Calc!$C:$C, 0))), "OK", "CHECK"))</f>
        <v/>
      </c>
      <c r="I489" s="6">
        <f>IF($E489="","", INDEX(Calc!$E:$E, MATCH("D_vessel_m", Calc!$C:$C, 0)) - $E489 + $B489)</f>
        <v/>
      </c>
      <c r="J489" s="6">
        <f>IF($F489="","", INDEX(Calc!$E:$E, MATCH("D_vessel_m", Calc!$C:$C, 0)) - $F489 + $B489)</f>
        <v/>
      </c>
      <c r="K489" s="3">
        <f>IF(D489=0, "Even Keel", "")</f>
        <v/>
      </c>
    </row>
    <row r="490">
      <c r="A490" s="3">
        <f>IF(December_Tide_2025!A490="","",December_Tide_2025!A490)</f>
        <v/>
      </c>
      <c r="B490" s="6">
        <f>IF(December_Tide_2025!B490="","",December_Tide_2025!B490)</f>
        <v/>
      </c>
      <c r="C490" s="6">
        <f>IF($A490="","", INDEX(Calc!$E:$E, MATCH("KminusZ_m", Calc!$C:$C, 0)) + $B490 - INDEX(Calc!$E:$E, MATCH("L_ramp_m", Calc!$C:$C, 0)) * TAN(RADIANS(INDEX(Calc!$E:$E, MATCH("theta_max_deg", Calc!$C:$C, 0)))))</f>
        <v/>
      </c>
      <c r="D490" s="6" t="n"/>
      <c r="E490" s="6">
        <f>IF($C490="","", IF($D490="", $C490, $C490 - $D490/2))</f>
        <v/>
      </c>
      <c r="F490" s="6">
        <f>IF($C490="","", IF($D490="", $C490, $C490 + $D490/2))</f>
        <v/>
      </c>
      <c r="G490" s="6">
        <f>IF($E490="","", DEGREES(ATAN((INDEX(Calc!$E:$E, MATCH("KminusZ_m", Calc!$C:$C, 0)) - $E490 + $B490) / INDEX(Calc!$E:$E, MATCH("L_ramp_m", Calc!$C:$C, 0)))))</f>
        <v/>
      </c>
      <c r="H490" s="3">
        <f>IF($E490="","", IF(AND($E490&gt;=INDEX(Calc!$E:$E, MATCH("min_fwd_draft_m", Calc!$C:$C, 0)), $E490&lt;=INDEX(Calc!$E:$E, MATCH("max_fwd_draft_m", Calc!$C:$C, 0)), $G490&lt;=INDEX(Calc!$E:$E, MATCH("theta_max_deg", Calc!$C:$C, 0))), "OK", "CHECK"))</f>
        <v/>
      </c>
      <c r="I490" s="6">
        <f>IF($E490="","", INDEX(Calc!$E:$E, MATCH("D_vessel_m", Calc!$C:$C, 0)) - $E490 + $B490)</f>
        <v/>
      </c>
      <c r="J490" s="6">
        <f>IF($F490="","", INDEX(Calc!$E:$E, MATCH("D_vessel_m", Calc!$C:$C, 0)) - $F490 + $B490)</f>
        <v/>
      </c>
      <c r="K490" s="3">
        <f>IF(D490=0, "Even Keel", "")</f>
        <v/>
      </c>
    </row>
    <row r="491">
      <c r="A491" s="3">
        <f>IF(December_Tide_2025!A491="","",December_Tide_2025!A491)</f>
        <v/>
      </c>
      <c r="B491" s="6">
        <f>IF(December_Tide_2025!B491="","",December_Tide_2025!B491)</f>
        <v/>
      </c>
      <c r="C491" s="6">
        <f>IF($A491="","", INDEX(Calc!$E:$E, MATCH("KminusZ_m", Calc!$C:$C, 0)) + $B491 - INDEX(Calc!$E:$E, MATCH("L_ramp_m", Calc!$C:$C, 0)) * TAN(RADIANS(INDEX(Calc!$E:$E, MATCH("theta_max_deg", Calc!$C:$C, 0)))))</f>
        <v/>
      </c>
      <c r="D491" s="6" t="n"/>
      <c r="E491" s="6">
        <f>IF($C491="","", IF($D491="", $C491, $C491 - $D491/2))</f>
        <v/>
      </c>
      <c r="F491" s="6">
        <f>IF($C491="","", IF($D491="", $C491, $C491 + $D491/2))</f>
        <v/>
      </c>
      <c r="G491" s="6">
        <f>IF($E491="","", DEGREES(ATAN((INDEX(Calc!$E:$E, MATCH("KminusZ_m", Calc!$C:$C, 0)) - $E491 + $B491) / INDEX(Calc!$E:$E, MATCH("L_ramp_m", Calc!$C:$C, 0)))))</f>
        <v/>
      </c>
      <c r="H491" s="3">
        <f>IF($E491="","", IF(AND($E491&gt;=INDEX(Calc!$E:$E, MATCH("min_fwd_draft_m", Calc!$C:$C, 0)), $E491&lt;=INDEX(Calc!$E:$E, MATCH("max_fwd_draft_m", Calc!$C:$C, 0)), $G491&lt;=INDEX(Calc!$E:$E, MATCH("theta_max_deg", Calc!$C:$C, 0))), "OK", "CHECK"))</f>
        <v/>
      </c>
      <c r="I491" s="6">
        <f>IF($E491="","", INDEX(Calc!$E:$E, MATCH("D_vessel_m", Calc!$C:$C, 0)) - $E491 + $B491)</f>
        <v/>
      </c>
      <c r="J491" s="6">
        <f>IF($F491="","", INDEX(Calc!$E:$E, MATCH("D_vessel_m", Calc!$C:$C, 0)) - $F491 + $B491)</f>
        <v/>
      </c>
      <c r="K491" s="3">
        <f>IF(D491=0, "Even Keel", "")</f>
        <v/>
      </c>
    </row>
    <row r="492">
      <c r="A492" s="3">
        <f>IF(December_Tide_2025!A492="","",December_Tide_2025!A492)</f>
        <v/>
      </c>
      <c r="B492" s="6">
        <f>IF(December_Tide_2025!B492="","",December_Tide_2025!B492)</f>
        <v/>
      </c>
      <c r="C492" s="6">
        <f>IF($A492="","", INDEX(Calc!$E:$E, MATCH("KminusZ_m", Calc!$C:$C, 0)) + $B492 - INDEX(Calc!$E:$E, MATCH("L_ramp_m", Calc!$C:$C, 0)) * TAN(RADIANS(INDEX(Calc!$E:$E, MATCH("theta_max_deg", Calc!$C:$C, 0)))))</f>
        <v/>
      </c>
      <c r="D492" s="6" t="n"/>
      <c r="E492" s="6">
        <f>IF($C492="","", IF($D492="", $C492, $C492 - $D492/2))</f>
        <v/>
      </c>
      <c r="F492" s="6">
        <f>IF($C492="","", IF($D492="", $C492, $C492 + $D492/2))</f>
        <v/>
      </c>
      <c r="G492" s="6">
        <f>IF($E492="","", DEGREES(ATAN((INDEX(Calc!$E:$E, MATCH("KminusZ_m", Calc!$C:$C, 0)) - $E492 + $B492) / INDEX(Calc!$E:$E, MATCH("L_ramp_m", Calc!$C:$C, 0)))))</f>
        <v/>
      </c>
      <c r="H492" s="3">
        <f>IF($E492="","", IF(AND($E492&gt;=INDEX(Calc!$E:$E, MATCH("min_fwd_draft_m", Calc!$C:$C, 0)), $E492&lt;=INDEX(Calc!$E:$E, MATCH("max_fwd_draft_m", Calc!$C:$C, 0)), $G492&lt;=INDEX(Calc!$E:$E, MATCH("theta_max_deg", Calc!$C:$C, 0))), "OK", "CHECK"))</f>
        <v/>
      </c>
      <c r="I492" s="6">
        <f>IF($E492="","", INDEX(Calc!$E:$E, MATCH("D_vessel_m", Calc!$C:$C, 0)) - $E492 + $B492)</f>
        <v/>
      </c>
      <c r="J492" s="6">
        <f>IF($F492="","", INDEX(Calc!$E:$E, MATCH("D_vessel_m", Calc!$C:$C, 0)) - $F492 + $B492)</f>
        <v/>
      </c>
      <c r="K492" s="3">
        <f>IF(D492=0, "Even Keel", "")</f>
        <v/>
      </c>
    </row>
    <row r="493">
      <c r="A493" s="3">
        <f>IF(December_Tide_2025!A493="","",December_Tide_2025!A493)</f>
        <v/>
      </c>
      <c r="B493" s="6">
        <f>IF(December_Tide_2025!B493="","",December_Tide_2025!B493)</f>
        <v/>
      </c>
      <c r="C493" s="6">
        <f>IF($A493="","", INDEX(Calc!$E:$E, MATCH("KminusZ_m", Calc!$C:$C, 0)) + $B493 - INDEX(Calc!$E:$E, MATCH("L_ramp_m", Calc!$C:$C, 0)) * TAN(RADIANS(INDEX(Calc!$E:$E, MATCH("theta_max_deg", Calc!$C:$C, 0)))))</f>
        <v/>
      </c>
      <c r="D493" s="6" t="n"/>
      <c r="E493" s="6">
        <f>IF($C493="","", IF($D493="", $C493, $C493 - $D493/2))</f>
        <v/>
      </c>
      <c r="F493" s="6">
        <f>IF($C493="","", IF($D493="", $C493, $C493 + $D493/2))</f>
        <v/>
      </c>
      <c r="G493" s="6">
        <f>IF($E493="","", DEGREES(ATAN((INDEX(Calc!$E:$E, MATCH("KminusZ_m", Calc!$C:$C, 0)) - $E493 + $B493) / INDEX(Calc!$E:$E, MATCH("L_ramp_m", Calc!$C:$C, 0)))))</f>
        <v/>
      </c>
      <c r="H493" s="3">
        <f>IF($E493="","", IF(AND($E493&gt;=INDEX(Calc!$E:$E, MATCH("min_fwd_draft_m", Calc!$C:$C, 0)), $E493&lt;=INDEX(Calc!$E:$E, MATCH("max_fwd_draft_m", Calc!$C:$C, 0)), $G493&lt;=INDEX(Calc!$E:$E, MATCH("theta_max_deg", Calc!$C:$C, 0))), "OK", "CHECK"))</f>
        <v/>
      </c>
      <c r="I493" s="6">
        <f>IF($E493="","", INDEX(Calc!$E:$E, MATCH("D_vessel_m", Calc!$C:$C, 0)) - $E493 + $B493)</f>
        <v/>
      </c>
      <c r="J493" s="6">
        <f>IF($F493="","", INDEX(Calc!$E:$E, MATCH("D_vessel_m", Calc!$C:$C, 0)) - $F493 + $B493)</f>
        <v/>
      </c>
      <c r="K493" s="3">
        <f>IF(D493=0, "Even Keel", "")</f>
        <v/>
      </c>
    </row>
    <row r="494">
      <c r="A494" s="3">
        <f>IF(December_Tide_2025!A494="","",December_Tide_2025!A494)</f>
        <v/>
      </c>
      <c r="B494" s="6">
        <f>IF(December_Tide_2025!B494="","",December_Tide_2025!B494)</f>
        <v/>
      </c>
      <c r="C494" s="6">
        <f>IF($A494="","", INDEX(Calc!$E:$E, MATCH("KminusZ_m", Calc!$C:$C, 0)) + $B494 - INDEX(Calc!$E:$E, MATCH("L_ramp_m", Calc!$C:$C, 0)) * TAN(RADIANS(INDEX(Calc!$E:$E, MATCH("theta_max_deg", Calc!$C:$C, 0)))))</f>
        <v/>
      </c>
      <c r="D494" s="6" t="n"/>
      <c r="E494" s="6">
        <f>IF($C494="","", IF($D494="", $C494, $C494 - $D494/2))</f>
        <v/>
      </c>
      <c r="F494" s="6">
        <f>IF($C494="","", IF($D494="", $C494, $C494 + $D494/2))</f>
        <v/>
      </c>
      <c r="G494" s="6">
        <f>IF($E494="","", DEGREES(ATAN((INDEX(Calc!$E:$E, MATCH("KminusZ_m", Calc!$C:$C, 0)) - $E494 + $B494) / INDEX(Calc!$E:$E, MATCH("L_ramp_m", Calc!$C:$C, 0)))))</f>
        <v/>
      </c>
      <c r="H494" s="3">
        <f>IF($E494="","", IF(AND($E494&gt;=INDEX(Calc!$E:$E, MATCH("min_fwd_draft_m", Calc!$C:$C, 0)), $E494&lt;=INDEX(Calc!$E:$E, MATCH("max_fwd_draft_m", Calc!$C:$C, 0)), $G494&lt;=INDEX(Calc!$E:$E, MATCH("theta_max_deg", Calc!$C:$C, 0))), "OK", "CHECK"))</f>
        <v/>
      </c>
      <c r="I494" s="6">
        <f>IF($E494="","", INDEX(Calc!$E:$E, MATCH("D_vessel_m", Calc!$C:$C, 0)) - $E494 + $B494)</f>
        <v/>
      </c>
      <c r="J494" s="6">
        <f>IF($F494="","", INDEX(Calc!$E:$E, MATCH("D_vessel_m", Calc!$C:$C, 0)) - $F494 + $B494)</f>
        <v/>
      </c>
      <c r="K494" s="3">
        <f>IF(D494=0, "Even Keel", "")</f>
        <v/>
      </c>
    </row>
    <row r="495">
      <c r="A495" s="3">
        <f>IF(December_Tide_2025!A495="","",December_Tide_2025!A495)</f>
        <v/>
      </c>
      <c r="B495" s="6">
        <f>IF(December_Tide_2025!B495="","",December_Tide_2025!B495)</f>
        <v/>
      </c>
      <c r="C495" s="6">
        <f>IF($A495="","", INDEX(Calc!$E:$E, MATCH("KminusZ_m", Calc!$C:$C, 0)) + $B495 - INDEX(Calc!$E:$E, MATCH("L_ramp_m", Calc!$C:$C, 0)) * TAN(RADIANS(INDEX(Calc!$E:$E, MATCH("theta_max_deg", Calc!$C:$C, 0)))))</f>
        <v/>
      </c>
      <c r="D495" s="6" t="n"/>
      <c r="E495" s="6">
        <f>IF($C495="","", IF($D495="", $C495, $C495 - $D495/2))</f>
        <v/>
      </c>
      <c r="F495" s="6">
        <f>IF($C495="","", IF($D495="", $C495, $C495 + $D495/2))</f>
        <v/>
      </c>
      <c r="G495" s="6">
        <f>IF($E495="","", DEGREES(ATAN((INDEX(Calc!$E:$E, MATCH("KminusZ_m", Calc!$C:$C, 0)) - $E495 + $B495) / INDEX(Calc!$E:$E, MATCH("L_ramp_m", Calc!$C:$C, 0)))))</f>
        <v/>
      </c>
      <c r="H495" s="3">
        <f>IF($E495="","", IF(AND($E495&gt;=INDEX(Calc!$E:$E, MATCH("min_fwd_draft_m", Calc!$C:$C, 0)), $E495&lt;=INDEX(Calc!$E:$E, MATCH("max_fwd_draft_m", Calc!$C:$C, 0)), $G495&lt;=INDEX(Calc!$E:$E, MATCH("theta_max_deg", Calc!$C:$C, 0))), "OK", "CHECK"))</f>
        <v/>
      </c>
      <c r="I495" s="6">
        <f>IF($E495="","", INDEX(Calc!$E:$E, MATCH("D_vessel_m", Calc!$C:$C, 0)) - $E495 + $B495)</f>
        <v/>
      </c>
      <c r="J495" s="6">
        <f>IF($F495="","", INDEX(Calc!$E:$E, MATCH("D_vessel_m", Calc!$C:$C, 0)) - $F495 + $B495)</f>
        <v/>
      </c>
      <c r="K495" s="3">
        <f>IF(D495=0, "Even Keel", "")</f>
        <v/>
      </c>
    </row>
    <row r="496">
      <c r="A496" s="3">
        <f>IF(December_Tide_2025!A496="","",December_Tide_2025!A496)</f>
        <v/>
      </c>
      <c r="B496" s="6">
        <f>IF(December_Tide_2025!B496="","",December_Tide_2025!B496)</f>
        <v/>
      </c>
      <c r="C496" s="6">
        <f>IF($A496="","", INDEX(Calc!$E:$E, MATCH("KminusZ_m", Calc!$C:$C, 0)) + $B496 - INDEX(Calc!$E:$E, MATCH("L_ramp_m", Calc!$C:$C, 0)) * TAN(RADIANS(INDEX(Calc!$E:$E, MATCH("theta_max_deg", Calc!$C:$C, 0)))))</f>
        <v/>
      </c>
      <c r="D496" s="6" t="n"/>
      <c r="E496" s="6">
        <f>IF($C496="","", IF($D496="", $C496, $C496 - $D496/2))</f>
        <v/>
      </c>
      <c r="F496" s="6">
        <f>IF($C496="","", IF($D496="", $C496, $C496 + $D496/2))</f>
        <v/>
      </c>
      <c r="G496" s="6">
        <f>IF($E496="","", DEGREES(ATAN((INDEX(Calc!$E:$E, MATCH("KminusZ_m", Calc!$C:$C, 0)) - $E496 + $B496) / INDEX(Calc!$E:$E, MATCH("L_ramp_m", Calc!$C:$C, 0)))))</f>
        <v/>
      </c>
      <c r="H496" s="3">
        <f>IF($E496="","", IF(AND($E496&gt;=INDEX(Calc!$E:$E, MATCH("min_fwd_draft_m", Calc!$C:$C, 0)), $E496&lt;=INDEX(Calc!$E:$E, MATCH("max_fwd_draft_m", Calc!$C:$C, 0)), $G496&lt;=INDEX(Calc!$E:$E, MATCH("theta_max_deg", Calc!$C:$C, 0))), "OK", "CHECK"))</f>
        <v/>
      </c>
      <c r="I496" s="6">
        <f>IF($E496="","", INDEX(Calc!$E:$E, MATCH("D_vessel_m", Calc!$C:$C, 0)) - $E496 + $B496)</f>
        <v/>
      </c>
      <c r="J496" s="6">
        <f>IF($F496="","", INDEX(Calc!$E:$E, MATCH("D_vessel_m", Calc!$C:$C, 0)) - $F496 + $B496)</f>
        <v/>
      </c>
      <c r="K496" s="3">
        <f>IF(D496=0, "Even Keel", "")</f>
        <v/>
      </c>
    </row>
    <row r="497">
      <c r="A497" s="3">
        <f>IF(December_Tide_2025!A497="","",December_Tide_2025!A497)</f>
        <v/>
      </c>
      <c r="B497" s="6">
        <f>IF(December_Tide_2025!B497="","",December_Tide_2025!B497)</f>
        <v/>
      </c>
      <c r="C497" s="6">
        <f>IF($A497="","", INDEX(Calc!$E:$E, MATCH("KminusZ_m", Calc!$C:$C, 0)) + $B497 - INDEX(Calc!$E:$E, MATCH("L_ramp_m", Calc!$C:$C, 0)) * TAN(RADIANS(INDEX(Calc!$E:$E, MATCH("theta_max_deg", Calc!$C:$C, 0)))))</f>
        <v/>
      </c>
      <c r="D497" s="6" t="n"/>
      <c r="E497" s="6">
        <f>IF($C497="","", IF($D497="", $C497, $C497 - $D497/2))</f>
        <v/>
      </c>
      <c r="F497" s="6">
        <f>IF($C497="","", IF($D497="", $C497, $C497 + $D497/2))</f>
        <v/>
      </c>
      <c r="G497" s="6">
        <f>IF($E497="","", DEGREES(ATAN((INDEX(Calc!$E:$E, MATCH("KminusZ_m", Calc!$C:$C, 0)) - $E497 + $B497) / INDEX(Calc!$E:$E, MATCH("L_ramp_m", Calc!$C:$C, 0)))))</f>
        <v/>
      </c>
      <c r="H497" s="3">
        <f>IF($E497="","", IF(AND($E497&gt;=INDEX(Calc!$E:$E, MATCH("min_fwd_draft_m", Calc!$C:$C, 0)), $E497&lt;=INDEX(Calc!$E:$E, MATCH("max_fwd_draft_m", Calc!$C:$C, 0)), $G497&lt;=INDEX(Calc!$E:$E, MATCH("theta_max_deg", Calc!$C:$C, 0))), "OK", "CHECK"))</f>
        <v/>
      </c>
      <c r="I497" s="6">
        <f>IF($E497="","", INDEX(Calc!$E:$E, MATCH("D_vessel_m", Calc!$C:$C, 0)) - $E497 + $B497)</f>
        <v/>
      </c>
      <c r="J497" s="6">
        <f>IF($F497="","", INDEX(Calc!$E:$E, MATCH("D_vessel_m", Calc!$C:$C, 0)) - $F497 + $B497)</f>
        <v/>
      </c>
      <c r="K497" s="3">
        <f>IF(D497=0, "Even Keel", "")</f>
        <v/>
      </c>
    </row>
    <row r="498">
      <c r="A498" s="3">
        <f>IF(December_Tide_2025!A498="","",December_Tide_2025!A498)</f>
        <v/>
      </c>
      <c r="B498" s="6">
        <f>IF(December_Tide_2025!B498="","",December_Tide_2025!B498)</f>
        <v/>
      </c>
      <c r="C498" s="6">
        <f>IF($A498="","", INDEX(Calc!$E:$E, MATCH("KminusZ_m", Calc!$C:$C, 0)) + $B498 - INDEX(Calc!$E:$E, MATCH("L_ramp_m", Calc!$C:$C, 0)) * TAN(RADIANS(INDEX(Calc!$E:$E, MATCH("theta_max_deg", Calc!$C:$C, 0)))))</f>
        <v/>
      </c>
      <c r="D498" s="6" t="n"/>
      <c r="E498" s="6">
        <f>IF($C498="","", IF($D498="", $C498, $C498 - $D498/2))</f>
        <v/>
      </c>
      <c r="F498" s="6">
        <f>IF($C498="","", IF($D498="", $C498, $C498 + $D498/2))</f>
        <v/>
      </c>
      <c r="G498" s="6">
        <f>IF($E498="","", DEGREES(ATAN((INDEX(Calc!$E:$E, MATCH("KminusZ_m", Calc!$C:$C, 0)) - $E498 + $B498) / INDEX(Calc!$E:$E, MATCH("L_ramp_m", Calc!$C:$C, 0)))))</f>
        <v/>
      </c>
      <c r="H498" s="3">
        <f>IF($E498="","", IF(AND($E498&gt;=INDEX(Calc!$E:$E, MATCH("min_fwd_draft_m", Calc!$C:$C, 0)), $E498&lt;=INDEX(Calc!$E:$E, MATCH("max_fwd_draft_m", Calc!$C:$C, 0)), $G498&lt;=INDEX(Calc!$E:$E, MATCH("theta_max_deg", Calc!$C:$C, 0))), "OK", "CHECK"))</f>
        <v/>
      </c>
      <c r="I498" s="6">
        <f>IF($E498="","", INDEX(Calc!$E:$E, MATCH("D_vessel_m", Calc!$C:$C, 0)) - $E498 + $B498)</f>
        <v/>
      </c>
      <c r="J498" s="6">
        <f>IF($F498="","", INDEX(Calc!$E:$E, MATCH("D_vessel_m", Calc!$C:$C, 0)) - $F498 + $B498)</f>
        <v/>
      </c>
      <c r="K498" s="3">
        <f>IF(D498=0, "Even Keel", "")</f>
        <v/>
      </c>
    </row>
    <row r="499">
      <c r="A499" s="3">
        <f>IF(December_Tide_2025!A499="","",December_Tide_2025!A499)</f>
        <v/>
      </c>
      <c r="B499" s="6">
        <f>IF(December_Tide_2025!B499="","",December_Tide_2025!B499)</f>
        <v/>
      </c>
      <c r="C499" s="6">
        <f>IF($A499="","", INDEX(Calc!$E:$E, MATCH("KminusZ_m", Calc!$C:$C, 0)) + $B499 - INDEX(Calc!$E:$E, MATCH("L_ramp_m", Calc!$C:$C, 0)) * TAN(RADIANS(INDEX(Calc!$E:$E, MATCH("theta_max_deg", Calc!$C:$C, 0)))))</f>
        <v/>
      </c>
      <c r="D499" s="6" t="n"/>
      <c r="E499" s="6">
        <f>IF($C499="","", IF($D499="", $C499, $C499 - $D499/2))</f>
        <v/>
      </c>
      <c r="F499" s="6">
        <f>IF($C499="","", IF($D499="", $C499, $C499 + $D499/2))</f>
        <v/>
      </c>
      <c r="G499" s="6">
        <f>IF($E499="","", DEGREES(ATAN((INDEX(Calc!$E:$E, MATCH("KminusZ_m", Calc!$C:$C, 0)) - $E499 + $B499) / INDEX(Calc!$E:$E, MATCH("L_ramp_m", Calc!$C:$C, 0)))))</f>
        <v/>
      </c>
      <c r="H499" s="3">
        <f>IF($E499="","", IF(AND($E499&gt;=INDEX(Calc!$E:$E, MATCH("min_fwd_draft_m", Calc!$C:$C, 0)), $E499&lt;=INDEX(Calc!$E:$E, MATCH("max_fwd_draft_m", Calc!$C:$C, 0)), $G499&lt;=INDEX(Calc!$E:$E, MATCH("theta_max_deg", Calc!$C:$C, 0))), "OK", "CHECK"))</f>
        <v/>
      </c>
      <c r="I499" s="6">
        <f>IF($E499="","", INDEX(Calc!$E:$E, MATCH("D_vessel_m", Calc!$C:$C, 0)) - $E499 + $B499)</f>
        <v/>
      </c>
      <c r="J499" s="6">
        <f>IF($F499="","", INDEX(Calc!$E:$E, MATCH("D_vessel_m", Calc!$C:$C, 0)) - $F499 + $B499)</f>
        <v/>
      </c>
      <c r="K499" s="3">
        <f>IF(D499=0, "Even Keel", "")</f>
        <v/>
      </c>
    </row>
    <row r="500">
      <c r="A500" s="3">
        <f>IF(December_Tide_2025!A500="","",December_Tide_2025!A500)</f>
        <v/>
      </c>
      <c r="B500" s="6">
        <f>IF(December_Tide_2025!B500="","",December_Tide_2025!B500)</f>
        <v/>
      </c>
      <c r="C500" s="6">
        <f>IF($A500="","", INDEX(Calc!$E:$E, MATCH("KminusZ_m", Calc!$C:$C, 0)) + $B500 - INDEX(Calc!$E:$E, MATCH("L_ramp_m", Calc!$C:$C, 0)) * TAN(RADIANS(INDEX(Calc!$E:$E, MATCH("theta_max_deg", Calc!$C:$C, 0)))))</f>
        <v/>
      </c>
      <c r="D500" s="6" t="n"/>
      <c r="E500" s="6">
        <f>IF($C500="","", IF($D500="", $C500, $C500 - $D500/2))</f>
        <v/>
      </c>
      <c r="F500" s="6">
        <f>IF($C500="","", IF($D500="", $C500, $C500 + $D500/2))</f>
        <v/>
      </c>
      <c r="G500" s="6">
        <f>IF($E500="","", DEGREES(ATAN((INDEX(Calc!$E:$E, MATCH("KminusZ_m", Calc!$C:$C, 0)) - $E500 + $B500) / INDEX(Calc!$E:$E, MATCH("L_ramp_m", Calc!$C:$C, 0)))))</f>
        <v/>
      </c>
      <c r="H500" s="3">
        <f>IF($E500="","", IF(AND($E500&gt;=INDEX(Calc!$E:$E, MATCH("min_fwd_draft_m", Calc!$C:$C, 0)), $E500&lt;=INDEX(Calc!$E:$E, MATCH("max_fwd_draft_m", Calc!$C:$C, 0)), $G500&lt;=INDEX(Calc!$E:$E, MATCH("theta_max_deg", Calc!$C:$C, 0))), "OK", "CHECK"))</f>
        <v/>
      </c>
      <c r="I500" s="6">
        <f>IF($E500="","", INDEX(Calc!$E:$E, MATCH("D_vessel_m", Calc!$C:$C, 0)) - $E500 + $B500)</f>
        <v/>
      </c>
      <c r="J500" s="6">
        <f>IF($F500="","", INDEX(Calc!$E:$E, MATCH("D_vessel_m", Calc!$C:$C, 0)) - $F500 + $B500)</f>
        <v/>
      </c>
      <c r="K500" s="3">
        <f>IF(D500=0, "Even Keel", "")</f>
        <v/>
      </c>
    </row>
    <row r="501">
      <c r="A501" s="3">
        <f>IF(December_Tide_2025!A501="","",December_Tide_2025!A501)</f>
        <v/>
      </c>
      <c r="B501" s="6">
        <f>IF(December_Tide_2025!B501="","",December_Tide_2025!B501)</f>
        <v/>
      </c>
      <c r="C501" s="6">
        <f>IF($A501="","", INDEX(Calc!$E:$E, MATCH("KminusZ_m", Calc!$C:$C, 0)) + $B501 - INDEX(Calc!$E:$E, MATCH("L_ramp_m", Calc!$C:$C, 0)) * TAN(RADIANS(INDEX(Calc!$E:$E, MATCH("theta_max_deg", Calc!$C:$C, 0)))))</f>
        <v/>
      </c>
      <c r="D501" s="6" t="n"/>
      <c r="E501" s="6">
        <f>IF($C501="","", IF($D501="", $C501, $C501 - $D501/2))</f>
        <v/>
      </c>
      <c r="F501" s="6">
        <f>IF($C501="","", IF($D501="", $C501, $C501 + $D501/2))</f>
        <v/>
      </c>
      <c r="G501" s="6">
        <f>IF($E501="","", DEGREES(ATAN((INDEX(Calc!$E:$E, MATCH("KminusZ_m", Calc!$C:$C, 0)) - $E501 + $B501) / INDEX(Calc!$E:$E, MATCH("L_ramp_m", Calc!$C:$C, 0)))))</f>
        <v/>
      </c>
      <c r="H501" s="3">
        <f>IF($E501="","", IF(AND($E501&gt;=INDEX(Calc!$E:$E, MATCH("min_fwd_draft_m", Calc!$C:$C, 0)), $E501&lt;=INDEX(Calc!$E:$E, MATCH("max_fwd_draft_m", Calc!$C:$C, 0)), $G501&lt;=INDEX(Calc!$E:$E, MATCH("theta_max_deg", Calc!$C:$C, 0))), "OK", "CHECK"))</f>
        <v/>
      </c>
      <c r="I501" s="6">
        <f>IF($E501="","", INDEX(Calc!$E:$E, MATCH("D_vessel_m", Calc!$C:$C, 0)) - $E501 + $B501)</f>
        <v/>
      </c>
      <c r="J501" s="6">
        <f>IF($F501="","", INDEX(Calc!$E:$E, MATCH("D_vessel_m", Calc!$C:$C, 0)) - $F501 + $B501)</f>
        <v/>
      </c>
      <c r="K501" s="3">
        <f>IF(D501=0, "Even Keel", "")</f>
        <v/>
      </c>
    </row>
    <row r="502">
      <c r="A502" s="3">
        <f>IF(December_Tide_2025!A502="","",December_Tide_2025!A502)</f>
        <v/>
      </c>
      <c r="B502" s="6">
        <f>IF(December_Tide_2025!B502="","",December_Tide_2025!B502)</f>
        <v/>
      </c>
      <c r="C502" s="6">
        <f>IF($A502="","", INDEX(Calc!$E:$E, MATCH("KminusZ_m", Calc!$C:$C, 0)) + $B502 - INDEX(Calc!$E:$E, MATCH("L_ramp_m", Calc!$C:$C, 0)) * TAN(RADIANS(INDEX(Calc!$E:$E, MATCH("theta_max_deg", Calc!$C:$C, 0)))))</f>
        <v/>
      </c>
      <c r="D502" s="6" t="n"/>
      <c r="E502" s="6">
        <f>IF($C502="","", IF($D502="", $C502, $C502 - $D502/2))</f>
        <v/>
      </c>
      <c r="F502" s="6">
        <f>IF($C502="","", IF($D502="", $C502, $C502 + $D502/2))</f>
        <v/>
      </c>
      <c r="G502" s="6">
        <f>IF($E502="","", DEGREES(ATAN((INDEX(Calc!$E:$E, MATCH("KminusZ_m", Calc!$C:$C, 0)) - $E502 + $B502) / INDEX(Calc!$E:$E, MATCH("L_ramp_m", Calc!$C:$C, 0)))))</f>
        <v/>
      </c>
      <c r="H502" s="3">
        <f>IF($E502="","", IF(AND($E502&gt;=INDEX(Calc!$E:$E, MATCH("min_fwd_draft_m", Calc!$C:$C, 0)), $E502&lt;=INDEX(Calc!$E:$E, MATCH("max_fwd_draft_m", Calc!$C:$C, 0)), $G502&lt;=INDEX(Calc!$E:$E, MATCH("theta_max_deg", Calc!$C:$C, 0))), "OK", "CHECK"))</f>
        <v/>
      </c>
      <c r="I502" s="6">
        <f>IF($E502="","", INDEX(Calc!$E:$E, MATCH("D_vessel_m", Calc!$C:$C, 0)) - $E502 + $B502)</f>
        <v/>
      </c>
      <c r="J502" s="6">
        <f>IF($F502="","", INDEX(Calc!$E:$E, MATCH("D_vessel_m", Calc!$C:$C, 0)) - $F502 + $B502)</f>
        <v/>
      </c>
      <c r="K502" s="3">
        <f>IF(D502=0, "Even Keel", "")</f>
        <v/>
      </c>
    </row>
    <row r="503">
      <c r="A503" s="3">
        <f>IF(December_Tide_2025!A503="","",December_Tide_2025!A503)</f>
        <v/>
      </c>
      <c r="B503" s="6">
        <f>IF(December_Tide_2025!B503="","",December_Tide_2025!B503)</f>
        <v/>
      </c>
      <c r="C503" s="6">
        <f>IF($A503="","", INDEX(Calc!$E:$E, MATCH("KminusZ_m", Calc!$C:$C, 0)) + $B503 - INDEX(Calc!$E:$E, MATCH("L_ramp_m", Calc!$C:$C, 0)) * TAN(RADIANS(INDEX(Calc!$E:$E, MATCH("theta_max_deg", Calc!$C:$C, 0)))))</f>
        <v/>
      </c>
      <c r="D503" s="6" t="n"/>
      <c r="E503" s="6">
        <f>IF($C503="","", IF($D503="", $C503, $C503 - $D503/2))</f>
        <v/>
      </c>
      <c r="F503" s="6">
        <f>IF($C503="","", IF($D503="", $C503, $C503 + $D503/2))</f>
        <v/>
      </c>
      <c r="G503" s="6">
        <f>IF($E503="","", DEGREES(ATAN((INDEX(Calc!$E:$E, MATCH("KminusZ_m", Calc!$C:$C, 0)) - $E503 + $B503) / INDEX(Calc!$E:$E, MATCH("L_ramp_m", Calc!$C:$C, 0)))))</f>
        <v/>
      </c>
      <c r="H503" s="3">
        <f>IF($E503="","", IF(AND($E503&gt;=INDEX(Calc!$E:$E, MATCH("min_fwd_draft_m", Calc!$C:$C, 0)), $E503&lt;=INDEX(Calc!$E:$E, MATCH("max_fwd_draft_m", Calc!$C:$C, 0)), $G503&lt;=INDEX(Calc!$E:$E, MATCH("theta_max_deg", Calc!$C:$C, 0))), "OK", "CHECK"))</f>
        <v/>
      </c>
      <c r="I503" s="6">
        <f>IF($E503="","", INDEX(Calc!$E:$E, MATCH("D_vessel_m", Calc!$C:$C, 0)) - $E503 + $B503)</f>
        <v/>
      </c>
      <c r="J503" s="6">
        <f>IF($F503="","", INDEX(Calc!$E:$E, MATCH("D_vessel_m", Calc!$C:$C, 0)) - $F503 + $B503)</f>
        <v/>
      </c>
      <c r="K503" s="3">
        <f>IF(D503=0, "Even Keel", "")</f>
        <v/>
      </c>
    </row>
    <row r="504">
      <c r="A504" s="3">
        <f>IF(December_Tide_2025!A504="","",December_Tide_2025!A504)</f>
        <v/>
      </c>
      <c r="B504" s="6">
        <f>IF(December_Tide_2025!B504="","",December_Tide_2025!B504)</f>
        <v/>
      </c>
      <c r="C504" s="6">
        <f>IF($A504="","", INDEX(Calc!$E:$E, MATCH("KminusZ_m", Calc!$C:$C, 0)) + $B504 - INDEX(Calc!$E:$E, MATCH("L_ramp_m", Calc!$C:$C, 0)) * TAN(RADIANS(INDEX(Calc!$E:$E, MATCH("theta_max_deg", Calc!$C:$C, 0)))))</f>
        <v/>
      </c>
      <c r="D504" s="6" t="n"/>
      <c r="E504" s="6">
        <f>IF($C504="","", IF($D504="", $C504, $C504 - $D504/2))</f>
        <v/>
      </c>
      <c r="F504" s="6">
        <f>IF($C504="","", IF($D504="", $C504, $C504 + $D504/2))</f>
        <v/>
      </c>
      <c r="G504" s="6">
        <f>IF($E504="","", DEGREES(ATAN((INDEX(Calc!$E:$E, MATCH("KminusZ_m", Calc!$C:$C, 0)) - $E504 + $B504) / INDEX(Calc!$E:$E, MATCH("L_ramp_m", Calc!$C:$C, 0)))))</f>
        <v/>
      </c>
      <c r="H504" s="3">
        <f>IF($E504="","", IF(AND($E504&gt;=INDEX(Calc!$E:$E, MATCH("min_fwd_draft_m", Calc!$C:$C, 0)), $E504&lt;=INDEX(Calc!$E:$E, MATCH("max_fwd_draft_m", Calc!$C:$C, 0)), $G504&lt;=INDEX(Calc!$E:$E, MATCH("theta_max_deg", Calc!$C:$C, 0))), "OK", "CHECK"))</f>
        <v/>
      </c>
      <c r="I504" s="6">
        <f>IF($E504="","", INDEX(Calc!$E:$E, MATCH("D_vessel_m", Calc!$C:$C, 0)) - $E504 + $B504)</f>
        <v/>
      </c>
      <c r="J504" s="6">
        <f>IF($F504="","", INDEX(Calc!$E:$E, MATCH("D_vessel_m", Calc!$C:$C, 0)) - $F504 + $B504)</f>
        <v/>
      </c>
      <c r="K504" s="3">
        <f>IF(D504=0, "Even Keel", "")</f>
        <v/>
      </c>
    </row>
    <row r="505">
      <c r="A505" s="3">
        <f>IF(December_Tide_2025!A505="","",December_Tide_2025!A505)</f>
        <v/>
      </c>
      <c r="B505" s="6">
        <f>IF(December_Tide_2025!B505="","",December_Tide_2025!B505)</f>
        <v/>
      </c>
      <c r="C505" s="6">
        <f>IF($A505="","", INDEX(Calc!$E:$E, MATCH("KminusZ_m", Calc!$C:$C, 0)) + $B505 - INDEX(Calc!$E:$E, MATCH("L_ramp_m", Calc!$C:$C, 0)) * TAN(RADIANS(INDEX(Calc!$E:$E, MATCH("theta_max_deg", Calc!$C:$C, 0)))))</f>
        <v/>
      </c>
      <c r="D505" s="6" t="n"/>
      <c r="E505" s="6">
        <f>IF($C505="","", IF($D505="", $C505, $C505 - $D505/2))</f>
        <v/>
      </c>
      <c r="F505" s="6">
        <f>IF($C505="","", IF($D505="", $C505, $C505 + $D505/2))</f>
        <v/>
      </c>
      <c r="G505" s="6">
        <f>IF($E505="","", DEGREES(ATAN((INDEX(Calc!$E:$E, MATCH("KminusZ_m", Calc!$C:$C, 0)) - $E505 + $B505) / INDEX(Calc!$E:$E, MATCH("L_ramp_m", Calc!$C:$C, 0)))))</f>
        <v/>
      </c>
      <c r="H505" s="3">
        <f>IF($E505="","", IF(AND($E505&gt;=INDEX(Calc!$E:$E, MATCH("min_fwd_draft_m", Calc!$C:$C, 0)), $E505&lt;=INDEX(Calc!$E:$E, MATCH("max_fwd_draft_m", Calc!$C:$C, 0)), $G505&lt;=INDEX(Calc!$E:$E, MATCH("theta_max_deg", Calc!$C:$C, 0))), "OK", "CHECK"))</f>
        <v/>
      </c>
      <c r="I505" s="6">
        <f>IF($E505="","", INDEX(Calc!$E:$E, MATCH("D_vessel_m", Calc!$C:$C, 0)) - $E505 + $B505)</f>
        <v/>
      </c>
      <c r="J505" s="6">
        <f>IF($F505="","", INDEX(Calc!$E:$E, MATCH("D_vessel_m", Calc!$C:$C, 0)) - $F505 + $B505)</f>
        <v/>
      </c>
      <c r="K505" s="3">
        <f>IF(D505=0, "Even Keel", "")</f>
        <v/>
      </c>
    </row>
    <row r="506">
      <c r="A506" s="3">
        <f>IF(December_Tide_2025!A506="","",December_Tide_2025!A506)</f>
        <v/>
      </c>
      <c r="B506" s="6">
        <f>IF(December_Tide_2025!B506="","",December_Tide_2025!B506)</f>
        <v/>
      </c>
      <c r="C506" s="6">
        <f>IF($A506="","", INDEX(Calc!$E:$E, MATCH("KminusZ_m", Calc!$C:$C, 0)) + $B506 - INDEX(Calc!$E:$E, MATCH("L_ramp_m", Calc!$C:$C, 0)) * TAN(RADIANS(INDEX(Calc!$E:$E, MATCH("theta_max_deg", Calc!$C:$C, 0)))))</f>
        <v/>
      </c>
      <c r="D506" s="6" t="n"/>
      <c r="E506" s="6">
        <f>IF($C506="","", IF($D506="", $C506, $C506 - $D506/2))</f>
        <v/>
      </c>
      <c r="F506" s="6">
        <f>IF($C506="","", IF($D506="", $C506, $C506 + $D506/2))</f>
        <v/>
      </c>
      <c r="G506" s="6">
        <f>IF($E506="","", DEGREES(ATAN((INDEX(Calc!$E:$E, MATCH("KminusZ_m", Calc!$C:$C, 0)) - $E506 + $B506) / INDEX(Calc!$E:$E, MATCH("L_ramp_m", Calc!$C:$C, 0)))))</f>
        <v/>
      </c>
      <c r="H506" s="3">
        <f>IF($E506="","", IF(AND($E506&gt;=INDEX(Calc!$E:$E, MATCH("min_fwd_draft_m", Calc!$C:$C, 0)), $E506&lt;=INDEX(Calc!$E:$E, MATCH("max_fwd_draft_m", Calc!$C:$C, 0)), $G506&lt;=INDEX(Calc!$E:$E, MATCH("theta_max_deg", Calc!$C:$C, 0))), "OK", "CHECK"))</f>
        <v/>
      </c>
      <c r="I506" s="6">
        <f>IF($E506="","", INDEX(Calc!$E:$E, MATCH("D_vessel_m", Calc!$C:$C, 0)) - $E506 + $B506)</f>
        <v/>
      </c>
      <c r="J506" s="6">
        <f>IF($F506="","", INDEX(Calc!$E:$E, MATCH("D_vessel_m", Calc!$C:$C, 0)) - $F506 + $B506)</f>
        <v/>
      </c>
      <c r="K506" s="3">
        <f>IF(D506=0, "Even Keel", "")</f>
        <v/>
      </c>
    </row>
    <row r="507">
      <c r="A507" s="3">
        <f>IF(December_Tide_2025!A507="","",December_Tide_2025!A507)</f>
        <v/>
      </c>
      <c r="B507" s="6">
        <f>IF(December_Tide_2025!B507="","",December_Tide_2025!B507)</f>
        <v/>
      </c>
      <c r="C507" s="6">
        <f>IF($A507="","", INDEX(Calc!$E:$E, MATCH("KminusZ_m", Calc!$C:$C, 0)) + $B507 - INDEX(Calc!$E:$E, MATCH("L_ramp_m", Calc!$C:$C, 0)) * TAN(RADIANS(INDEX(Calc!$E:$E, MATCH("theta_max_deg", Calc!$C:$C, 0)))))</f>
        <v/>
      </c>
      <c r="D507" s="6" t="n"/>
      <c r="E507" s="6">
        <f>IF($C507="","", IF($D507="", $C507, $C507 - $D507/2))</f>
        <v/>
      </c>
      <c r="F507" s="6">
        <f>IF($C507="","", IF($D507="", $C507, $C507 + $D507/2))</f>
        <v/>
      </c>
      <c r="G507" s="6">
        <f>IF($E507="","", DEGREES(ATAN((INDEX(Calc!$E:$E, MATCH("KminusZ_m", Calc!$C:$C, 0)) - $E507 + $B507) / INDEX(Calc!$E:$E, MATCH("L_ramp_m", Calc!$C:$C, 0)))))</f>
        <v/>
      </c>
      <c r="H507" s="3">
        <f>IF($E507="","", IF(AND($E507&gt;=INDEX(Calc!$E:$E, MATCH("min_fwd_draft_m", Calc!$C:$C, 0)), $E507&lt;=INDEX(Calc!$E:$E, MATCH("max_fwd_draft_m", Calc!$C:$C, 0)), $G507&lt;=INDEX(Calc!$E:$E, MATCH("theta_max_deg", Calc!$C:$C, 0))), "OK", "CHECK"))</f>
        <v/>
      </c>
      <c r="I507" s="6">
        <f>IF($E507="","", INDEX(Calc!$E:$E, MATCH("D_vessel_m", Calc!$C:$C, 0)) - $E507 + $B507)</f>
        <v/>
      </c>
      <c r="J507" s="6">
        <f>IF($F507="","", INDEX(Calc!$E:$E, MATCH("D_vessel_m", Calc!$C:$C, 0)) - $F507 + $B507)</f>
        <v/>
      </c>
      <c r="K507" s="3">
        <f>IF(D507=0, "Even Keel", "")</f>
        <v/>
      </c>
    </row>
    <row r="508">
      <c r="A508" s="3">
        <f>IF(December_Tide_2025!A508="","",December_Tide_2025!A508)</f>
        <v/>
      </c>
      <c r="B508" s="6">
        <f>IF(December_Tide_2025!B508="","",December_Tide_2025!B508)</f>
        <v/>
      </c>
      <c r="C508" s="6">
        <f>IF($A508="","", INDEX(Calc!$E:$E, MATCH("KminusZ_m", Calc!$C:$C, 0)) + $B508 - INDEX(Calc!$E:$E, MATCH("L_ramp_m", Calc!$C:$C, 0)) * TAN(RADIANS(INDEX(Calc!$E:$E, MATCH("theta_max_deg", Calc!$C:$C, 0)))))</f>
        <v/>
      </c>
      <c r="D508" s="6" t="n"/>
      <c r="E508" s="6">
        <f>IF($C508="","", IF($D508="", $C508, $C508 - $D508/2))</f>
        <v/>
      </c>
      <c r="F508" s="6">
        <f>IF($C508="","", IF($D508="", $C508, $C508 + $D508/2))</f>
        <v/>
      </c>
      <c r="G508" s="6">
        <f>IF($E508="","", DEGREES(ATAN((INDEX(Calc!$E:$E, MATCH("KminusZ_m", Calc!$C:$C, 0)) - $E508 + $B508) / INDEX(Calc!$E:$E, MATCH("L_ramp_m", Calc!$C:$C, 0)))))</f>
        <v/>
      </c>
      <c r="H508" s="3">
        <f>IF($E508="","", IF(AND($E508&gt;=INDEX(Calc!$E:$E, MATCH("min_fwd_draft_m", Calc!$C:$C, 0)), $E508&lt;=INDEX(Calc!$E:$E, MATCH("max_fwd_draft_m", Calc!$C:$C, 0)), $G508&lt;=INDEX(Calc!$E:$E, MATCH("theta_max_deg", Calc!$C:$C, 0))), "OK", "CHECK"))</f>
        <v/>
      </c>
      <c r="I508" s="6">
        <f>IF($E508="","", INDEX(Calc!$E:$E, MATCH("D_vessel_m", Calc!$C:$C, 0)) - $E508 + $B508)</f>
        <v/>
      </c>
      <c r="J508" s="6">
        <f>IF($F508="","", INDEX(Calc!$E:$E, MATCH("D_vessel_m", Calc!$C:$C, 0)) - $F508 + $B508)</f>
        <v/>
      </c>
      <c r="K508" s="3">
        <f>IF(D508=0, "Even Keel", "")</f>
        <v/>
      </c>
    </row>
    <row r="509">
      <c r="A509" s="3">
        <f>IF(December_Tide_2025!A509="","",December_Tide_2025!A509)</f>
        <v/>
      </c>
      <c r="B509" s="6">
        <f>IF(December_Tide_2025!B509="","",December_Tide_2025!B509)</f>
        <v/>
      </c>
      <c r="C509" s="6">
        <f>IF($A509="","", INDEX(Calc!$E:$E, MATCH("KminusZ_m", Calc!$C:$C, 0)) + $B509 - INDEX(Calc!$E:$E, MATCH("L_ramp_m", Calc!$C:$C, 0)) * TAN(RADIANS(INDEX(Calc!$E:$E, MATCH("theta_max_deg", Calc!$C:$C, 0)))))</f>
        <v/>
      </c>
      <c r="D509" s="6" t="n"/>
      <c r="E509" s="6">
        <f>IF($C509="","", IF($D509="", $C509, $C509 - $D509/2))</f>
        <v/>
      </c>
      <c r="F509" s="6">
        <f>IF($C509="","", IF($D509="", $C509, $C509 + $D509/2))</f>
        <v/>
      </c>
      <c r="G509" s="6">
        <f>IF($E509="","", DEGREES(ATAN((INDEX(Calc!$E:$E, MATCH("KminusZ_m", Calc!$C:$C, 0)) - $E509 + $B509) / INDEX(Calc!$E:$E, MATCH("L_ramp_m", Calc!$C:$C, 0)))))</f>
        <v/>
      </c>
      <c r="H509" s="3">
        <f>IF($E509="","", IF(AND($E509&gt;=INDEX(Calc!$E:$E, MATCH("min_fwd_draft_m", Calc!$C:$C, 0)), $E509&lt;=INDEX(Calc!$E:$E, MATCH("max_fwd_draft_m", Calc!$C:$C, 0)), $G509&lt;=INDEX(Calc!$E:$E, MATCH("theta_max_deg", Calc!$C:$C, 0))), "OK", "CHECK"))</f>
        <v/>
      </c>
      <c r="I509" s="6">
        <f>IF($E509="","", INDEX(Calc!$E:$E, MATCH("D_vessel_m", Calc!$C:$C, 0)) - $E509 + $B509)</f>
        <v/>
      </c>
      <c r="J509" s="6">
        <f>IF($F509="","", INDEX(Calc!$E:$E, MATCH("D_vessel_m", Calc!$C:$C, 0)) - $F509 + $B509)</f>
        <v/>
      </c>
      <c r="K509" s="3">
        <f>IF(D509=0, "Even Keel", "")</f>
        <v/>
      </c>
    </row>
    <row r="510">
      <c r="A510" s="3">
        <f>IF(December_Tide_2025!A510="","",December_Tide_2025!A510)</f>
        <v/>
      </c>
      <c r="B510" s="6">
        <f>IF(December_Tide_2025!B510="","",December_Tide_2025!B510)</f>
        <v/>
      </c>
      <c r="C510" s="6">
        <f>IF($A510="","", INDEX(Calc!$E:$E, MATCH("KminusZ_m", Calc!$C:$C, 0)) + $B510 - INDEX(Calc!$E:$E, MATCH("L_ramp_m", Calc!$C:$C, 0)) * TAN(RADIANS(INDEX(Calc!$E:$E, MATCH("theta_max_deg", Calc!$C:$C, 0)))))</f>
        <v/>
      </c>
      <c r="D510" s="6" t="n"/>
      <c r="E510" s="6">
        <f>IF($C510="","", IF($D510="", $C510, $C510 - $D510/2))</f>
        <v/>
      </c>
      <c r="F510" s="6">
        <f>IF($C510="","", IF($D510="", $C510, $C510 + $D510/2))</f>
        <v/>
      </c>
      <c r="G510" s="6">
        <f>IF($E510="","", DEGREES(ATAN((INDEX(Calc!$E:$E, MATCH("KminusZ_m", Calc!$C:$C, 0)) - $E510 + $B510) / INDEX(Calc!$E:$E, MATCH("L_ramp_m", Calc!$C:$C, 0)))))</f>
        <v/>
      </c>
      <c r="H510" s="3">
        <f>IF($E510="","", IF(AND($E510&gt;=INDEX(Calc!$E:$E, MATCH("min_fwd_draft_m", Calc!$C:$C, 0)), $E510&lt;=INDEX(Calc!$E:$E, MATCH("max_fwd_draft_m", Calc!$C:$C, 0)), $G510&lt;=INDEX(Calc!$E:$E, MATCH("theta_max_deg", Calc!$C:$C, 0))), "OK", "CHECK"))</f>
        <v/>
      </c>
      <c r="I510" s="6">
        <f>IF($E510="","", INDEX(Calc!$E:$E, MATCH("D_vessel_m", Calc!$C:$C, 0)) - $E510 + $B510)</f>
        <v/>
      </c>
      <c r="J510" s="6">
        <f>IF($F510="","", INDEX(Calc!$E:$E, MATCH("D_vessel_m", Calc!$C:$C, 0)) - $F510 + $B510)</f>
        <v/>
      </c>
      <c r="K510" s="3">
        <f>IF(D510=0, "Even Keel", "")</f>
        <v/>
      </c>
    </row>
    <row r="511">
      <c r="A511" s="3">
        <f>IF(December_Tide_2025!A511="","",December_Tide_2025!A511)</f>
        <v/>
      </c>
      <c r="B511" s="6">
        <f>IF(December_Tide_2025!B511="","",December_Tide_2025!B511)</f>
        <v/>
      </c>
      <c r="C511" s="6">
        <f>IF($A511="","", INDEX(Calc!$E:$E, MATCH("KminusZ_m", Calc!$C:$C, 0)) + $B511 - INDEX(Calc!$E:$E, MATCH("L_ramp_m", Calc!$C:$C, 0)) * TAN(RADIANS(INDEX(Calc!$E:$E, MATCH("theta_max_deg", Calc!$C:$C, 0)))))</f>
        <v/>
      </c>
      <c r="D511" s="6" t="n"/>
      <c r="E511" s="6">
        <f>IF($C511="","", IF($D511="", $C511, $C511 - $D511/2))</f>
        <v/>
      </c>
      <c r="F511" s="6">
        <f>IF($C511="","", IF($D511="", $C511, $C511 + $D511/2))</f>
        <v/>
      </c>
      <c r="G511" s="6">
        <f>IF($E511="","", DEGREES(ATAN((INDEX(Calc!$E:$E, MATCH("KminusZ_m", Calc!$C:$C, 0)) - $E511 + $B511) / INDEX(Calc!$E:$E, MATCH("L_ramp_m", Calc!$C:$C, 0)))))</f>
        <v/>
      </c>
      <c r="H511" s="3">
        <f>IF($E511="","", IF(AND($E511&gt;=INDEX(Calc!$E:$E, MATCH("min_fwd_draft_m", Calc!$C:$C, 0)), $E511&lt;=INDEX(Calc!$E:$E, MATCH("max_fwd_draft_m", Calc!$C:$C, 0)), $G511&lt;=INDEX(Calc!$E:$E, MATCH("theta_max_deg", Calc!$C:$C, 0))), "OK", "CHECK"))</f>
        <v/>
      </c>
      <c r="I511" s="6">
        <f>IF($E511="","", INDEX(Calc!$E:$E, MATCH("D_vessel_m", Calc!$C:$C, 0)) - $E511 + $B511)</f>
        <v/>
      </c>
      <c r="J511" s="6">
        <f>IF($F511="","", INDEX(Calc!$E:$E, MATCH("D_vessel_m", Calc!$C:$C, 0)) - $F511 + $B511)</f>
        <v/>
      </c>
      <c r="K511" s="3">
        <f>IF(D511=0, "Even Keel", "")</f>
        <v/>
      </c>
    </row>
    <row r="512">
      <c r="A512" s="3">
        <f>IF(December_Tide_2025!A512="","",December_Tide_2025!A512)</f>
        <v/>
      </c>
      <c r="B512" s="6">
        <f>IF(December_Tide_2025!B512="","",December_Tide_2025!B512)</f>
        <v/>
      </c>
      <c r="C512" s="6">
        <f>IF($A512="","", INDEX(Calc!$E:$E, MATCH("KminusZ_m", Calc!$C:$C, 0)) + $B512 - INDEX(Calc!$E:$E, MATCH("L_ramp_m", Calc!$C:$C, 0)) * TAN(RADIANS(INDEX(Calc!$E:$E, MATCH("theta_max_deg", Calc!$C:$C, 0)))))</f>
        <v/>
      </c>
      <c r="D512" s="6" t="n"/>
      <c r="E512" s="6">
        <f>IF($C512="","", IF($D512="", $C512, $C512 - $D512/2))</f>
        <v/>
      </c>
      <c r="F512" s="6">
        <f>IF($C512="","", IF($D512="", $C512, $C512 + $D512/2))</f>
        <v/>
      </c>
      <c r="G512" s="6">
        <f>IF($E512="","", DEGREES(ATAN((INDEX(Calc!$E:$E, MATCH("KminusZ_m", Calc!$C:$C, 0)) - $E512 + $B512) / INDEX(Calc!$E:$E, MATCH("L_ramp_m", Calc!$C:$C, 0)))))</f>
        <v/>
      </c>
      <c r="H512" s="3">
        <f>IF($E512="","", IF(AND($E512&gt;=INDEX(Calc!$E:$E, MATCH("min_fwd_draft_m", Calc!$C:$C, 0)), $E512&lt;=INDEX(Calc!$E:$E, MATCH("max_fwd_draft_m", Calc!$C:$C, 0)), $G512&lt;=INDEX(Calc!$E:$E, MATCH("theta_max_deg", Calc!$C:$C, 0))), "OK", "CHECK"))</f>
        <v/>
      </c>
      <c r="I512" s="6">
        <f>IF($E512="","", INDEX(Calc!$E:$E, MATCH("D_vessel_m", Calc!$C:$C, 0)) - $E512 + $B512)</f>
        <v/>
      </c>
      <c r="J512" s="6">
        <f>IF($F512="","", INDEX(Calc!$E:$E, MATCH("D_vessel_m", Calc!$C:$C, 0)) - $F512 + $B512)</f>
        <v/>
      </c>
      <c r="K512" s="3">
        <f>IF(D512=0, "Even Keel", "")</f>
        <v/>
      </c>
    </row>
    <row r="513">
      <c r="A513" s="3">
        <f>IF(December_Tide_2025!A513="","",December_Tide_2025!A513)</f>
        <v/>
      </c>
      <c r="B513" s="6">
        <f>IF(December_Tide_2025!B513="","",December_Tide_2025!B513)</f>
        <v/>
      </c>
      <c r="C513" s="6">
        <f>IF($A513="","", INDEX(Calc!$E:$E, MATCH("KminusZ_m", Calc!$C:$C, 0)) + $B513 - INDEX(Calc!$E:$E, MATCH("L_ramp_m", Calc!$C:$C, 0)) * TAN(RADIANS(INDEX(Calc!$E:$E, MATCH("theta_max_deg", Calc!$C:$C, 0)))))</f>
        <v/>
      </c>
      <c r="D513" s="6" t="n"/>
      <c r="E513" s="6">
        <f>IF($C513="","", IF($D513="", $C513, $C513 - $D513/2))</f>
        <v/>
      </c>
      <c r="F513" s="6">
        <f>IF($C513="","", IF($D513="", $C513, $C513 + $D513/2))</f>
        <v/>
      </c>
      <c r="G513" s="6">
        <f>IF($E513="","", DEGREES(ATAN((INDEX(Calc!$E:$E, MATCH("KminusZ_m", Calc!$C:$C, 0)) - $E513 + $B513) / INDEX(Calc!$E:$E, MATCH("L_ramp_m", Calc!$C:$C, 0)))))</f>
        <v/>
      </c>
      <c r="H513" s="3">
        <f>IF($E513="","", IF(AND($E513&gt;=INDEX(Calc!$E:$E, MATCH("min_fwd_draft_m", Calc!$C:$C, 0)), $E513&lt;=INDEX(Calc!$E:$E, MATCH("max_fwd_draft_m", Calc!$C:$C, 0)), $G513&lt;=INDEX(Calc!$E:$E, MATCH("theta_max_deg", Calc!$C:$C, 0))), "OK", "CHECK"))</f>
        <v/>
      </c>
      <c r="I513" s="6">
        <f>IF($E513="","", INDEX(Calc!$E:$E, MATCH("D_vessel_m", Calc!$C:$C, 0)) - $E513 + $B513)</f>
        <v/>
      </c>
      <c r="J513" s="6">
        <f>IF($F513="","", INDEX(Calc!$E:$E, MATCH("D_vessel_m", Calc!$C:$C, 0)) - $F513 + $B513)</f>
        <v/>
      </c>
      <c r="K513" s="3">
        <f>IF(D513=0, "Even Keel", "")</f>
        <v/>
      </c>
    </row>
    <row r="514">
      <c r="A514" s="3">
        <f>IF(December_Tide_2025!A514="","",December_Tide_2025!A514)</f>
        <v/>
      </c>
      <c r="B514" s="6">
        <f>IF(December_Tide_2025!B514="","",December_Tide_2025!B514)</f>
        <v/>
      </c>
      <c r="C514" s="6">
        <f>IF($A514="","", INDEX(Calc!$E:$E, MATCH("KminusZ_m", Calc!$C:$C, 0)) + $B514 - INDEX(Calc!$E:$E, MATCH("L_ramp_m", Calc!$C:$C, 0)) * TAN(RADIANS(INDEX(Calc!$E:$E, MATCH("theta_max_deg", Calc!$C:$C, 0)))))</f>
        <v/>
      </c>
      <c r="D514" s="6" t="n"/>
      <c r="E514" s="6">
        <f>IF($C514="","", IF($D514="", $C514, $C514 - $D514/2))</f>
        <v/>
      </c>
      <c r="F514" s="6">
        <f>IF($C514="","", IF($D514="", $C514, $C514 + $D514/2))</f>
        <v/>
      </c>
      <c r="G514" s="6">
        <f>IF($E514="","", DEGREES(ATAN((INDEX(Calc!$E:$E, MATCH("KminusZ_m", Calc!$C:$C, 0)) - $E514 + $B514) / INDEX(Calc!$E:$E, MATCH("L_ramp_m", Calc!$C:$C, 0)))))</f>
        <v/>
      </c>
      <c r="H514" s="3">
        <f>IF($E514="","", IF(AND($E514&gt;=INDEX(Calc!$E:$E, MATCH("min_fwd_draft_m", Calc!$C:$C, 0)), $E514&lt;=INDEX(Calc!$E:$E, MATCH("max_fwd_draft_m", Calc!$C:$C, 0)), $G514&lt;=INDEX(Calc!$E:$E, MATCH("theta_max_deg", Calc!$C:$C, 0))), "OK", "CHECK"))</f>
        <v/>
      </c>
      <c r="I514" s="6">
        <f>IF($E514="","", INDEX(Calc!$E:$E, MATCH("D_vessel_m", Calc!$C:$C, 0)) - $E514 + $B514)</f>
        <v/>
      </c>
      <c r="J514" s="6">
        <f>IF($F514="","", INDEX(Calc!$E:$E, MATCH("D_vessel_m", Calc!$C:$C, 0)) - $F514 + $B514)</f>
        <v/>
      </c>
      <c r="K514" s="3">
        <f>IF(D514=0, "Even Keel", "")</f>
        <v/>
      </c>
    </row>
    <row r="515">
      <c r="A515" s="3">
        <f>IF(December_Tide_2025!A515="","",December_Tide_2025!A515)</f>
        <v/>
      </c>
      <c r="B515" s="6">
        <f>IF(December_Tide_2025!B515="","",December_Tide_2025!B515)</f>
        <v/>
      </c>
      <c r="C515" s="6">
        <f>IF($A515="","", INDEX(Calc!$E:$E, MATCH("KminusZ_m", Calc!$C:$C, 0)) + $B515 - INDEX(Calc!$E:$E, MATCH("L_ramp_m", Calc!$C:$C, 0)) * TAN(RADIANS(INDEX(Calc!$E:$E, MATCH("theta_max_deg", Calc!$C:$C, 0)))))</f>
        <v/>
      </c>
      <c r="D515" s="6" t="n"/>
      <c r="E515" s="6">
        <f>IF($C515="","", IF($D515="", $C515, $C515 - $D515/2))</f>
        <v/>
      </c>
      <c r="F515" s="6">
        <f>IF($C515="","", IF($D515="", $C515, $C515 + $D515/2))</f>
        <v/>
      </c>
      <c r="G515" s="6">
        <f>IF($E515="","", DEGREES(ATAN((INDEX(Calc!$E:$E, MATCH("KminusZ_m", Calc!$C:$C, 0)) - $E515 + $B515) / INDEX(Calc!$E:$E, MATCH("L_ramp_m", Calc!$C:$C, 0)))))</f>
        <v/>
      </c>
      <c r="H515" s="3">
        <f>IF($E515="","", IF(AND($E515&gt;=INDEX(Calc!$E:$E, MATCH("min_fwd_draft_m", Calc!$C:$C, 0)), $E515&lt;=INDEX(Calc!$E:$E, MATCH("max_fwd_draft_m", Calc!$C:$C, 0)), $G515&lt;=INDEX(Calc!$E:$E, MATCH("theta_max_deg", Calc!$C:$C, 0))), "OK", "CHECK"))</f>
        <v/>
      </c>
      <c r="I515" s="6">
        <f>IF($E515="","", INDEX(Calc!$E:$E, MATCH("D_vessel_m", Calc!$C:$C, 0)) - $E515 + $B515)</f>
        <v/>
      </c>
      <c r="J515" s="6">
        <f>IF($F515="","", INDEX(Calc!$E:$E, MATCH("D_vessel_m", Calc!$C:$C, 0)) - $F515 + $B515)</f>
        <v/>
      </c>
      <c r="K515" s="3">
        <f>IF(D515=0, "Even Keel", "")</f>
        <v/>
      </c>
    </row>
    <row r="516">
      <c r="A516" s="3">
        <f>IF(December_Tide_2025!A516="","",December_Tide_2025!A516)</f>
        <v/>
      </c>
      <c r="B516" s="6">
        <f>IF(December_Tide_2025!B516="","",December_Tide_2025!B516)</f>
        <v/>
      </c>
      <c r="C516" s="6">
        <f>IF($A516="","", INDEX(Calc!$E:$E, MATCH("KminusZ_m", Calc!$C:$C, 0)) + $B516 - INDEX(Calc!$E:$E, MATCH("L_ramp_m", Calc!$C:$C, 0)) * TAN(RADIANS(INDEX(Calc!$E:$E, MATCH("theta_max_deg", Calc!$C:$C, 0)))))</f>
        <v/>
      </c>
      <c r="D516" s="6" t="n"/>
      <c r="E516" s="6">
        <f>IF($C516="","", IF($D516="", $C516, $C516 - $D516/2))</f>
        <v/>
      </c>
      <c r="F516" s="6">
        <f>IF($C516="","", IF($D516="", $C516, $C516 + $D516/2))</f>
        <v/>
      </c>
      <c r="G516" s="6">
        <f>IF($E516="","", DEGREES(ATAN((INDEX(Calc!$E:$E, MATCH("KminusZ_m", Calc!$C:$C, 0)) - $E516 + $B516) / INDEX(Calc!$E:$E, MATCH("L_ramp_m", Calc!$C:$C, 0)))))</f>
        <v/>
      </c>
      <c r="H516" s="3">
        <f>IF($E516="","", IF(AND($E516&gt;=INDEX(Calc!$E:$E, MATCH("min_fwd_draft_m", Calc!$C:$C, 0)), $E516&lt;=INDEX(Calc!$E:$E, MATCH("max_fwd_draft_m", Calc!$C:$C, 0)), $G516&lt;=INDEX(Calc!$E:$E, MATCH("theta_max_deg", Calc!$C:$C, 0))), "OK", "CHECK"))</f>
        <v/>
      </c>
      <c r="I516" s="6">
        <f>IF($E516="","", INDEX(Calc!$E:$E, MATCH("D_vessel_m", Calc!$C:$C, 0)) - $E516 + $B516)</f>
        <v/>
      </c>
      <c r="J516" s="6">
        <f>IF($F516="","", INDEX(Calc!$E:$E, MATCH("D_vessel_m", Calc!$C:$C, 0)) - $F516 + $B516)</f>
        <v/>
      </c>
      <c r="K516" s="3">
        <f>IF(D516=0, "Even Keel", "")</f>
        <v/>
      </c>
    </row>
    <row r="517">
      <c r="A517" s="3">
        <f>IF(December_Tide_2025!A517="","",December_Tide_2025!A517)</f>
        <v/>
      </c>
      <c r="B517" s="6">
        <f>IF(December_Tide_2025!B517="","",December_Tide_2025!B517)</f>
        <v/>
      </c>
      <c r="C517" s="6">
        <f>IF($A517="","", INDEX(Calc!$E:$E, MATCH("KminusZ_m", Calc!$C:$C, 0)) + $B517 - INDEX(Calc!$E:$E, MATCH("L_ramp_m", Calc!$C:$C, 0)) * TAN(RADIANS(INDEX(Calc!$E:$E, MATCH("theta_max_deg", Calc!$C:$C, 0)))))</f>
        <v/>
      </c>
      <c r="D517" s="6" t="n"/>
      <c r="E517" s="6">
        <f>IF($C517="","", IF($D517="", $C517, $C517 - $D517/2))</f>
        <v/>
      </c>
      <c r="F517" s="6">
        <f>IF($C517="","", IF($D517="", $C517, $C517 + $D517/2))</f>
        <v/>
      </c>
      <c r="G517" s="6">
        <f>IF($E517="","", DEGREES(ATAN((INDEX(Calc!$E:$E, MATCH("KminusZ_m", Calc!$C:$C, 0)) - $E517 + $B517) / INDEX(Calc!$E:$E, MATCH("L_ramp_m", Calc!$C:$C, 0)))))</f>
        <v/>
      </c>
      <c r="H517" s="3">
        <f>IF($E517="","", IF(AND($E517&gt;=INDEX(Calc!$E:$E, MATCH("min_fwd_draft_m", Calc!$C:$C, 0)), $E517&lt;=INDEX(Calc!$E:$E, MATCH("max_fwd_draft_m", Calc!$C:$C, 0)), $G517&lt;=INDEX(Calc!$E:$E, MATCH("theta_max_deg", Calc!$C:$C, 0))), "OK", "CHECK"))</f>
        <v/>
      </c>
      <c r="I517" s="6">
        <f>IF($E517="","", INDEX(Calc!$E:$E, MATCH("D_vessel_m", Calc!$C:$C, 0)) - $E517 + $B517)</f>
        <v/>
      </c>
      <c r="J517" s="6">
        <f>IF($F517="","", INDEX(Calc!$E:$E, MATCH("D_vessel_m", Calc!$C:$C, 0)) - $F517 + $B517)</f>
        <v/>
      </c>
      <c r="K517" s="3">
        <f>IF(D517=0, "Even Keel", "")</f>
        <v/>
      </c>
    </row>
    <row r="518">
      <c r="A518" s="3">
        <f>IF(December_Tide_2025!A518="","",December_Tide_2025!A518)</f>
        <v/>
      </c>
      <c r="B518" s="6">
        <f>IF(December_Tide_2025!B518="","",December_Tide_2025!B518)</f>
        <v/>
      </c>
      <c r="C518" s="6">
        <f>IF($A518="","", INDEX(Calc!$E:$E, MATCH("KminusZ_m", Calc!$C:$C, 0)) + $B518 - INDEX(Calc!$E:$E, MATCH("L_ramp_m", Calc!$C:$C, 0)) * TAN(RADIANS(INDEX(Calc!$E:$E, MATCH("theta_max_deg", Calc!$C:$C, 0)))))</f>
        <v/>
      </c>
      <c r="D518" s="6" t="n"/>
      <c r="E518" s="6">
        <f>IF($C518="","", IF($D518="", $C518, $C518 - $D518/2))</f>
        <v/>
      </c>
      <c r="F518" s="6">
        <f>IF($C518="","", IF($D518="", $C518, $C518 + $D518/2))</f>
        <v/>
      </c>
      <c r="G518" s="6">
        <f>IF($E518="","", DEGREES(ATAN((INDEX(Calc!$E:$E, MATCH("KminusZ_m", Calc!$C:$C, 0)) - $E518 + $B518) / INDEX(Calc!$E:$E, MATCH("L_ramp_m", Calc!$C:$C, 0)))))</f>
        <v/>
      </c>
      <c r="H518" s="3">
        <f>IF($E518="","", IF(AND($E518&gt;=INDEX(Calc!$E:$E, MATCH("min_fwd_draft_m", Calc!$C:$C, 0)), $E518&lt;=INDEX(Calc!$E:$E, MATCH("max_fwd_draft_m", Calc!$C:$C, 0)), $G518&lt;=INDEX(Calc!$E:$E, MATCH("theta_max_deg", Calc!$C:$C, 0))), "OK", "CHECK"))</f>
        <v/>
      </c>
      <c r="I518" s="6">
        <f>IF($E518="","", INDEX(Calc!$E:$E, MATCH("D_vessel_m", Calc!$C:$C, 0)) - $E518 + $B518)</f>
        <v/>
      </c>
      <c r="J518" s="6">
        <f>IF($F518="","", INDEX(Calc!$E:$E, MATCH("D_vessel_m", Calc!$C:$C, 0)) - $F518 + $B518)</f>
        <v/>
      </c>
      <c r="K518" s="3">
        <f>IF(D518=0, "Even Keel", "")</f>
        <v/>
      </c>
    </row>
    <row r="519">
      <c r="A519" s="3">
        <f>IF(December_Tide_2025!A519="","",December_Tide_2025!A519)</f>
        <v/>
      </c>
      <c r="B519" s="6">
        <f>IF(December_Tide_2025!B519="","",December_Tide_2025!B519)</f>
        <v/>
      </c>
      <c r="C519" s="6">
        <f>IF($A519="","", INDEX(Calc!$E:$E, MATCH("KminusZ_m", Calc!$C:$C, 0)) + $B519 - INDEX(Calc!$E:$E, MATCH("L_ramp_m", Calc!$C:$C, 0)) * TAN(RADIANS(INDEX(Calc!$E:$E, MATCH("theta_max_deg", Calc!$C:$C, 0)))))</f>
        <v/>
      </c>
      <c r="D519" s="6" t="n"/>
      <c r="E519" s="6">
        <f>IF($C519="","", IF($D519="", $C519, $C519 - $D519/2))</f>
        <v/>
      </c>
      <c r="F519" s="6">
        <f>IF($C519="","", IF($D519="", $C519, $C519 + $D519/2))</f>
        <v/>
      </c>
      <c r="G519" s="6">
        <f>IF($E519="","", DEGREES(ATAN((INDEX(Calc!$E:$E, MATCH("KminusZ_m", Calc!$C:$C, 0)) - $E519 + $B519) / INDEX(Calc!$E:$E, MATCH("L_ramp_m", Calc!$C:$C, 0)))))</f>
        <v/>
      </c>
      <c r="H519" s="3">
        <f>IF($E519="","", IF(AND($E519&gt;=INDEX(Calc!$E:$E, MATCH("min_fwd_draft_m", Calc!$C:$C, 0)), $E519&lt;=INDEX(Calc!$E:$E, MATCH("max_fwd_draft_m", Calc!$C:$C, 0)), $G519&lt;=INDEX(Calc!$E:$E, MATCH("theta_max_deg", Calc!$C:$C, 0))), "OK", "CHECK"))</f>
        <v/>
      </c>
      <c r="I519" s="6">
        <f>IF($E519="","", INDEX(Calc!$E:$E, MATCH("D_vessel_m", Calc!$C:$C, 0)) - $E519 + $B519)</f>
        <v/>
      </c>
      <c r="J519" s="6">
        <f>IF($F519="","", INDEX(Calc!$E:$E, MATCH("D_vessel_m", Calc!$C:$C, 0)) - $F519 + $B519)</f>
        <v/>
      </c>
      <c r="K519" s="3">
        <f>IF(D519=0, "Even Keel", "")</f>
        <v/>
      </c>
    </row>
    <row r="520">
      <c r="A520" s="3">
        <f>IF(December_Tide_2025!A520="","",December_Tide_2025!A520)</f>
        <v/>
      </c>
      <c r="B520" s="6">
        <f>IF(December_Tide_2025!B520="","",December_Tide_2025!B520)</f>
        <v/>
      </c>
      <c r="C520" s="6">
        <f>IF($A520="","", INDEX(Calc!$E:$E, MATCH("KminusZ_m", Calc!$C:$C, 0)) + $B520 - INDEX(Calc!$E:$E, MATCH("L_ramp_m", Calc!$C:$C, 0)) * TAN(RADIANS(INDEX(Calc!$E:$E, MATCH("theta_max_deg", Calc!$C:$C, 0)))))</f>
        <v/>
      </c>
      <c r="D520" s="6" t="n"/>
      <c r="E520" s="6">
        <f>IF($C520="","", IF($D520="", $C520, $C520 - $D520/2))</f>
        <v/>
      </c>
      <c r="F520" s="6">
        <f>IF($C520="","", IF($D520="", $C520, $C520 + $D520/2))</f>
        <v/>
      </c>
      <c r="G520" s="6">
        <f>IF($E520="","", DEGREES(ATAN((INDEX(Calc!$E:$E, MATCH("KminusZ_m", Calc!$C:$C, 0)) - $E520 + $B520) / INDEX(Calc!$E:$E, MATCH("L_ramp_m", Calc!$C:$C, 0)))))</f>
        <v/>
      </c>
      <c r="H520" s="3">
        <f>IF($E520="","", IF(AND($E520&gt;=INDEX(Calc!$E:$E, MATCH("min_fwd_draft_m", Calc!$C:$C, 0)), $E520&lt;=INDEX(Calc!$E:$E, MATCH("max_fwd_draft_m", Calc!$C:$C, 0)), $G520&lt;=INDEX(Calc!$E:$E, MATCH("theta_max_deg", Calc!$C:$C, 0))), "OK", "CHECK"))</f>
        <v/>
      </c>
      <c r="I520" s="6">
        <f>IF($E520="","", INDEX(Calc!$E:$E, MATCH("D_vessel_m", Calc!$C:$C, 0)) - $E520 + $B520)</f>
        <v/>
      </c>
      <c r="J520" s="6">
        <f>IF($F520="","", INDEX(Calc!$E:$E, MATCH("D_vessel_m", Calc!$C:$C, 0)) - $F520 + $B520)</f>
        <v/>
      </c>
      <c r="K520" s="3">
        <f>IF(D520=0, "Even Keel", "")</f>
        <v/>
      </c>
    </row>
    <row r="521">
      <c r="A521" s="3">
        <f>IF(December_Tide_2025!A521="","",December_Tide_2025!A521)</f>
        <v/>
      </c>
      <c r="B521" s="6">
        <f>IF(December_Tide_2025!B521="","",December_Tide_2025!B521)</f>
        <v/>
      </c>
      <c r="C521" s="6">
        <f>IF($A521="","", INDEX(Calc!$E:$E, MATCH("KminusZ_m", Calc!$C:$C, 0)) + $B521 - INDEX(Calc!$E:$E, MATCH("L_ramp_m", Calc!$C:$C, 0)) * TAN(RADIANS(INDEX(Calc!$E:$E, MATCH("theta_max_deg", Calc!$C:$C, 0)))))</f>
        <v/>
      </c>
      <c r="D521" s="6" t="n"/>
      <c r="E521" s="6">
        <f>IF($C521="","", IF($D521="", $C521, $C521 - $D521/2))</f>
        <v/>
      </c>
      <c r="F521" s="6">
        <f>IF($C521="","", IF($D521="", $C521, $C521 + $D521/2))</f>
        <v/>
      </c>
      <c r="G521" s="6">
        <f>IF($E521="","", DEGREES(ATAN((INDEX(Calc!$E:$E, MATCH("KminusZ_m", Calc!$C:$C, 0)) - $E521 + $B521) / INDEX(Calc!$E:$E, MATCH("L_ramp_m", Calc!$C:$C, 0)))))</f>
        <v/>
      </c>
      <c r="H521" s="3">
        <f>IF($E521="","", IF(AND($E521&gt;=INDEX(Calc!$E:$E, MATCH("min_fwd_draft_m", Calc!$C:$C, 0)), $E521&lt;=INDEX(Calc!$E:$E, MATCH("max_fwd_draft_m", Calc!$C:$C, 0)), $G521&lt;=INDEX(Calc!$E:$E, MATCH("theta_max_deg", Calc!$C:$C, 0))), "OK", "CHECK"))</f>
        <v/>
      </c>
      <c r="I521" s="6">
        <f>IF($E521="","", INDEX(Calc!$E:$E, MATCH("D_vessel_m", Calc!$C:$C, 0)) - $E521 + $B521)</f>
        <v/>
      </c>
      <c r="J521" s="6">
        <f>IF($F521="","", INDEX(Calc!$E:$E, MATCH("D_vessel_m", Calc!$C:$C, 0)) - $F521 + $B521)</f>
        <v/>
      </c>
      <c r="K521" s="3">
        <f>IF(D521=0, "Even Keel", "")</f>
        <v/>
      </c>
    </row>
    <row r="522">
      <c r="A522" s="3">
        <f>IF(December_Tide_2025!A522="","",December_Tide_2025!A522)</f>
        <v/>
      </c>
      <c r="B522" s="6">
        <f>IF(December_Tide_2025!B522="","",December_Tide_2025!B522)</f>
        <v/>
      </c>
      <c r="C522" s="6">
        <f>IF($A522="","", INDEX(Calc!$E:$E, MATCH("KminusZ_m", Calc!$C:$C, 0)) + $B522 - INDEX(Calc!$E:$E, MATCH("L_ramp_m", Calc!$C:$C, 0)) * TAN(RADIANS(INDEX(Calc!$E:$E, MATCH("theta_max_deg", Calc!$C:$C, 0)))))</f>
        <v/>
      </c>
      <c r="D522" s="6" t="n"/>
      <c r="E522" s="6">
        <f>IF($C522="","", IF($D522="", $C522, $C522 - $D522/2))</f>
        <v/>
      </c>
      <c r="F522" s="6">
        <f>IF($C522="","", IF($D522="", $C522, $C522 + $D522/2))</f>
        <v/>
      </c>
      <c r="G522" s="6">
        <f>IF($E522="","", DEGREES(ATAN((INDEX(Calc!$E:$E, MATCH("KminusZ_m", Calc!$C:$C, 0)) - $E522 + $B522) / INDEX(Calc!$E:$E, MATCH("L_ramp_m", Calc!$C:$C, 0)))))</f>
        <v/>
      </c>
      <c r="H522" s="3">
        <f>IF($E522="","", IF(AND($E522&gt;=INDEX(Calc!$E:$E, MATCH("min_fwd_draft_m", Calc!$C:$C, 0)), $E522&lt;=INDEX(Calc!$E:$E, MATCH("max_fwd_draft_m", Calc!$C:$C, 0)), $G522&lt;=INDEX(Calc!$E:$E, MATCH("theta_max_deg", Calc!$C:$C, 0))), "OK", "CHECK"))</f>
        <v/>
      </c>
      <c r="I522" s="6">
        <f>IF($E522="","", INDEX(Calc!$E:$E, MATCH("D_vessel_m", Calc!$C:$C, 0)) - $E522 + $B522)</f>
        <v/>
      </c>
      <c r="J522" s="6">
        <f>IF($F522="","", INDEX(Calc!$E:$E, MATCH("D_vessel_m", Calc!$C:$C, 0)) - $F522 + $B522)</f>
        <v/>
      </c>
      <c r="K522" s="3">
        <f>IF(D522=0, "Even Keel", "")</f>
        <v/>
      </c>
    </row>
    <row r="523">
      <c r="A523" s="3">
        <f>IF(December_Tide_2025!A523="","",December_Tide_2025!A523)</f>
        <v/>
      </c>
      <c r="B523" s="6">
        <f>IF(December_Tide_2025!B523="","",December_Tide_2025!B523)</f>
        <v/>
      </c>
      <c r="C523" s="6">
        <f>IF($A523="","", INDEX(Calc!$E:$E, MATCH("KminusZ_m", Calc!$C:$C, 0)) + $B523 - INDEX(Calc!$E:$E, MATCH("L_ramp_m", Calc!$C:$C, 0)) * TAN(RADIANS(INDEX(Calc!$E:$E, MATCH("theta_max_deg", Calc!$C:$C, 0)))))</f>
        <v/>
      </c>
      <c r="D523" s="6" t="n"/>
      <c r="E523" s="6">
        <f>IF($C523="","", IF($D523="", $C523, $C523 - $D523/2))</f>
        <v/>
      </c>
      <c r="F523" s="6">
        <f>IF($C523="","", IF($D523="", $C523, $C523 + $D523/2))</f>
        <v/>
      </c>
      <c r="G523" s="6">
        <f>IF($E523="","", DEGREES(ATAN((INDEX(Calc!$E:$E, MATCH("KminusZ_m", Calc!$C:$C, 0)) - $E523 + $B523) / INDEX(Calc!$E:$E, MATCH("L_ramp_m", Calc!$C:$C, 0)))))</f>
        <v/>
      </c>
      <c r="H523" s="3">
        <f>IF($E523="","", IF(AND($E523&gt;=INDEX(Calc!$E:$E, MATCH("min_fwd_draft_m", Calc!$C:$C, 0)), $E523&lt;=INDEX(Calc!$E:$E, MATCH("max_fwd_draft_m", Calc!$C:$C, 0)), $G523&lt;=INDEX(Calc!$E:$E, MATCH("theta_max_deg", Calc!$C:$C, 0))), "OK", "CHECK"))</f>
        <v/>
      </c>
      <c r="I523" s="6">
        <f>IF($E523="","", INDEX(Calc!$E:$E, MATCH("D_vessel_m", Calc!$C:$C, 0)) - $E523 + $B523)</f>
        <v/>
      </c>
      <c r="J523" s="6">
        <f>IF($F523="","", INDEX(Calc!$E:$E, MATCH("D_vessel_m", Calc!$C:$C, 0)) - $F523 + $B523)</f>
        <v/>
      </c>
      <c r="K523" s="3">
        <f>IF(D523=0, "Even Keel", "")</f>
        <v/>
      </c>
    </row>
    <row r="524">
      <c r="A524" s="3">
        <f>IF(December_Tide_2025!A524="","",December_Tide_2025!A524)</f>
        <v/>
      </c>
      <c r="B524" s="6">
        <f>IF(December_Tide_2025!B524="","",December_Tide_2025!B524)</f>
        <v/>
      </c>
      <c r="C524" s="6">
        <f>IF($A524="","", INDEX(Calc!$E:$E, MATCH("KminusZ_m", Calc!$C:$C, 0)) + $B524 - INDEX(Calc!$E:$E, MATCH("L_ramp_m", Calc!$C:$C, 0)) * TAN(RADIANS(INDEX(Calc!$E:$E, MATCH("theta_max_deg", Calc!$C:$C, 0)))))</f>
        <v/>
      </c>
      <c r="D524" s="6" t="n"/>
      <c r="E524" s="6">
        <f>IF($C524="","", IF($D524="", $C524, $C524 - $D524/2))</f>
        <v/>
      </c>
      <c r="F524" s="6">
        <f>IF($C524="","", IF($D524="", $C524, $C524 + $D524/2))</f>
        <v/>
      </c>
      <c r="G524" s="6">
        <f>IF($E524="","", DEGREES(ATAN((INDEX(Calc!$E:$E, MATCH("KminusZ_m", Calc!$C:$C, 0)) - $E524 + $B524) / INDEX(Calc!$E:$E, MATCH("L_ramp_m", Calc!$C:$C, 0)))))</f>
        <v/>
      </c>
      <c r="H524" s="3">
        <f>IF($E524="","", IF(AND($E524&gt;=INDEX(Calc!$E:$E, MATCH("min_fwd_draft_m", Calc!$C:$C, 0)), $E524&lt;=INDEX(Calc!$E:$E, MATCH("max_fwd_draft_m", Calc!$C:$C, 0)), $G524&lt;=INDEX(Calc!$E:$E, MATCH("theta_max_deg", Calc!$C:$C, 0))), "OK", "CHECK"))</f>
        <v/>
      </c>
      <c r="I524" s="6">
        <f>IF($E524="","", INDEX(Calc!$E:$E, MATCH("D_vessel_m", Calc!$C:$C, 0)) - $E524 + $B524)</f>
        <v/>
      </c>
      <c r="J524" s="6">
        <f>IF($F524="","", INDEX(Calc!$E:$E, MATCH("D_vessel_m", Calc!$C:$C, 0)) - $F524 + $B524)</f>
        <v/>
      </c>
      <c r="K524" s="3">
        <f>IF(D524=0, "Even Keel", "")</f>
        <v/>
      </c>
    </row>
    <row r="525">
      <c r="A525" s="3">
        <f>IF(December_Tide_2025!A525="","",December_Tide_2025!A525)</f>
        <v/>
      </c>
      <c r="B525" s="6">
        <f>IF(December_Tide_2025!B525="","",December_Tide_2025!B525)</f>
        <v/>
      </c>
      <c r="C525" s="6">
        <f>IF($A525="","", INDEX(Calc!$E:$E, MATCH("KminusZ_m", Calc!$C:$C, 0)) + $B525 - INDEX(Calc!$E:$E, MATCH("L_ramp_m", Calc!$C:$C, 0)) * TAN(RADIANS(INDEX(Calc!$E:$E, MATCH("theta_max_deg", Calc!$C:$C, 0)))))</f>
        <v/>
      </c>
      <c r="D525" s="6" t="n"/>
      <c r="E525" s="6">
        <f>IF($C525="","", IF($D525="", $C525, $C525 - $D525/2))</f>
        <v/>
      </c>
      <c r="F525" s="6">
        <f>IF($C525="","", IF($D525="", $C525, $C525 + $D525/2))</f>
        <v/>
      </c>
      <c r="G525" s="6">
        <f>IF($E525="","", DEGREES(ATAN((INDEX(Calc!$E:$E, MATCH("KminusZ_m", Calc!$C:$C, 0)) - $E525 + $B525) / INDEX(Calc!$E:$E, MATCH("L_ramp_m", Calc!$C:$C, 0)))))</f>
        <v/>
      </c>
      <c r="H525" s="3">
        <f>IF($E525="","", IF(AND($E525&gt;=INDEX(Calc!$E:$E, MATCH("min_fwd_draft_m", Calc!$C:$C, 0)), $E525&lt;=INDEX(Calc!$E:$E, MATCH("max_fwd_draft_m", Calc!$C:$C, 0)), $G525&lt;=INDEX(Calc!$E:$E, MATCH("theta_max_deg", Calc!$C:$C, 0))), "OK", "CHECK"))</f>
        <v/>
      </c>
      <c r="I525" s="6">
        <f>IF($E525="","", INDEX(Calc!$E:$E, MATCH("D_vessel_m", Calc!$C:$C, 0)) - $E525 + $B525)</f>
        <v/>
      </c>
      <c r="J525" s="6">
        <f>IF($F525="","", INDEX(Calc!$E:$E, MATCH("D_vessel_m", Calc!$C:$C, 0)) - $F525 + $B525)</f>
        <v/>
      </c>
      <c r="K525" s="3">
        <f>IF(D525=0, "Even Keel", "")</f>
        <v/>
      </c>
    </row>
    <row r="526">
      <c r="A526" s="3">
        <f>IF(December_Tide_2025!A526="","",December_Tide_2025!A526)</f>
        <v/>
      </c>
      <c r="B526" s="6">
        <f>IF(December_Tide_2025!B526="","",December_Tide_2025!B526)</f>
        <v/>
      </c>
      <c r="C526" s="6">
        <f>IF($A526="","", INDEX(Calc!$E:$E, MATCH("KminusZ_m", Calc!$C:$C, 0)) + $B526 - INDEX(Calc!$E:$E, MATCH("L_ramp_m", Calc!$C:$C, 0)) * TAN(RADIANS(INDEX(Calc!$E:$E, MATCH("theta_max_deg", Calc!$C:$C, 0)))))</f>
        <v/>
      </c>
      <c r="D526" s="6" t="n"/>
      <c r="E526" s="6">
        <f>IF($C526="","", IF($D526="", $C526, $C526 - $D526/2))</f>
        <v/>
      </c>
      <c r="F526" s="6">
        <f>IF($C526="","", IF($D526="", $C526, $C526 + $D526/2))</f>
        <v/>
      </c>
      <c r="G526" s="6">
        <f>IF($E526="","", DEGREES(ATAN((INDEX(Calc!$E:$E, MATCH("KminusZ_m", Calc!$C:$C, 0)) - $E526 + $B526) / INDEX(Calc!$E:$E, MATCH("L_ramp_m", Calc!$C:$C, 0)))))</f>
        <v/>
      </c>
      <c r="H526" s="3">
        <f>IF($E526="","", IF(AND($E526&gt;=INDEX(Calc!$E:$E, MATCH("min_fwd_draft_m", Calc!$C:$C, 0)), $E526&lt;=INDEX(Calc!$E:$E, MATCH("max_fwd_draft_m", Calc!$C:$C, 0)), $G526&lt;=INDEX(Calc!$E:$E, MATCH("theta_max_deg", Calc!$C:$C, 0))), "OK", "CHECK"))</f>
        <v/>
      </c>
      <c r="I526" s="6">
        <f>IF($E526="","", INDEX(Calc!$E:$E, MATCH("D_vessel_m", Calc!$C:$C, 0)) - $E526 + $B526)</f>
        <v/>
      </c>
      <c r="J526" s="6">
        <f>IF($F526="","", INDEX(Calc!$E:$E, MATCH("D_vessel_m", Calc!$C:$C, 0)) - $F526 + $B526)</f>
        <v/>
      </c>
      <c r="K526" s="3">
        <f>IF(D526=0, "Even Keel", "")</f>
        <v/>
      </c>
    </row>
    <row r="527">
      <c r="A527" s="3">
        <f>IF(December_Tide_2025!A527="","",December_Tide_2025!A527)</f>
        <v/>
      </c>
      <c r="B527" s="6">
        <f>IF(December_Tide_2025!B527="","",December_Tide_2025!B527)</f>
        <v/>
      </c>
      <c r="C527" s="6">
        <f>IF($A527="","", INDEX(Calc!$E:$E, MATCH("KminusZ_m", Calc!$C:$C, 0)) + $B527 - INDEX(Calc!$E:$E, MATCH("L_ramp_m", Calc!$C:$C, 0)) * TAN(RADIANS(INDEX(Calc!$E:$E, MATCH("theta_max_deg", Calc!$C:$C, 0)))))</f>
        <v/>
      </c>
      <c r="D527" s="6" t="n"/>
      <c r="E527" s="6">
        <f>IF($C527="","", IF($D527="", $C527, $C527 - $D527/2))</f>
        <v/>
      </c>
      <c r="F527" s="6">
        <f>IF($C527="","", IF($D527="", $C527, $C527 + $D527/2))</f>
        <v/>
      </c>
      <c r="G527" s="6">
        <f>IF($E527="","", DEGREES(ATAN((INDEX(Calc!$E:$E, MATCH("KminusZ_m", Calc!$C:$C, 0)) - $E527 + $B527) / INDEX(Calc!$E:$E, MATCH("L_ramp_m", Calc!$C:$C, 0)))))</f>
        <v/>
      </c>
      <c r="H527" s="3">
        <f>IF($E527="","", IF(AND($E527&gt;=INDEX(Calc!$E:$E, MATCH("min_fwd_draft_m", Calc!$C:$C, 0)), $E527&lt;=INDEX(Calc!$E:$E, MATCH("max_fwd_draft_m", Calc!$C:$C, 0)), $G527&lt;=INDEX(Calc!$E:$E, MATCH("theta_max_deg", Calc!$C:$C, 0))), "OK", "CHECK"))</f>
        <v/>
      </c>
      <c r="I527" s="6">
        <f>IF($E527="","", INDEX(Calc!$E:$E, MATCH("D_vessel_m", Calc!$C:$C, 0)) - $E527 + $B527)</f>
        <v/>
      </c>
      <c r="J527" s="6">
        <f>IF($F527="","", INDEX(Calc!$E:$E, MATCH("D_vessel_m", Calc!$C:$C, 0)) - $F527 + $B527)</f>
        <v/>
      </c>
      <c r="K527" s="3">
        <f>IF(D527=0, "Even Keel", "")</f>
        <v/>
      </c>
    </row>
    <row r="528">
      <c r="A528" s="3">
        <f>IF(December_Tide_2025!A528="","",December_Tide_2025!A528)</f>
        <v/>
      </c>
      <c r="B528" s="6">
        <f>IF(December_Tide_2025!B528="","",December_Tide_2025!B528)</f>
        <v/>
      </c>
      <c r="C528" s="6">
        <f>IF($A528="","", INDEX(Calc!$E:$E, MATCH("KminusZ_m", Calc!$C:$C, 0)) + $B528 - INDEX(Calc!$E:$E, MATCH("L_ramp_m", Calc!$C:$C, 0)) * TAN(RADIANS(INDEX(Calc!$E:$E, MATCH("theta_max_deg", Calc!$C:$C, 0)))))</f>
        <v/>
      </c>
      <c r="D528" s="6" t="n"/>
      <c r="E528" s="6">
        <f>IF($C528="","", IF($D528="", $C528, $C528 - $D528/2))</f>
        <v/>
      </c>
      <c r="F528" s="6">
        <f>IF($C528="","", IF($D528="", $C528, $C528 + $D528/2))</f>
        <v/>
      </c>
      <c r="G528" s="6">
        <f>IF($E528="","", DEGREES(ATAN((INDEX(Calc!$E:$E, MATCH("KminusZ_m", Calc!$C:$C, 0)) - $E528 + $B528) / INDEX(Calc!$E:$E, MATCH("L_ramp_m", Calc!$C:$C, 0)))))</f>
        <v/>
      </c>
      <c r="H528" s="3">
        <f>IF($E528="","", IF(AND($E528&gt;=INDEX(Calc!$E:$E, MATCH("min_fwd_draft_m", Calc!$C:$C, 0)), $E528&lt;=INDEX(Calc!$E:$E, MATCH("max_fwd_draft_m", Calc!$C:$C, 0)), $G528&lt;=INDEX(Calc!$E:$E, MATCH("theta_max_deg", Calc!$C:$C, 0))), "OK", "CHECK"))</f>
        <v/>
      </c>
      <c r="I528" s="6">
        <f>IF($E528="","", INDEX(Calc!$E:$E, MATCH("D_vessel_m", Calc!$C:$C, 0)) - $E528 + $B528)</f>
        <v/>
      </c>
      <c r="J528" s="6">
        <f>IF($F528="","", INDEX(Calc!$E:$E, MATCH("D_vessel_m", Calc!$C:$C, 0)) - $F528 + $B528)</f>
        <v/>
      </c>
      <c r="K528" s="3">
        <f>IF(D528=0, "Even Keel", "")</f>
        <v/>
      </c>
    </row>
    <row r="529">
      <c r="A529" s="3">
        <f>IF(December_Tide_2025!A529="","",December_Tide_2025!A529)</f>
        <v/>
      </c>
      <c r="B529" s="6">
        <f>IF(December_Tide_2025!B529="","",December_Tide_2025!B529)</f>
        <v/>
      </c>
      <c r="C529" s="6">
        <f>IF($A529="","", INDEX(Calc!$E:$E, MATCH("KminusZ_m", Calc!$C:$C, 0)) + $B529 - INDEX(Calc!$E:$E, MATCH("L_ramp_m", Calc!$C:$C, 0)) * TAN(RADIANS(INDEX(Calc!$E:$E, MATCH("theta_max_deg", Calc!$C:$C, 0)))))</f>
        <v/>
      </c>
      <c r="D529" s="6" t="n"/>
      <c r="E529" s="6">
        <f>IF($C529="","", IF($D529="", $C529, $C529 - $D529/2))</f>
        <v/>
      </c>
      <c r="F529" s="6">
        <f>IF($C529="","", IF($D529="", $C529, $C529 + $D529/2))</f>
        <v/>
      </c>
      <c r="G529" s="6">
        <f>IF($E529="","", DEGREES(ATAN((INDEX(Calc!$E:$E, MATCH("KminusZ_m", Calc!$C:$C, 0)) - $E529 + $B529) / INDEX(Calc!$E:$E, MATCH("L_ramp_m", Calc!$C:$C, 0)))))</f>
        <v/>
      </c>
      <c r="H529" s="3">
        <f>IF($E529="","", IF(AND($E529&gt;=INDEX(Calc!$E:$E, MATCH("min_fwd_draft_m", Calc!$C:$C, 0)), $E529&lt;=INDEX(Calc!$E:$E, MATCH("max_fwd_draft_m", Calc!$C:$C, 0)), $G529&lt;=INDEX(Calc!$E:$E, MATCH("theta_max_deg", Calc!$C:$C, 0))), "OK", "CHECK"))</f>
        <v/>
      </c>
      <c r="I529" s="6">
        <f>IF($E529="","", INDEX(Calc!$E:$E, MATCH("D_vessel_m", Calc!$C:$C, 0)) - $E529 + $B529)</f>
        <v/>
      </c>
      <c r="J529" s="6">
        <f>IF($F529="","", INDEX(Calc!$E:$E, MATCH("D_vessel_m", Calc!$C:$C, 0)) - $F529 + $B529)</f>
        <v/>
      </c>
      <c r="K529" s="3">
        <f>IF(D529=0, "Even Keel", "")</f>
        <v/>
      </c>
    </row>
    <row r="530">
      <c r="A530" s="3">
        <f>IF(December_Tide_2025!A530="","",December_Tide_2025!A530)</f>
        <v/>
      </c>
      <c r="B530" s="6">
        <f>IF(December_Tide_2025!B530="","",December_Tide_2025!B530)</f>
        <v/>
      </c>
      <c r="C530" s="6">
        <f>IF($A530="","", INDEX(Calc!$E:$E, MATCH("KminusZ_m", Calc!$C:$C, 0)) + $B530 - INDEX(Calc!$E:$E, MATCH("L_ramp_m", Calc!$C:$C, 0)) * TAN(RADIANS(INDEX(Calc!$E:$E, MATCH("theta_max_deg", Calc!$C:$C, 0)))))</f>
        <v/>
      </c>
      <c r="D530" s="6" t="n"/>
      <c r="E530" s="6">
        <f>IF($C530="","", IF($D530="", $C530, $C530 - $D530/2))</f>
        <v/>
      </c>
      <c r="F530" s="6">
        <f>IF($C530="","", IF($D530="", $C530, $C530 + $D530/2))</f>
        <v/>
      </c>
      <c r="G530" s="6">
        <f>IF($E530="","", DEGREES(ATAN((INDEX(Calc!$E:$E, MATCH("KminusZ_m", Calc!$C:$C, 0)) - $E530 + $B530) / INDEX(Calc!$E:$E, MATCH("L_ramp_m", Calc!$C:$C, 0)))))</f>
        <v/>
      </c>
      <c r="H530" s="3">
        <f>IF($E530="","", IF(AND($E530&gt;=INDEX(Calc!$E:$E, MATCH("min_fwd_draft_m", Calc!$C:$C, 0)), $E530&lt;=INDEX(Calc!$E:$E, MATCH("max_fwd_draft_m", Calc!$C:$C, 0)), $G530&lt;=INDEX(Calc!$E:$E, MATCH("theta_max_deg", Calc!$C:$C, 0))), "OK", "CHECK"))</f>
        <v/>
      </c>
      <c r="I530" s="6">
        <f>IF($E530="","", INDEX(Calc!$E:$E, MATCH("D_vessel_m", Calc!$C:$C, 0)) - $E530 + $B530)</f>
        <v/>
      </c>
      <c r="J530" s="6">
        <f>IF($F530="","", INDEX(Calc!$E:$E, MATCH("D_vessel_m", Calc!$C:$C, 0)) - $F530 + $B530)</f>
        <v/>
      </c>
      <c r="K530" s="3">
        <f>IF(D530=0, "Even Keel", "")</f>
        <v/>
      </c>
    </row>
    <row r="531">
      <c r="A531" s="3">
        <f>IF(December_Tide_2025!A531="","",December_Tide_2025!A531)</f>
        <v/>
      </c>
      <c r="B531" s="6">
        <f>IF(December_Tide_2025!B531="","",December_Tide_2025!B531)</f>
        <v/>
      </c>
      <c r="C531" s="6">
        <f>IF($A531="","", INDEX(Calc!$E:$E, MATCH("KminusZ_m", Calc!$C:$C, 0)) + $B531 - INDEX(Calc!$E:$E, MATCH("L_ramp_m", Calc!$C:$C, 0)) * TAN(RADIANS(INDEX(Calc!$E:$E, MATCH("theta_max_deg", Calc!$C:$C, 0)))))</f>
        <v/>
      </c>
      <c r="D531" s="6" t="n"/>
      <c r="E531" s="6">
        <f>IF($C531="","", IF($D531="", $C531, $C531 - $D531/2))</f>
        <v/>
      </c>
      <c r="F531" s="6">
        <f>IF($C531="","", IF($D531="", $C531, $C531 + $D531/2))</f>
        <v/>
      </c>
      <c r="G531" s="6">
        <f>IF($E531="","", DEGREES(ATAN((INDEX(Calc!$E:$E, MATCH("KminusZ_m", Calc!$C:$C, 0)) - $E531 + $B531) / INDEX(Calc!$E:$E, MATCH("L_ramp_m", Calc!$C:$C, 0)))))</f>
        <v/>
      </c>
      <c r="H531" s="3">
        <f>IF($E531="","", IF(AND($E531&gt;=INDEX(Calc!$E:$E, MATCH("min_fwd_draft_m", Calc!$C:$C, 0)), $E531&lt;=INDEX(Calc!$E:$E, MATCH("max_fwd_draft_m", Calc!$C:$C, 0)), $G531&lt;=INDEX(Calc!$E:$E, MATCH("theta_max_deg", Calc!$C:$C, 0))), "OK", "CHECK"))</f>
        <v/>
      </c>
      <c r="I531" s="6">
        <f>IF($E531="","", INDEX(Calc!$E:$E, MATCH("D_vessel_m", Calc!$C:$C, 0)) - $E531 + $B531)</f>
        <v/>
      </c>
      <c r="J531" s="6">
        <f>IF($F531="","", INDEX(Calc!$E:$E, MATCH("D_vessel_m", Calc!$C:$C, 0)) - $F531 + $B531)</f>
        <v/>
      </c>
      <c r="K531" s="3">
        <f>IF(D531=0, "Even Keel", "")</f>
        <v/>
      </c>
    </row>
    <row r="532">
      <c r="A532" s="3">
        <f>IF(December_Tide_2025!A532="","",December_Tide_2025!A532)</f>
        <v/>
      </c>
      <c r="B532" s="6">
        <f>IF(December_Tide_2025!B532="","",December_Tide_2025!B532)</f>
        <v/>
      </c>
      <c r="C532" s="6">
        <f>IF($A532="","", INDEX(Calc!$E:$E, MATCH("KminusZ_m", Calc!$C:$C, 0)) + $B532 - INDEX(Calc!$E:$E, MATCH("L_ramp_m", Calc!$C:$C, 0)) * TAN(RADIANS(INDEX(Calc!$E:$E, MATCH("theta_max_deg", Calc!$C:$C, 0)))))</f>
        <v/>
      </c>
      <c r="D532" s="6" t="n"/>
      <c r="E532" s="6">
        <f>IF($C532="","", IF($D532="", $C532, $C532 - $D532/2))</f>
        <v/>
      </c>
      <c r="F532" s="6">
        <f>IF($C532="","", IF($D532="", $C532, $C532 + $D532/2))</f>
        <v/>
      </c>
      <c r="G532" s="6">
        <f>IF($E532="","", DEGREES(ATAN((INDEX(Calc!$E:$E, MATCH("KminusZ_m", Calc!$C:$C, 0)) - $E532 + $B532) / INDEX(Calc!$E:$E, MATCH("L_ramp_m", Calc!$C:$C, 0)))))</f>
        <v/>
      </c>
      <c r="H532" s="3">
        <f>IF($E532="","", IF(AND($E532&gt;=INDEX(Calc!$E:$E, MATCH("min_fwd_draft_m", Calc!$C:$C, 0)), $E532&lt;=INDEX(Calc!$E:$E, MATCH("max_fwd_draft_m", Calc!$C:$C, 0)), $G532&lt;=INDEX(Calc!$E:$E, MATCH("theta_max_deg", Calc!$C:$C, 0))), "OK", "CHECK"))</f>
        <v/>
      </c>
      <c r="I532" s="6">
        <f>IF($E532="","", INDEX(Calc!$E:$E, MATCH("D_vessel_m", Calc!$C:$C, 0)) - $E532 + $B532)</f>
        <v/>
      </c>
      <c r="J532" s="6">
        <f>IF($F532="","", INDEX(Calc!$E:$E, MATCH("D_vessel_m", Calc!$C:$C, 0)) - $F532 + $B532)</f>
        <v/>
      </c>
      <c r="K532" s="3">
        <f>IF(D532=0, "Even Keel", "")</f>
        <v/>
      </c>
    </row>
    <row r="533">
      <c r="A533" s="3">
        <f>IF(December_Tide_2025!A533="","",December_Tide_2025!A533)</f>
        <v/>
      </c>
      <c r="B533" s="6">
        <f>IF(December_Tide_2025!B533="","",December_Tide_2025!B533)</f>
        <v/>
      </c>
      <c r="C533" s="6">
        <f>IF($A533="","", INDEX(Calc!$E:$E, MATCH("KminusZ_m", Calc!$C:$C, 0)) + $B533 - INDEX(Calc!$E:$E, MATCH("L_ramp_m", Calc!$C:$C, 0)) * TAN(RADIANS(INDEX(Calc!$E:$E, MATCH("theta_max_deg", Calc!$C:$C, 0)))))</f>
        <v/>
      </c>
      <c r="D533" s="6" t="n"/>
      <c r="E533" s="6">
        <f>IF($C533="","", IF($D533="", $C533, $C533 - $D533/2))</f>
        <v/>
      </c>
      <c r="F533" s="6">
        <f>IF($C533="","", IF($D533="", $C533, $C533 + $D533/2))</f>
        <v/>
      </c>
      <c r="G533" s="6">
        <f>IF($E533="","", DEGREES(ATAN((INDEX(Calc!$E:$E, MATCH("KminusZ_m", Calc!$C:$C, 0)) - $E533 + $B533) / INDEX(Calc!$E:$E, MATCH("L_ramp_m", Calc!$C:$C, 0)))))</f>
        <v/>
      </c>
      <c r="H533" s="3">
        <f>IF($E533="","", IF(AND($E533&gt;=INDEX(Calc!$E:$E, MATCH("min_fwd_draft_m", Calc!$C:$C, 0)), $E533&lt;=INDEX(Calc!$E:$E, MATCH("max_fwd_draft_m", Calc!$C:$C, 0)), $G533&lt;=INDEX(Calc!$E:$E, MATCH("theta_max_deg", Calc!$C:$C, 0))), "OK", "CHECK"))</f>
        <v/>
      </c>
      <c r="I533" s="6">
        <f>IF($E533="","", INDEX(Calc!$E:$E, MATCH("D_vessel_m", Calc!$C:$C, 0)) - $E533 + $B533)</f>
        <v/>
      </c>
      <c r="J533" s="6">
        <f>IF($F533="","", INDEX(Calc!$E:$E, MATCH("D_vessel_m", Calc!$C:$C, 0)) - $F533 + $B533)</f>
        <v/>
      </c>
      <c r="K533" s="3">
        <f>IF(D533=0, "Even Keel", "")</f>
        <v/>
      </c>
    </row>
    <row r="534">
      <c r="A534" s="3">
        <f>IF(December_Tide_2025!A534="","",December_Tide_2025!A534)</f>
        <v/>
      </c>
      <c r="B534" s="6">
        <f>IF(December_Tide_2025!B534="","",December_Tide_2025!B534)</f>
        <v/>
      </c>
      <c r="C534" s="6">
        <f>IF($A534="","", INDEX(Calc!$E:$E, MATCH("KminusZ_m", Calc!$C:$C, 0)) + $B534 - INDEX(Calc!$E:$E, MATCH("L_ramp_m", Calc!$C:$C, 0)) * TAN(RADIANS(INDEX(Calc!$E:$E, MATCH("theta_max_deg", Calc!$C:$C, 0)))))</f>
        <v/>
      </c>
      <c r="D534" s="6" t="n"/>
      <c r="E534" s="6">
        <f>IF($C534="","", IF($D534="", $C534, $C534 - $D534/2))</f>
        <v/>
      </c>
      <c r="F534" s="6">
        <f>IF($C534="","", IF($D534="", $C534, $C534 + $D534/2))</f>
        <v/>
      </c>
      <c r="G534" s="6">
        <f>IF($E534="","", DEGREES(ATAN((INDEX(Calc!$E:$E, MATCH("KminusZ_m", Calc!$C:$C, 0)) - $E534 + $B534) / INDEX(Calc!$E:$E, MATCH("L_ramp_m", Calc!$C:$C, 0)))))</f>
        <v/>
      </c>
      <c r="H534" s="3">
        <f>IF($E534="","", IF(AND($E534&gt;=INDEX(Calc!$E:$E, MATCH("min_fwd_draft_m", Calc!$C:$C, 0)), $E534&lt;=INDEX(Calc!$E:$E, MATCH("max_fwd_draft_m", Calc!$C:$C, 0)), $G534&lt;=INDEX(Calc!$E:$E, MATCH("theta_max_deg", Calc!$C:$C, 0))), "OK", "CHECK"))</f>
        <v/>
      </c>
      <c r="I534" s="6">
        <f>IF($E534="","", INDEX(Calc!$E:$E, MATCH("D_vessel_m", Calc!$C:$C, 0)) - $E534 + $B534)</f>
        <v/>
      </c>
      <c r="J534" s="6">
        <f>IF($F534="","", INDEX(Calc!$E:$E, MATCH("D_vessel_m", Calc!$C:$C, 0)) - $F534 + $B534)</f>
        <v/>
      </c>
      <c r="K534" s="3">
        <f>IF(D534=0, "Even Keel", "")</f>
        <v/>
      </c>
    </row>
    <row r="535">
      <c r="A535" s="3">
        <f>IF(December_Tide_2025!A535="","",December_Tide_2025!A535)</f>
        <v/>
      </c>
      <c r="B535" s="6">
        <f>IF(December_Tide_2025!B535="","",December_Tide_2025!B535)</f>
        <v/>
      </c>
      <c r="C535" s="6">
        <f>IF($A535="","", INDEX(Calc!$E:$E, MATCH("KminusZ_m", Calc!$C:$C, 0)) + $B535 - INDEX(Calc!$E:$E, MATCH("L_ramp_m", Calc!$C:$C, 0)) * TAN(RADIANS(INDEX(Calc!$E:$E, MATCH("theta_max_deg", Calc!$C:$C, 0)))))</f>
        <v/>
      </c>
      <c r="D535" s="6" t="n"/>
      <c r="E535" s="6">
        <f>IF($C535="","", IF($D535="", $C535, $C535 - $D535/2))</f>
        <v/>
      </c>
      <c r="F535" s="6">
        <f>IF($C535="","", IF($D535="", $C535, $C535 + $D535/2))</f>
        <v/>
      </c>
      <c r="G535" s="6">
        <f>IF($E535="","", DEGREES(ATAN((INDEX(Calc!$E:$E, MATCH("KminusZ_m", Calc!$C:$C, 0)) - $E535 + $B535) / INDEX(Calc!$E:$E, MATCH("L_ramp_m", Calc!$C:$C, 0)))))</f>
        <v/>
      </c>
      <c r="H535" s="3">
        <f>IF($E535="","", IF(AND($E535&gt;=INDEX(Calc!$E:$E, MATCH("min_fwd_draft_m", Calc!$C:$C, 0)), $E535&lt;=INDEX(Calc!$E:$E, MATCH("max_fwd_draft_m", Calc!$C:$C, 0)), $G535&lt;=INDEX(Calc!$E:$E, MATCH("theta_max_deg", Calc!$C:$C, 0))), "OK", "CHECK"))</f>
        <v/>
      </c>
      <c r="I535" s="6">
        <f>IF($E535="","", INDEX(Calc!$E:$E, MATCH("D_vessel_m", Calc!$C:$C, 0)) - $E535 + $B535)</f>
        <v/>
      </c>
      <c r="J535" s="6">
        <f>IF($F535="","", INDEX(Calc!$E:$E, MATCH("D_vessel_m", Calc!$C:$C, 0)) - $F535 + $B535)</f>
        <v/>
      </c>
      <c r="K535" s="3">
        <f>IF(D535=0, "Even Keel", "")</f>
        <v/>
      </c>
    </row>
    <row r="536">
      <c r="A536" s="3">
        <f>IF(December_Tide_2025!A536="","",December_Tide_2025!A536)</f>
        <v/>
      </c>
      <c r="B536" s="6">
        <f>IF(December_Tide_2025!B536="","",December_Tide_2025!B536)</f>
        <v/>
      </c>
      <c r="C536" s="6">
        <f>IF($A536="","", INDEX(Calc!$E:$E, MATCH("KminusZ_m", Calc!$C:$C, 0)) + $B536 - INDEX(Calc!$E:$E, MATCH("L_ramp_m", Calc!$C:$C, 0)) * TAN(RADIANS(INDEX(Calc!$E:$E, MATCH("theta_max_deg", Calc!$C:$C, 0)))))</f>
        <v/>
      </c>
      <c r="D536" s="6" t="n"/>
      <c r="E536" s="6">
        <f>IF($C536="","", IF($D536="", $C536, $C536 - $D536/2))</f>
        <v/>
      </c>
      <c r="F536" s="6">
        <f>IF($C536="","", IF($D536="", $C536, $C536 + $D536/2))</f>
        <v/>
      </c>
      <c r="G536" s="6">
        <f>IF($E536="","", DEGREES(ATAN((INDEX(Calc!$E:$E, MATCH("KminusZ_m", Calc!$C:$C, 0)) - $E536 + $B536) / INDEX(Calc!$E:$E, MATCH("L_ramp_m", Calc!$C:$C, 0)))))</f>
        <v/>
      </c>
      <c r="H536" s="3">
        <f>IF($E536="","", IF(AND($E536&gt;=INDEX(Calc!$E:$E, MATCH("min_fwd_draft_m", Calc!$C:$C, 0)), $E536&lt;=INDEX(Calc!$E:$E, MATCH("max_fwd_draft_m", Calc!$C:$C, 0)), $G536&lt;=INDEX(Calc!$E:$E, MATCH("theta_max_deg", Calc!$C:$C, 0))), "OK", "CHECK"))</f>
        <v/>
      </c>
      <c r="I536" s="6">
        <f>IF($E536="","", INDEX(Calc!$E:$E, MATCH("D_vessel_m", Calc!$C:$C, 0)) - $E536 + $B536)</f>
        <v/>
      </c>
      <c r="J536" s="6">
        <f>IF($F536="","", INDEX(Calc!$E:$E, MATCH("D_vessel_m", Calc!$C:$C, 0)) - $F536 + $B536)</f>
        <v/>
      </c>
      <c r="K536" s="3">
        <f>IF(D536=0, "Even Keel", "")</f>
        <v/>
      </c>
    </row>
    <row r="537">
      <c r="A537" s="3">
        <f>IF(December_Tide_2025!A537="","",December_Tide_2025!A537)</f>
        <v/>
      </c>
      <c r="B537" s="6">
        <f>IF(December_Tide_2025!B537="","",December_Tide_2025!B537)</f>
        <v/>
      </c>
      <c r="C537" s="6">
        <f>IF($A537="","", INDEX(Calc!$E:$E, MATCH("KminusZ_m", Calc!$C:$C, 0)) + $B537 - INDEX(Calc!$E:$E, MATCH("L_ramp_m", Calc!$C:$C, 0)) * TAN(RADIANS(INDEX(Calc!$E:$E, MATCH("theta_max_deg", Calc!$C:$C, 0)))))</f>
        <v/>
      </c>
      <c r="D537" s="6" t="n"/>
      <c r="E537" s="6">
        <f>IF($C537="","", IF($D537="", $C537, $C537 - $D537/2))</f>
        <v/>
      </c>
      <c r="F537" s="6">
        <f>IF($C537="","", IF($D537="", $C537, $C537 + $D537/2))</f>
        <v/>
      </c>
      <c r="G537" s="6">
        <f>IF($E537="","", DEGREES(ATAN((INDEX(Calc!$E:$E, MATCH("KminusZ_m", Calc!$C:$C, 0)) - $E537 + $B537) / INDEX(Calc!$E:$E, MATCH("L_ramp_m", Calc!$C:$C, 0)))))</f>
        <v/>
      </c>
      <c r="H537" s="3">
        <f>IF($E537="","", IF(AND($E537&gt;=INDEX(Calc!$E:$E, MATCH("min_fwd_draft_m", Calc!$C:$C, 0)), $E537&lt;=INDEX(Calc!$E:$E, MATCH("max_fwd_draft_m", Calc!$C:$C, 0)), $G537&lt;=INDEX(Calc!$E:$E, MATCH("theta_max_deg", Calc!$C:$C, 0))), "OK", "CHECK"))</f>
        <v/>
      </c>
      <c r="I537" s="6">
        <f>IF($E537="","", INDEX(Calc!$E:$E, MATCH("D_vessel_m", Calc!$C:$C, 0)) - $E537 + $B537)</f>
        <v/>
      </c>
      <c r="J537" s="6">
        <f>IF($F537="","", INDEX(Calc!$E:$E, MATCH("D_vessel_m", Calc!$C:$C, 0)) - $F537 + $B537)</f>
        <v/>
      </c>
      <c r="K537" s="3">
        <f>IF(D537=0, "Even Keel", "")</f>
        <v/>
      </c>
    </row>
    <row r="538">
      <c r="A538" s="3">
        <f>IF(December_Tide_2025!A538="","",December_Tide_2025!A538)</f>
        <v/>
      </c>
      <c r="B538" s="6">
        <f>IF(December_Tide_2025!B538="","",December_Tide_2025!B538)</f>
        <v/>
      </c>
      <c r="C538" s="6">
        <f>IF($A538="","", INDEX(Calc!$E:$E, MATCH("KminusZ_m", Calc!$C:$C, 0)) + $B538 - INDEX(Calc!$E:$E, MATCH("L_ramp_m", Calc!$C:$C, 0)) * TAN(RADIANS(INDEX(Calc!$E:$E, MATCH("theta_max_deg", Calc!$C:$C, 0)))))</f>
        <v/>
      </c>
      <c r="D538" s="6" t="n"/>
      <c r="E538" s="6">
        <f>IF($C538="","", IF($D538="", $C538, $C538 - $D538/2))</f>
        <v/>
      </c>
      <c r="F538" s="6">
        <f>IF($C538="","", IF($D538="", $C538, $C538 + $D538/2))</f>
        <v/>
      </c>
      <c r="G538" s="6">
        <f>IF($E538="","", DEGREES(ATAN((INDEX(Calc!$E:$E, MATCH("KminusZ_m", Calc!$C:$C, 0)) - $E538 + $B538) / INDEX(Calc!$E:$E, MATCH("L_ramp_m", Calc!$C:$C, 0)))))</f>
        <v/>
      </c>
      <c r="H538" s="3">
        <f>IF($E538="","", IF(AND($E538&gt;=INDEX(Calc!$E:$E, MATCH("min_fwd_draft_m", Calc!$C:$C, 0)), $E538&lt;=INDEX(Calc!$E:$E, MATCH("max_fwd_draft_m", Calc!$C:$C, 0)), $G538&lt;=INDEX(Calc!$E:$E, MATCH("theta_max_deg", Calc!$C:$C, 0))), "OK", "CHECK"))</f>
        <v/>
      </c>
      <c r="I538" s="6">
        <f>IF($E538="","", INDEX(Calc!$E:$E, MATCH("D_vessel_m", Calc!$C:$C, 0)) - $E538 + $B538)</f>
        <v/>
      </c>
      <c r="J538" s="6">
        <f>IF($F538="","", INDEX(Calc!$E:$E, MATCH("D_vessel_m", Calc!$C:$C, 0)) - $F538 + $B538)</f>
        <v/>
      </c>
      <c r="K538" s="3">
        <f>IF(D538=0, "Even Keel", "")</f>
        <v/>
      </c>
    </row>
    <row r="539">
      <c r="A539" s="3">
        <f>IF(December_Tide_2025!A539="","",December_Tide_2025!A539)</f>
        <v/>
      </c>
      <c r="B539" s="6">
        <f>IF(December_Tide_2025!B539="","",December_Tide_2025!B539)</f>
        <v/>
      </c>
      <c r="C539" s="6">
        <f>IF($A539="","", INDEX(Calc!$E:$E, MATCH("KminusZ_m", Calc!$C:$C, 0)) + $B539 - INDEX(Calc!$E:$E, MATCH("L_ramp_m", Calc!$C:$C, 0)) * TAN(RADIANS(INDEX(Calc!$E:$E, MATCH("theta_max_deg", Calc!$C:$C, 0)))))</f>
        <v/>
      </c>
      <c r="D539" s="6" t="n"/>
      <c r="E539" s="6">
        <f>IF($C539="","", IF($D539="", $C539, $C539 - $D539/2))</f>
        <v/>
      </c>
      <c r="F539" s="6">
        <f>IF($C539="","", IF($D539="", $C539, $C539 + $D539/2))</f>
        <v/>
      </c>
      <c r="G539" s="6">
        <f>IF($E539="","", DEGREES(ATAN((INDEX(Calc!$E:$E, MATCH("KminusZ_m", Calc!$C:$C, 0)) - $E539 + $B539) / INDEX(Calc!$E:$E, MATCH("L_ramp_m", Calc!$C:$C, 0)))))</f>
        <v/>
      </c>
      <c r="H539" s="3">
        <f>IF($E539="","", IF(AND($E539&gt;=INDEX(Calc!$E:$E, MATCH("min_fwd_draft_m", Calc!$C:$C, 0)), $E539&lt;=INDEX(Calc!$E:$E, MATCH("max_fwd_draft_m", Calc!$C:$C, 0)), $G539&lt;=INDEX(Calc!$E:$E, MATCH("theta_max_deg", Calc!$C:$C, 0))), "OK", "CHECK"))</f>
        <v/>
      </c>
      <c r="I539" s="6">
        <f>IF($E539="","", INDEX(Calc!$E:$E, MATCH("D_vessel_m", Calc!$C:$C, 0)) - $E539 + $B539)</f>
        <v/>
      </c>
      <c r="J539" s="6">
        <f>IF($F539="","", INDEX(Calc!$E:$E, MATCH("D_vessel_m", Calc!$C:$C, 0)) - $F539 + $B539)</f>
        <v/>
      </c>
      <c r="K539" s="3">
        <f>IF(D539=0, "Even Keel", "")</f>
        <v/>
      </c>
    </row>
    <row r="540">
      <c r="A540" s="3">
        <f>IF(December_Tide_2025!A540="","",December_Tide_2025!A540)</f>
        <v/>
      </c>
      <c r="B540" s="6">
        <f>IF(December_Tide_2025!B540="","",December_Tide_2025!B540)</f>
        <v/>
      </c>
      <c r="C540" s="6">
        <f>IF($A540="","", INDEX(Calc!$E:$E, MATCH("KminusZ_m", Calc!$C:$C, 0)) + $B540 - INDEX(Calc!$E:$E, MATCH("L_ramp_m", Calc!$C:$C, 0)) * TAN(RADIANS(INDEX(Calc!$E:$E, MATCH("theta_max_deg", Calc!$C:$C, 0)))))</f>
        <v/>
      </c>
      <c r="D540" s="6" t="n"/>
      <c r="E540" s="6">
        <f>IF($C540="","", IF($D540="", $C540, $C540 - $D540/2))</f>
        <v/>
      </c>
      <c r="F540" s="6">
        <f>IF($C540="","", IF($D540="", $C540, $C540 + $D540/2))</f>
        <v/>
      </c>
      <c r="G540" s="6">
        <f>IF($E540="","", DEGREES(ATAN((INDEX(Calc!$E:$E, MATCH("KminusZ_m", Calc!$C:$C, 0)) - $E540 + $B540) / INDEX(Calc!$E:$E, MATCH("L_ramp_m", Calc!$C:$C, 0)))))</f>
        <v/>
      </c>
      <c r="H540" s="3">
        <f>IF($E540="","", IF(AND($E540&gt;=INDEX(Calc!$E:$E, MATCH("min_fwd_draft_m", Calc!$C:$C, 0)), $E540&lt;=INDEX(Calc!$E:$E, MATCH("max_fwd_draft_m", Calc!$C:$C, 0)), $G540&lt;=INDEX(Calc!$E:$E, MATCH("theta_max_deg", Calc!$C:$C, 0))), "OK", "CHECK"))</f>
        <v/>
      </c>
      <c r="I540" s="6">
        <f>IF($E540="","", INDEX(Calc!$E:$E, MATCH("D_vessel_m", Calc!$C:$C, 0)) - $E540 + $B540)</f>
        <v/>
      </c>
      <c r="J540" s="6">
        <f>IF($F540="","", INDEX(Calc!$E:$E, MATCH("D_vessel_m", Calc!$C:$C, 0)) - $F540 + $B540)</f>
        <v/>
      </c>
      <c r="K540" s="3">
        <f>IF(D540=0, "Even Keel", "")</f>
        <v/>
      </c>
    </row>
    <row r="541">
      <c r="A541" s="3">
        <f>IF(December_Tide_2025!A541="","",December_Tide_2025!A541)</f>
        <v/>
      </c>
      <c r="B541" s="6">
        <f>IF(December_Tide_2025!B541="","",December_Tide_2025!B541)</f>
        <v/>
      </c>
      <c r="C541" s="6">
        <f>IF($A541="","", INDEX(Calc!$E:$E, MATCH("KminusZ_m", Calc!$C:$C, 0)) + $B541 - INDEX(Calc!$E:$E, MATCH("L_ramp_m", Calc!$C:$C, 0)) * TAN(RADIANS(INDEX(Calc!$E:$E, MATCH("theta_max_deg", Calc!$C:$C, 0)))))</f>
        <v/>
      </c>
      <c r="D541" s="6" t="n"/>
      <c r="E541" s="6">
        <f>IF($C541="","", IF($D541="", $C541, $C541 - $D541/2))</f>
        <v/>
      </c>
      <c r="F541" s="6">
        <f>IF($C541="","", IF($D541="", $C541, $C541 + $D541/2))</f>
        <v/>
      </c>
      <c r="G541" s="6">
        <f>IF($E541="","", DEGREES(ATAN((INDEX(Calc!$E:$E, MATCH("KminusZ_m", Calc!$C:$C, 0)) - $E541 + $B541) / INDEX(Calc!$E:$E, MATCH("L_ramp_m", Calc!$C:$C, 0)))))</f>
        <v/>
      </c>
      <c r="H541" s="3">
        <f>IF($E541="","", IF(AND($E541&gt;=INDEX(Calc!$E:$E, MATCH("min_fwd_draft_m", Calc!$C:$C, 0)), $E541&lt;=INDEX(Calc!$E:$E, MATCH("max_fwd_draft_m", Calc!$C:$C, 0)), $G541&lt;=INDEX(Calc!$E:$E, MATCH("theta_max_deg", Calc!$C:$C, 0))), "OK", "CHECK"))</f>
        <v/>
      </c>
      <c r="I541" s="6">
        <f>IF($E541="","", INDEX(Calc!$E:$E, MATCH("D_vessel_m", Calc!$C:$C, 0)) - $E541 + $B541)</f>
        <v/>
      </c>
      <c r="J541" s="6">
        <f>IF($F541="","", INDEX(Calc!$E:$E, MATCH("D_vessel_m", Calc!$C:$C, 0)) - $F541 + $B541)</f>
        <v/>
      </c>
      <c r="K541" s="3">
        <f>IF(D541=0, "Even Keel", "")</f>
        <v/>
      </c>
    </row>
    <row r="542">
      <c r="A542" s="3">
        <f>IF(December_Tide_2025!A542="","",December_Tide_2025!A542)</f>
        <v/>
      </c>
      <c r="B542" s="6">
        <f>IF(December_Tide_2025!B542="","",December_Tide_2025!B542)</f>
        <v/>
      </c>
      <c r="C542" s="6">
        <f>IF($A542="","", INDEX(Calc!$E:$E, MATCH("KminusZ_m", Calc!$C:$C, 0)) + $B542 - INDEX(Calc!$E:$E, MATCH("L_ramp_m", Calc!$C:$C, 0)) * TAN(RADIANS(INDEX(Calc!$E:$E, MATCH("theta_max_deg", Calc!$C:$C, 0)))))</f>
        <v/>
      </c>
      <c r="D542" s="6" t="n"/>
      <c r="E542" s="6">
        <f>IF($C542="","", IF($D542="", $C542, $C542 - $D542/2))</f>
        <v/>
      </c>
      <c r="F542" s="6">
        <f>IF($C542="","", IF($D542="", $C542, $C542 + $D542/2))</f>
        <v/>
      </c>
      <c r="G542" s="6">
        <f>IF($E542="","", DEGREES(ATAN((INDEX(Calc!$E:$E, MATCH("KminusZ_m", Calc!$C:$C, 0)) - $E542 + $B542) / INDEX(Calc!$E:$E, MATCH("L_ramp_m", Calc!$C:$C, 0)))))</f>
        <v/>
      </c>
      <c r="H542" s="3">
        <f>IF($E542="","", IF(AND($E542&gt;=INDEX(Calc!$E:$E, MATCH("min_fwd_draft_m", Calc!$C:$C, 0)), $E542&lt;=INDEX(Calc!$E:$E, MATCH("max_fwd_draft_m", Calc!$C:$C, 0)), $G542&lt;=INDEX(Calc!$E:$E, MATCH("theta_max_deg", Calc!$C:$C, 0))), "OK", "CHECK"))</f>
        <v/>
      </c>
      <c r="I542" s="6">
        <f>IF($E542="","", INDEX(Calc!$E:$E, MATCH("D_vessel_m", Calc!$C:$C, 0)) - $E542 + $B542)</f>
        <v/>
      </c>
      <c r="J542" s="6">
        <f>IF($F542="","", INDEX(Calc!$E:$E, MATCH("D_vessel_m", Calc!$C:$C, 0)) - $F542 + $B542)</f>
        <v/>
      </c>
      <c r="K542" s="3">
        <f>IF(D542=0, "Even Keel", "")</f>
        <v/>
      </c>
    </row>
    <row r="543">
      <c r="A543" s="3">
        <f>IF(December_Tide_2025!A543="","",December_Tide_2025!A543)</f>
        <v/>
      </c>
      <c r="B543" s="6">
        <f>IF(December_Tide_2025!B543="","",December_Tide_2025!B543)</f>
        <v/>
      </c>
      <c r="C543" s="6">
        <f>IF($A543="","", INDEX(Calc!$E:$E, MATCH("KminusZ_m", Calc!$C:$C, 0)) + $B543 - INDEX(Calc!$E:$E, MATCH("L_ramp_m", Calc!$C:$C, 0)) * TAN(RADIANS(INDEX(Calc!$E:$E, MATCH("theta_max_deg", Calc!$C:$C, 0)))))</f>
        <v/>
      </c>
      <c r="D543" s="6" t="n"/>
      <c r="E543" s="6">
        <f>IF($C543="","", IF($D543="", $C543, $C543 - $D543/2))</f>
        <v/>
      </c>
      <c r="F543" s="6">
        <f>IF($C543="","", IF($D543="", $C543, $C543 + $D543/2))</f>
        <v/>
      </c>
      <c r="G543" s="6">
        <f>IF($E543="","", DEGREES(ATAN((INDEX(Calc!$E:$E, MATCH("KminusZ_m", Calc!$C:$C, 0)) - $E543 + $B543) / INDEX(Calc!$E:$E, MATCH("L_ramp_m", Calc!$C:$C, 0)))))</f>
        <v/>
      </c>
      <c r="H543" s="3">
        <f>IF($E543="","", IF(AND($E543&gt;=INDEX(Calc!$E:$E, MATCH("min_fwd_draft_m", Calc!$C:$C, 0)), $E543&lt;=INDEX(Calc!$E:$E, MATCH("max_fwd_draft_m", Calc!$C:$C, 0)), $G543&lt;=INDEX(Calc!$E:$E, MATCH("theta_max_deg", Calc!$C:$C, 0))), "OK", "CHECK"))</f>
        <v/>
      </c>
      <c r="I543" s="6">
        <f>IF($E543="","", INDEX(Calc!$E:$E, MATCH("D_vessel_m", Calc!$C:$C, 0)) - $E543 + $B543)</f>
        <v/>
      </c>
      <c r="J543" s="6">
        <f>IF($F543="","", INDEX(Calc!$E:$E, MATCH("D_vessel_m", Calc!$C:$C, 0)) - $F543 + $B543)</f>
        <v/>
      </c>
      <c r="K543" s="3">
        <f>IF(D543=0, "Even Keel", "")</f>
        <v/>
      </c>
    </row>
    <row r="544">
      <c r="A544" s="3">
        <f>IF(December_Tide_2025!A544="","",December_Tide_2025!A544)</f>
        <v/>
      </c>
      <c r="B544" s="6">
        <f>IF(December_Tide_2025!B544="","",December_Tide_2025!B544)</f>
        <v/>
      </c>
      <c r="C544" s="6">
        <f>IF($A544="","", INDEX(Calc!$E:$E, MATCH("KminusZ_m", Calc!$C:$C, 0)) + $B544 - INDEX(Calc!$E:$E, MATCH("L_ramp_m", Calc!$C:$C, 0)) * TAN(RADIANS(INDEX(Calc!$E:$E, MATCH("theta_max_deg", Calc!$C:$C, 0)))))</f>
        <v/>
      </c>
      <c r="D544" s="6" t="n"/>
      <c r="E544" s="6">
        <f>IF($C544="","", IF($D544="", $C544, $C544 - $D544/2))</f>
        <v/>
      </c>
      <c r="F544" s="6">
        <f>IF($C544="","", IF($D544="", $C544, $C544 + $D544/2))</f>
        <v/>
      </c>
      <c r="G544" s="6">
        <f>IF($E544="","", DEGREES(ATAN((INDEX(Calc!$E:$E, MATCH("KminusZ_m", Calc!$C:$C, 0)) - $E544 + $B544) / INDEX(Calc!$E:$E, MATCH("L_ramp_m", Calc!$C:$C, 0)))))</f>
        <v/>
      </c>
      <c r="H544" s="3">
        <f>IF($E544="","", IF(AND($E544&gt;=INDEX(Calc!$E:$E, MATCH("min_fwd_draft_m", Calc!$C:$C, 0)), $E544&lt;=INDEX(Calc!$E:$E, MATCH("max_fwd_draft_m", Calc!$C:$C, 0)), $G544&lt;=INDEX(Calc!$E:$E, MATCH("theta_max_deg", Calc!$C:$C, 0))), "OK", "CHECK"))</f>
        <v/>
      </c>
      <c r="I544" s="6">
        <f>IF($E544="","", INDEX(Calc!$E:$E, MATCH("D_vessel_m", Calc!$C:$C, 0)) - $E544 + $B544)</f>
        <v/>
      </c>
      <c r="J544" s="6">
        <f>IF($F544="","", INDEX(Calc!$E:$E, MATCH("D_vessel_m", Calc!$C:$C, 0)) - $F544 + $B544)</f>
        <v/>
      </c>
      <c r="K544" s="3">
        <f>IF(D544=0, "Even Keel", "")</f>
        <v/>
      </c>
    </row>
    <row r="545">
      <c r="A545" s="3">
        <f>IF(December_Tide_2025!A545="","",December_Tide_2025!A545)</f>
        <v/>
      </c>
      <c r="B545" s="6">
        <f>IF(December_Tide_2025!B545="","",December_Tide_2025!B545)</f>
        <v/>
      </c>
      <c r="C545" s="6">
        <f>IF($A545="","", INDEX(Calc!$E:$E, MATCH("KminusZ_m", Calc!$C:$C, 0)) + $B545 - INDEX(Calc!$E:$E, MATCH("L_ramp_m", Calc!$C:$C, 0)) * TAN(RADIANS(INDEX(Calc!$E:$E, MATCH("theta_max_deg", Calc!$C:$C, 0)))))</f>
        <v/>
      </c>
      <c r="D545" s="6" t="n"/>
      <c r="E545" s="6">
        <f>IF($C545="","", IF($D545="", $C545, $C545 - $D545/2))</f>
        <v/>
      </c>
      <c r="F545" s="6">
        <f>IF($C545="","", IF($D545="", $C545, $C545 + $D545/2))</f>
        <v/>
      </c>
      <c r="G545" s="6">
        <f>IF($E545="","", DEGREES(ATAN((INDEX(Calc!$E:$E, MATCH("KminusZ_m", Calc!$C:$C, 0)) - $E545 + $B545) / INDEX(Calc!$E:$E, MATCH("L_ramp_m", Calc!$C:$C, 0)))))</f>
        <v/>
      </c>
      <c r="H545" s="3">
        <f>IF($E545="","", IF(AND($E545&gt;=INDEX(Calc!$E:$E, MATCH("min_fwd_draft_m", Calc!$C:$C, 0)), $E545&lt;=INDEX(Calc!$E:$E, MATCH("max_fwd_draft_m", Calc!$C:$C, 0)), $G545&lt;=INDEX(Calc!$E:$E, MATCH("theta_max_deg", Calc!$C:$C, 0))), "OK", "CHECK"))</f>
        <v/>
      </c>
      <c r="I545" s="6">
        <f>IF($E545="","", INDEX(Calc!$E:$E, MATCH("D_vessel_m", Calc!$C:$C, 0)) - $E545 + $B545)</f>
        <v/>
      </c>
      <c r="J545" s="6">
        <f>IF($F545="","", INDEX(Calc!$E:$E, MATCH("D_vessel_m", Calc!$C:$C, 0)) - $F545 + $B545)</f>
        <v/>
      </c>
      <c r="K545" s="3">
        <f>IF(D545=0, "Even Keel", "")</f>
        <v/>
      </c>
    </row>
    <row r="546">
      <c r="A546" s="3">
        <f>IF(December_Tide_2025!A546="","",December_Tide_2025!A546)</f>
        <v/>
      </c>
      <c r="B546" s="6">
        <f>IF(December_Tide_2025!B546="","",December_Tide_2025!B546)</f>
        <v/>
      </c>
      <c r="C546" s="6">
        <f>IF($A546="","", INDEX(Calc!$E:$E, MATCH("KminusZ_m", Calc!$C:$C, 0)) + $B546 - INDEX(Calc!$E:$E, MATCH("L_ramp_m", Calc!$C:$C, 0)) * TAN(RADIANS(INDEX(Calc!$E:$E, MATCH("theta_max_deg", Calc!$C:$C, 0)))))</f>
        <v/>
      </c>
      <c r="D546" s="6" t="n"/>
      <c r="E546" s="6">
        <f>IF($C546="","", IF($D546="", $C546, $C546 - $D546/2))</f>
        <v/>
      </c>
      <c r="F546" s="6">
        <f>IF($C546="","", IF($D546="", $C546, $C546 + $D546/2))</f>
        <v/>
      </c>
      <c r="G546" s="6">
        <f>IF($E546="","", DEGREES(ATAN((INDEX(Calc!$E:$E, MATCH("KminusZ_m", Calc!$C:$C, 0)) - $E546 + $B546) / INDEX(Calc!$E:$E, MATCH("L_ramp_m", Calc!$C:$C, 0)))))</f>
        <v/>
      </c>
      <c r="H546" s="3">
        <f>IF($E546="","", IF(AND($E546&gt;=INDEX(Calc!$E:$E, MATCH("min_fwd_draft_m", Calc!$C:$C, 0)), $E546&lt;=INDEX(Calc!$E:$E, MATCH("max_fwd_draft_m", Calc!$C:$C, 0)), $G546&lt;=INDEX(Calc!$E:$E, MATCH("theta_max_deg", Calc!$C:$C, 0))), "OK", "CHECK"))</f>
        <v/>
      </c>
      <c r="I546" s="6">
        <f>IF($E546="","", INDEX(Calc!$E:$E, MATCH("D_vessel_m", Calc!$C:$C, 0)) - $E546 + $B546)</f>
        <v/>
      </c>
      <c r="J546" s="6">
        <f>IF($F546="","", INDEX(Calc!$E:$E, MATCH("D_vessel_m", Calc!$C:$C, 0)) - $F546 + $B546)</f>
        <v/>
      </c>
      <c r="K546" s="3">
        <f>IF(D546=0, "Even Keel", "")</f>
        <v/>
      </c>
    </row>
    <row r="547">
      <c r="A547" s="3">
        <f>IF(December_Tide_2025!A547="","",December_Tide_2025!A547)</f>
        <v/>
      </c>
      <c r="B547" s="6">
        <f>IF(December_Tide_2025!B547="","",December_Tide_2025!B547)</f>
        <v/>
      </c>
      <c r="C547" s="6">
        <f>IF($A547="","", INDEX(Calc!$E:$E, MATCH("KminusZ_m", Calc!$C:$C, 0)) + $B547 - INDEX(Calc!$E:$E, MATCH("L_ramp_m", Calc!$C:$C, 0)) * TAN(RADIANS(INDEX(Calc!$E:$E, MATCH("theta_max_deg", Calc!$C:$C, 0)))))</f>
        <v/>
      </c>
      <c r="D547" s="6" t="n"/>
      <c r="E547" s="6">
        <f>IF($C547="","", IF($D547="", $C547, $C547 - $D547/2))</f>
        <v/>
      </c>
      <c r="F547" s="6">
        <f>IF($C547="","", IF($D547="", $C547, $C547 + $D547/2))</f>
        <v/>
      </c>
      <c r="G547" s="6">
        <f>IF($E547="","", DEGREES(ATAN((INDEX(Calc!$E:$E, MATCH("KminusZ_m", Calc!$C:$C, 0)) - $E547 + $B547) / INDEX(Calc!$E:$E, MATCH("L_ramp_m", Calc!$C:$C, 0)))))</f>
        <v/>
      </c>
      <c r="H547" s="3">
        <f>IF($E547="","", IF(AND($E547&gt;=INDEX(Calc!$E:$E, MATCH("min_fwd_draft_m", Calc!$C:$C, 0)), $E547&lt;=INDEX(Calc!$E:$E, MATCH("max_fwd_draft_m", Calc!$C:$C, 0)), $G547&lt;=INDEX(Calc!$E:$E, MATCH("theta_max_deg", Calc!$C:$C, 0))), "OK", "CHECK"))</f>
        <v/>
      </c>
      <c r="I547" s="6">
        <f>IF($E547="","", INDEX(Calc!$E:$E, MATCH("D_vessel_m", Calc!$C:$C, 0)) - $E547 + $B547)</f>
        <v/>
      </c>
      <c r="J547" s="6">
        <f>IF($F547="","", INDEX(Calc!$E:$E, MATCH("D_vessel_m", Calc!$C:$C, 0)) - $F547 + $B547)</f>
        <v/>
      </c>
      <c r="K547" s="3">
        <f>IF(D547=0, "Even Keel", "")</f>
        <v/>
      </c>
    </row>
    <row r="548">
      <c r="A548" s="3">
        <f>IF(December_Tide_2025!A548="","",December_Tide_2025!A548)</f>
        <v/>
      </c>
      <c r="B548" s="6">
        <f>IF(December_Tide_2025!B548="","",December_Tide_2025!B548)</f>
        <v/>
      </c>
      <c r="C548" s="6">
        <f>IF($A548="","", INDEX(Calc!$E:$E, MATCH("KminusZ_m", Calc!$C:$C, 0)) + $B548 - INDEX(Calc!$E:$E, MATCH("L_ramp_m", Calc!$C:$C, 0)) * TAN(RADIANS(INDEX(Calc!$E:$E, MATCH("theta_max_deg", Calc!$C:$C, 0)))))</f>
        <v/>
      </c>
      <c r="D548" s="6" t="n"/>
      <c r="E548" s="6">
        <f>IF($C548="","", IF($D548="", $C548, $C548 - $D548/2))</f>
        <v/>
      </c>
      <c r="F548" s="6">
        <f>IF($C548="","", IF($D548="", $C548, $C548 + $D548/2))</f>
        <v/>
      </c>
      <c r="G548" s="6">
        <f>IF($E548="","", DEGREES(ATAN((INDEX(Calc!$E:$E, MATCH("KminusZ_m", Calc!$C:$C, 0)) - $E548 + $B548) / INDEX(Calc!$E:$E, MATCH("L_ramp_m", Calc!$C:$C, 0)))))</f>
        <v/>
      </c>
      <c r="H548" s="3">
        <f>IF($E548="","", IF(AND($E548&gt;=INDEX(Calc!$E:$E, MATCH("min_fwd_draft_m", Calc!$C:$C, 0)), $E548&lt;=INDEX(Calc!$E:$E, MATCH("max_fwd_draft_m", Calc!$C:$C, 0)), $G548&lt;=INDEX(Calc!$E:$E, MATCH("theta_max_deg", Calc!$C:$C, 0))), "OK", "CHECK"))</f>
        <v/>
      </c>
      <c r="I548" s="6">
        <f>IF($E548="","", INDEX(Calc!$E:$E, MATCH("D_vessel_m", Calc!$C:$C, 0)) - $E548 + $B548)</f>
        <v/>
      </c>
      <c r="J548" s="6">
        <f>IF($F548="","", INDEX(Calc!$E:$E, MATCH("D_vessel_m", Calc!$C:$C, 0)) - $F548 + $B548)</f>
        <v/>
      </c>
      <c r="K548" s="3">
        <f>IF(D548=0, "Even Keel", "")</f>
        <v/>
      </c>
    </row>
    <row r="549">
      <c r="A549" s="3">
        <f>IF(December_Tide_2025!A549="","",December_Tide_2025!A549)</f>
        <v/>
      </c>
      <c r="B549" s="6">
        <f>IF(December_Tide_2025!B549="","",December_Tide_2025!B549)</f>
        <v/>
      </c>
      <c r="C549" s="6">
        <f>IF($A549="","", INDEX(Calc!$E:$E, MATCH("KminusZ_m", Calc!$C:$C, 0)) + $B549 - INDEX(Calc!$E:$E, MATCH("L_ramp_m", Calc!$C:$C, 0)) * TAN(RADIANS(INDEX(Calc!$E:$E, MATCH("theta_max_deg", Calc!$C:$C, 0)))))</f>
        <v/>
      </c>
      <c r="D549" s="6" t="n"/>
      <c r="E549" s="6">
        <f>IF($C549="","", IF($D549="", $C549, $C549 - $D549/2))</f>
        <v/>
      </c>
      <c r="F549" s="6">
        <f>IF($C549="","", IF($D549="", $C549, $C549 + $D549/2))</f>
        <v/>
      </c>
      <c r="G549" s="6">
        <f>IF($E549="","", DEGREES(ATAN((INDEX(Calc!$E:$E, MATCH("KminusZ_m", Calc!$C:$C, 0)) - $E549 + $B549) / INDEX(Calc!$E:$E, MATCH("L_ramp_m", Calc!$C:$C, 0)))))</f>
        <v/>
      </c>
      <c r="H549" s="3">
        <f>IF($E549="","", IF(AND($E549&gt;=INDEX(Calc!$E:$E, MATCH("min_fwd_draft_m", Calc!$C:$C, 0)), $E549&lt;=INDEX(Calc!$E:$E, MATCH("max_fwd_draft_m", Calc!$C:$C, 0)), $G549&lt;=INDEX(Calc!$E:$E, MATCH("theta_max_deg", Calc!$C:$C, 0))), "OK", "CHECK"))</f>
        <v/>
      </c>
      <c r="I549" s="6">
        <f>IF($E549="","", INDEX(Calc!$E:$E, MATCH("D_vessel_m", Calc!$C:$C, 0)) - $E549 + $B549)</f>
        <v/>
      </c>
      <c r="J549" s="6">
        <f>IF($F549="","", INDEX(Calc!$E:$E, MATCH("D_vessel_m", Calc!$C:$C, 0)) - $F549 + $B549)</f>
        <v/>
      </c>
      <c r="K549" s="3">
        <f>IF(D549=0, "Even Keel", "")</f>
        <v/>
      </c>
    </row>
    <row r="550">
      <c r="A550" s="3">
        <f>IF(December_Tide_2025!A550="","",December_Tide_2025!A550)</f>
        <v/>
      </c>
      <c r="B550" s="6">
        <f>IF(December_Tide_2025!B550="","",December_Tide_2025!B550)</f>
        <v/>
      </c>
      <c r="C550" s="6">
        <f>IF($A550="","", INDEX(Calc!$E:$E, MATCH("KminusZ_m", Calc!$C:$C, 0)) + $B550 - INDEX(Calc!$E:$E, MATCH("L_ramp_m", Calc!$C:$C, 0)) * TAN(RADIANS(INDEX(Calc!$E:$E, MATCH("theta_max_deg", Calc!$C:$C, 0)))))</f>
        <v/>
      </c>
      <c r="D550" s="6" t="n"/>
      <c r="E550" s="6">
        <f>IF($C550="","", IF($D550="", $C550, $C550 - $D550/2))</f>
        <v/>
      </c>
      <c r="F550" s="6">
        <f>IF($C550="","", IF($D550="", $C550, $C550 + $D550/2))</f>
        <v/>
      </c>
      <c r="G550" s="6">
        <f>IF($E550="","", DEGREES(ATAN((INDEX(Calc!$E:$E, MATCH("KminusZ_m", Calc!$C:$C, 0)) - $E550 + $B550) / INDEX(Calc!$E:$E, MATCH("L_ramp_m", Calc!$C:$C, 0)))))</f>
        <v/>
      </c>
      <c r="H550" s="3">
        <f>IF($E550="","", IF(AND($E550&gt;=INDEX(Calc!$E:$E, MATCH("min_fwd_draft_m", Calc!$C:$C, 0)), $E550&lt;=INDEX(Calc!$E:$E, MATCH("max_fwd_draft_m", Calc!$C:$C, 0)), $G550&lt;=INDEX(Calc!$E:$E, MATCH("theta_max_deg", Calc!$C:$C, 0))), "OK", "CHECK"))</f>
        <v/>
      </c>
      <c r="I550" s="6">
        <f>IF($E550="","", INDEX(Calc!$E:$E, MATCH("D_vessel_m", Calc!$C:$C, 0)) - $E550 + $B550)</f>
        <v/>
      </c>
      <c r="J550" s="6">
        <f>IF($F550="","", INDEX(Calc!$E:$E, MATCH("D_vessel_m", Calc!$C:$C, 0)) - $F550 + $B550)</f>
        <v/>
      </c>
      <c r="K550" s="3">
        <f>IF(D550=0, "Even Keel", "")</f>
        <v/>
      </c>
    </row>
    <row r="551">
      <c r="A551" s="3">
        <f>IF(December_Tide_2025!A551="","",December_Tide_2025!A551)</f>
        <v/>
      </c>
      <c r="B551" s="6">
        <f>IF(December_Tide_2025!B551="","",December_Tide_2025!B551)</f>
        <v/>
      </c>
      <c r="C551" s="6">
        <f>IF($A551="","", INDEX(Calc!$E:$E, MATCH("KminusZ_m", Calc!$C:$C, 0)) + $B551 - INDEX(Calc!$E:$E, MATCH("L_ramp_m", Calc!$C:$C, 0)) * TAN(RADIANS(INDEX(Calc!$E:$E, MATCH("theta_max_deg", Calc!$C:$C, 0)))))</f>
        <v/>
      </c>
      <c r="D551" s="6" t="n"/>
      <c r="E551" s="6">
        <f>IF($C551="","", IF($D551="", $C551, $C551 - $D551/2))</f>
        <v/>
      </c>
      <c r="F551" s="6">
        <f>IF($C551="","", IF($D551="", $C551, $C551 + $D551/2))</f>
        <v/>
      </c>
      <c r="G551" s="6">
        <f>IF($E551="","", DEGREES(ATAN((INDEX(Calc!$E:$E, MATCH("KminusZ_m", Calc!$C:$C, 0)) - $E551 + $B551) / INDEX(Calc!$E:$E, MATCH("L_ramp_m", Calc!$C:$C, 0)))))</f>
        <v/>
      </c>
      <c r="H551" s="3">
        <f>IF($E551="","", IF(AND($E551&gt;=INDEX(Calc!$E:$E, MATCH("min_fwd_draft_m", Calc!$C:$C, 0)), $E551&lt;=INDEX(Calc!$E:$E, MATCH("max_fwd_draft_m", Calc!$C:$C, 0)), $G551&lt;=INDEX(Calc!$E:$E, MATCH("theta_max_deg", Calc!$C:$C, 0))), "OK", "CHECK"))</f>
        <v/>
      </c>
      <c r="I551" s="6">
        <f>IF($E551="","", INDEX(Calc!$E:$E, MATCH("D_vessel_m", Calc!$C:$C, 0)) - $E551 + $B551)</f>
        <v/>
      </c>
      <c r="J551" s="6">
        <f>IF($F551="","", INDEX(Calc!$E:$E, MATCH("D_vessel_m", Calc!$C:$C, 0)) - $F551 + $B551)</f>
        <v/>
      </c>
      <c r="K551" s="3">
        <f>IF(D551=0, "Even Keel", "")</f>
        <v/>
      </c>
    </row>
    <row r="552">
      <c r="A552" s="3">
        <f>IF(December_Tide_2025!A552="","",December_Tide_2025!A552)</f>
        <v/>
      </c>
      <c r="B552" s="6">
        <f>IF(December_Tide_2025!B552="","",December_Tide_2025!B552)</f>
        <v/>
      </c>
      <c r="C552" s="6">
        <f>IF($A552="","", INDEX(Calc!$E:$E, MATCH("KminusZ_m", Calc!$C:$C, 0)) + $B552 - INDEX(Calc!$E:$E, MATCH("L_ramp_m", Calc!$C:$C, 0)) * TAN(RADIANS(INDEX(Calc!$E:$E, MATCH("theta_max_deg", Calc!$C:$C, 0)))))</f>
        <v/>
      </c>
      <c r="D552" s="6" t="n"/>
      <c r="E552" s="6">
        <f>IF($C552="","", IF($D552="", $C552, $C552 - $D552/2))</f>
        <v/>
      </c>
      <c r="F552" s="6">
        <f>IF($C552="","", IF($D552="", $C552, $C552 + $D552/2))</f>
        <v/>
      </c>
      <c r="G552" s="6">
        <f>IF($E552="","", DEGREES(ATAN((INDEX(Calc!$E:$E, MATCH("KminusZ_m", Calc!$C:$C, 0)) - $E552 + $B552) / INDEX(Calc!$E:$E, MATCH("L_ramp_m", Calc!$C:$C, 0)))))</f>
        <v/>
      </c>
      <c r="H552" s="3">
        <f>IF($E552="","", IF(AND($E552&gt;=INDEX(Calc!$E:$E, MATCH("min_fwd_draft_m", Calc!$C:$C, 0)), $E552&lt;=INDEX(Calc!$E:$E, MATCH("max_fwd_draft_m", Calc!$C:$C, 0)), $G552&lt;=INDEX(Calc!$E:$E, MATCH("theta_max_deg", Calc!$C:$C, 0))), "OK", "CHECK"))</f>
        <v/>
      </c>
      <c r="I552" s="6">
        <f>IF($E552="","", INDEX(Calc!$E:$E, MATCH("D_vessel_m", Calc!$C:$C, 0)) - $E552 + $B552)</f>
        <v/>
      </c>
      <c r="J552" s="6">
        <f>IF($F552="","", INDEX(Calc!$E:$E, MATCH("D_vessel_m", Calc!$C:$C, 0)) - $F552 + $B552)</f>
        <v/>
      </c>
      <c r="K552" s="3">
        <f>IF(D552=0, "Even Keel", "")</f>
        <v/>
      </c>
    </row>
    <row r="553">
      <c r="A553" s="3">
        <f>IF(December_Tide_2025!A553="","",December_Tide_2025!A553)</f>
        <v/>
      </c>
      <c r="B553" s="6">
        <f>IF(December_Tide_2025!B553="","",December_Tide_2025!B553)</f>
        <v/>
      </c>
      <c r="C553" s="6">
        <f>IF($A553="","", INDEX(Calc!$E:$E, MATCH("KminusZ_m", Calc!$C:$C, 0)) + $B553 - INDEX(Calc!$E:$E, MATCH("L_ramp_m", Calc!$C:$C, 0)) * TAN(RADIANS(INDEX(Calc!$E:$E, MATCH("theta_max_deg", Calc!$C:$C, 0)))))</f>
        <v/>
      </c>
      <c r="D553" s="6" t="n"/>
      <c r="E553" s="6">
        <f>IF($C553="","", IF($D553="", $C553, $C553 - $D553/2))</f>
        <v/>
      </c>
      <c r="F553" s="6">
        <f>IF($C553="","", IF($D553="", $C553, $C553 + $D553/2))</f>
        <v/>
      </c>
      <c r="G553" s="6">
        <f>IF($E553="","", DEGREES(ATAN((INDEX(Calc!$E:$E, MATCH("KminusZ_m", Calc!$C:$C, 0)) - $E553 + $B553) / INDEX(Calc!$E:$E, MATCH("L_ramp_m", Calc!$C:$C, 0)))))</f>
        <v/>
      </c>
      <c r="H553" s="3">
        <f>IF($E553="","", IF(AND($E553&gt;=INDEX(Calc!$E:$E, MATCH("min_fwd_draft_m", Calc!$C:$C, 0)), $E553&lt;=INDEX(Calc!$E:$E, MATCH("max_fwd_draft_m", Calc!$C:$C, 0)), $G553&lt;=INDEX(Calc!$E:$E, MATCH("theta_max_deg", Calc!$C:$C, 0))), "OK", "CHECK"))</f>
        <v/>
      </c>
      <c r="I553" s="6">
        <f>IF($E553="","", INDEX(Calc!$E:$E, MATCH("D_vessel_m", Calc!$C:$C, 0)) - $E553 + $B553)</f>
        <v/>
      </c>
      <c r="J553" s="6">
        <f>IF($F553="","", INDEX(Calc!$E:$E, MATCH("D_vessel_m", Calc!$C:$C, 0)) - $F553 + $B553)</f>
        <v/>
      </c>
      <c r="K553" s="3">
        <f>IF(D553=0, "Even Keel", "")</f>
        <v/>
      </c>
    </row>
    <row r="554">
      <c r="A554" s="3">
        <f>IF(December_Tide_2025!A554="","",December_Tide_2025!A554)</f>
        <v/>
      </c>
      <c r="B554" s="6">
        <f>IF(December_Tide_2025!B554="","",December_Tide_2025!B554)</f>
        <v/>
      </c>
      <c r="C554" s="6">
        <f>IF($A554="","", INDEX(Calc!$E:$E, MATCH("KminusZ_m", Calc!$C:$C, 0)) + $B554 - INDEX(Calc!$E:$E, MATCH("L_ramp_m", Calc!$C:$C, 0)) * TAN(RADIANS(INDEX(Calc!$E:$E, MATCH("theta_max_deg", Calc!$C:$C, 0)))))</f>
        <v/>
      </c>
      <c r="D554" s="6" t="n"/>
      <c r="E554" s="6">
        <f>IF($C554="","", IF($D554="", $C554, $C554 - $D554/2))</f>
        <v/>
      </c>
      <c r="F554" s="6">
        <f>IF($C554="","", IF($D554="", $C554, $C554 + $D554/2))</f>
        <v/>
      </c>
      <c r="G554" s="6">
        <f>IF($E554="","", DEGREES(ATAN((INDEX(Calc!$E:$E, MATCH("KminusZ_m", Calc!$C:$C, 0)) - $E554 + $B554) / INDEX(Calc!$E:$E, MATCH("L_ramp_m", Calc!$C:$C, 0)))))</f>
        <v/>
      </c>
      <c r="H554" s="3">
        <f>IF($E554="","", IF(AND($E554&gt;=INDEX(Calc!$E:$E, MATCH("min_fwd_draft_m", Calc!$C:$C, 0)), $E554&lt;=INDEX(Calc!$E:$E, MATCH("max_fwd_draft_m", Calc!$C:$C, 0)), $G554&lt;=INDEX(Calc!$E:$E, MATCH("theta_max_deg", Calc!$C:$C, 0))), "OK", "CHECK"))</f>
        <v/>
      </c>
      <c r="I554" s="6">
        <f>IF($E554="","", INDEX(Calc!$E:$E, MATCH("D_vessel_m", Calc!$C:$C, 0)) - $E554 + $B554)</f>
        <v/>
      </c>
      <c r="J554" s="6">
        <f>IF($F554="","", INDEX(Calc!$E:$E, MATCH("D_vessel_m", Calc!$C:$C, 0)) - $F554 + $B554)</f>
        <v/>
      </c>
      <c r="K554" s="3">
        <f>IF(D554=0, "Even Keel", "")</f>
        <v/>
      </c>
    </row>
    <row r="555">
      <c r="A555" s="3">
        <f>IF(December_Tide_2025!A555="","",December_Tide_2025!A555)</f>
        <v/>
      </c>
      <c r="B555" s="6">
        <f>IF(December_Tide_2025!B555="","",December_Tide_2025!B555)</f>
        <v/>
      </c>
      <c r="C555" s="6">
        <f>IF($A555="","", INDEX(Calc!$E:$E, MATCH("KminusZ_m", Calc!$C:$C, 0)) + $B555 - INDEX(Calc!$E:$E, MATCH("L_ramp_m", Calc!$C:$C, 0)) * TAN(RADIANS(INDEX(Calc!$E:$E, MATCH("theta_max_deg", Calc!$C:$C, 0)))))</f>
        <v/>
      </c>
      <c r="D555" s="6" t="n"/>
      <c r="E555" s="6">
        <f>IF($C555="","", IF($D555="", $C555, $C555 - $D555/2))</f>
        <v/>
      </c>
      <c r="F555" s="6">
        <f>IF($C555="","", IF($D555="", $C555, $C555 + $D555/2))</f>
        <v/>
      </c>
      <c r="G555" s="6">
        <f>IF($E555="","", DEGREES(ATAN((INDEX(Calc!$E:$E, MATCH("KminusZ_m", Calc!$C:$C, 0)) - $E555 + $B555) / INDEX(Calc!$E:$E, MATCH("L_ramp_m", Calc!$C:$C, 0)))))</f>
        <v/>
      </c>
      <c r="H555" s="3">
        <f>IF($E555="","", IF(AND($E555&gt;=INDEX(Calc!$E:$E, MATCH("min_fwd_draft_m", Calc!$C:$C, 0)), $E555&lt;=INDEX(Calc!$E:$E, MATCH("max_fwd_draft_m", Calc!$C:$C, 0)), $G555&lt;=INDEX(Calc!$E:$E, MATCH("theta_max_deg", Calc!$C:$C, 0))), "OK", "CHECK"))</f>
        <v/>
      </c>
      <c r="I555" s="6">
        <f>IF($E555="","", INDEX(Calc!$E:$E, MATCH("D_vessel_m", Calc!$C:$C, 0)) - $E555 + $B555)</f>
        <v/>
      </c>
      <c r="J555" s="6">
        <f>IF($F555="","", INDEX(Calc!$E:$E, MATCH("D_vessel_m", Calc!$C:$C, 0)) - $F555 + $B555)</f>
        <v/>
      </c>
      <c r="K555" s="3">
        <f>IF(D555=0, "Even Keel", "")</f>
        <v/>
      </c>
    </row>
    <row r="556">
      <c r="A556" s="3">
        <f>IF(December_Tide_2025!A556="","",December_Tide_2025!A556)</f>
        <v/>
      </c>
      <c r="B556" s="6">
        <f>IF(December_Tide_2025!B556="","",December_Tide_2025!B556)</f>
        <v/>
      </c>
      <c r="C556" s="6">
        <f>IF($A556="","", INDEX(Calc!$E:$E, MATCH("KminusZ_m", Calc!$C:$C, 0)) + $B556 - INDEX(Calc!$E:$E, MATCH("L_ramp_m", Calc!$C:$C, 0)) * TAN(RADIANS(INDEX(Calc!$E:$E, MATCH("theta_max_deg", Calc!$C:$C, 0)))))</f>
        <v/>
      </c>
      <c r="D556" s="6" t="n"/>
      <c r="E556" s="6">
        <f>IF($C556="","", IF($D556="", $C556, $C556 - $D556/2))</f>
        <v/>
      </c>
      <c r="F556" s="6">
        <f>IF($C556="","", IF($D556="", $C556, $C556 + $D556/2))</f>
        <v/>
      </c>
      <c r="G556" s="6">
        <f>IF($E556="","", DEGREES(ATAN((INDEX(Calc!$E:$E, MATCH("KminusZ_m", Calc!$C:$C, 0)) - $E556 + $B556) / INDEX(Calc!$E:$E, MATCH("L_ramp_m", Calc!$C:$C, 0)))))</f>
        <v/>
      </c>
      <c r="H556" s="3">
        <f>IF($E556="","", IF(AND($E556&gt;=INDEX(Calc!$E:$E, MATCH("min_fwd_draft_m", Calc!$C:$C, 0)), $E556&lt;=INDEX(Calc!$E:$E, MATCH("max_fwd_draft_m", Calc!$C:$C, 0)), $G556&lt;=INDEX(Calc!$E:$E, MATCH("theta_max_deg", Calc!$C:$C, 0))), "OK", "CHECK"))</f>
        <v/>
      </c>
      <c r="I556" s="6">
        <f>IF($E556="","", INDEX(Calc!$E:$E, MATCH("D_vessel_m", Calc!$C:$C, 0)) - $E556 + $B556)</f>
        <v/>
      </c>
      <c r="J556" s="6">
        <f>IF($F556="","", INDEX(Calc!$E:$E, MATCH("D_vessel_m", Calc!$C:$C, 0)) - $F556 + $B556)</f>
        <v/>
      </c>
      <c r="K556" s="3">
        <f>IF(D556=0, "Even Keel", "")</f>
        <v/>
      </c>
    </row>
    <row r="557">
      <c r="A557" s="3">
        <f>IF(December_Tide_2025!A557="","",December_Tide_2025!A557)</f>
        <v/>
      </c>
      <c r="B557" s="6">
        <f>IF(December_Tide_2025!B557="","",December_Tide_2025!B557)</f>
        <v/>
      </c>
      <c r="C557" s="6">
        <f>IF($A557="","", INDEX(Calc!$E:$E, MATCH("KminusZ_m", Calc!$C:$C, 0)) + $B557 - INDEX(Calc!$E:$E, MATCH("L_ramp_m", Calc!$C:$C, 0)) * TAN(RADIANS(INDEX(Calc!$E:$E, MATCH("theta_max_deg", Calc!$C:$C, 0)))))</f>
        <v/>
      </c>
      <c r="D557" s="6" t="n"/>
      <c r="E557" s="6">
        <f>IF($C557="","", IF($D557="", $C557, $C557 - $D557/2))</f>
        <v/>
      </c>
      <c r="F557" s="6">
        <f>IF($C557="","", IF($D557="", $C557, $C557 + $D557/2))</f>
        <v/>
      </c>
      <c r="G557" s="6">
        <f>IF($E557="","", DEGREES(ATAN((INDEX(Calc!$E:$E, MATCH("KminusZ_m", Calc!$C:$C, 0)) - $E557 + $B557) / INDEX(Calc!$E:$E, MATCH("L_ramp_m", Calc!$C:$C, 0)))))</f>
        <v/>
      </c>
      <c r="H557" s="3">
        <f>IF($E557="","", IF(AND($E557&gt;=INDEX(Calc!$E:$E, MATCH("min_fwd_draft_m", Calc!$C:$C, 0)), $E557&lt;=INDEX(Calc!$E:$E, MATCH("max_fwd_draft_m", Calc!$C:$C, 0)), $G557&lt;=INDEX(Calc!$E:$E, MATCH("theta_max_deg", Calc!$C:$C, 0))), "OK", "CHECK"))</f>
        <v/>
      </c>
      <c r="I557" s="6">
        <f>IF($E557="","", INDEX(Calc!$E:$E, MATCH("D_vessel_m", Calc!$C:$C, 0)) - $E557 + $B557)</f>
        <v/>
      </c>
      <c r="J557" s="6">
        <f>IF($F557="","", INDEX(Calc!$E:$E, MATCH("D_vessel_m", Calc!$C:$C, 0)) - $F557 + $B557)</f>
        <v/>
      </c>
      <c r="K557" s="3">
        <f>IF(D557=0, "Even Keel", "")</f>
        <v/>
      </c>
    </row>
    <row r="558">
      <c r="A558" s="3">
        <f>IF(December_Tide_2025!A558="","",December_Tide_2025!A558)</f>
        <v/>
      </c>
      <c r="B558" s="6">
        <f>IF(December_Tide_2025!B558="","",December_Tide_2025!B558)</f>
        <v/>
      </c>
      <c r="C558" s="6">
        <f>IF($A558="","", INDEX(Calc!$E:$E, MATCH("KminusZ_m", Calc!$C:$C, 0)) + $B558 - INDEX(Calc!$E:$E, MATCH("L_ramp_m", Calc!$C:$C, 0)) * TAN(RADIANS(INDEX(Calc!$E:$E, MATCH("theta_max_deg", Calc!$C:$C, 0)))))</f>
        <v/>
      </c>
      <c r="D558" s="6" t="n"/>
      <c r="E558" s="6">
        <f>IF($C558="","", IF($D558="", $C558, $C558 - $D558/2))</f>
        <v/>
      </c>
      <c r="F558" s="6">
        <f>IF($C558="","", IF($D558="", $C558, $C558 + $D558/2))</f>
        <v/>
      </c>
      <c r="G558" s="6">
        <f>IF($E558="","", DEGREES(ATAN((INDEX(Calc!$E:$E, MATCH("KminusZ_m", Calc!$C:$C, 0)) - $E558 + $B558) / INDEX(Calc!$E:$E, MATCH("L_ramp_m", Calc!$C:$C, 0)))))</f>
        <v/>
      </c>
      <c r="H558" s="3">
        <f>IF($E558="","", IF(AND($E558&gt;=INDEX(Calc!$E:$E, MATCH("min_fwd_draft_m", Calc!$C:$C, 0)), $E558&lt;=INDEX(Calc!$E:$E, MATCH("max_fwd_draft_m", Calc!$C:$C, 0)), $G558&lt;=INDEX(Calc!$E:$E, MATCH("theta_max_deg", Calc!$C:$C, 0))), "OK", "CHECK"))</f>
        <v/>
      </c>
      <c r="I558" s="6">
        <f>IF($E558="","", INDEX(Calc!$E:$E, MATCH("D_vessel_m", Calc!$C:$C, 0)) - $E558 + $B558)</f>
        <v/>
      </c>
      <c r="J558" s="6">
        <f>IF($F558="","", INDEX(Calc!$E:$E, MATCH("D_vessel_m", Calc!$C:$C, 0)) - $F558 + $B558)</f>
        <v/>
      </c>
      <c r="K558" s="3">
        <f>IF(D558=0, "Even Keel", "")</f>
        <v/>
      </c>
    </row>
    <row r="559">
      <c r="A559" s="3">
        <f>IF(December_Tide_2025!A559="","",December_Tide_2025!A559)</f>
        <v/>
      </c>
      <c r="B559" s="6">
        <f>IF(December_Tide_2025!B559="","",December_Tide_2025!B559)</f>
        <v/>
      </c>
      <c r="C559" s="6">
        <f>IF($A559="","", INDEX(Calc!$E:$E, MATCH("KminusZ_m", Calc!$C:$C, 0)) + $B559 - INDEX(Calc!$E:$E, MATCH("L_ramp_m", Calc!$C:$C, 0)) * TAN(RADIANS(INDEX(Calc!$E:$E, MATCH("theta_max_deg", Calc!$C:$C, 0)))))</f>
        <v/>
      </c>
      <c r="D559" s="6" t="n"/>
      <c r="E559" s="6">
        <f>IF($C559="","", IF($D559="", $C559, $C559 - $D559/2))</f>
        <v/>
      </c>
      <c r="F559" s="6">
        <f>IF($C559="","", IF($D559="", $C559, $C559 + $D559/2))</f>
        <v/>
      </c>
      <c r="G559" s="6">
        <f>IF($E559="","", DEGREES(ATAN((INDEX(Calc!$E:$E, MATCH("KminusZ_m", Calc!$C:$C, 0)) - $E559 + $B559) / INDEX(Calc!$E:$E, MATCH("L_ramp_m", Calc!$C:$C, 0)))))</f>
        <v/>
      </c>
      <c r="H559" s="3">
        <f>IF($E559="","", IF(AND($E559&gt;=INDEX(Calc!$E:$E, MATCH("min_fwd_draft_m", Calc!$C:$C, 0)), $E559&lt;=INDEX(Calc!$E:$E, MATCH("max_fwd_draft_m", Calc!$C:$C, 0)), $G559&lt;=INDEX(Calc!$E:$E, MATCH("theta_max_deg", Calc!$C:$C, 0))), "OK", "CHECK"))</f>
        <v/>
      </c>
      <c r="I559" s="6">
        <f>IF($E559="","", INDEX(Calc!$E:$E, MATCH("D_vessel_m", Calc!$C:$C, 0)) - $E559 + $B559)</f>
        <v/>
      </c>
      <c r="J559" s="6">
        <f>IF($F559="","", INDEX(Calc!$E:$E, MATCH("D_vessel_m", Calc!$C:$C, 0)) - $F559 + $B559)</f>
        <v/>
      </c>
      <c r="K559" s="3">
        <f>IF(D559=0, "Even Keel", "")</f>
        <v/>
      </c>
    </row>
    <row r="560">
      <c r="A560" s="3">
        <f>IF(December_Tide_2025!A560="","",December_Tide_2025!A560)</f>
        <v/>
      </c>
      <c r="B560" s="6">
        <f>IF(December_Tide_2025!B560="","",December_Tide_2025!B560)</f>
        <v/>
      </c>
      <c r="C560" s="6">
        <f>IF($A560="","", INDEX(Calc!$E:$E, MATCH("KminusZ_m", Calc!$C:$C, 0)) + $B560 - INDEX(Calc!$E:$E, MATCH("L_ramp_m", Calc!$C:$C, 0)) * TAN(RADIANS(INDEX(Calc!$E:$E, MATCH("theta_max_deg", Calc!$C:$C, 0)))))</f>
        <v/>
      </c>
      <c r="D560" s="6" t="n"/>
      <c r="E560" s="6">
        <f>IF($C560="","", IF($D560="", $C560, $C560 - $D560/2))</f>
        <v/>
      </c>
      <c r="F560" s="6">
        <f>IF($C560="","", IF($D560="", $C560, $C560 + $D560/2))</f>
        <v/>
      </c>
      <c r="G560" s="6">
        <f>IF($E560="","", DEGREES(ATAN((INDEX(Calc!$E:$E, MATCH("KminusZ_m", Calc!$C:$C, 0)) - $E560 + $B560) / INDEX(Calc!$E:$E, MATCH("L_ramp_m", Calc!$C:$C, 0)))))</f>
        <v/>
      </c>
      <c r="H560" s="3">
        <f>IF($E560="","", IF(AND($E560&gt;=INDEX(Calc!$E:$E, MATCH("min_fwd_draft_m", Calc!$C:$C, 0)), $E560&lt;=INDEX(Calc!$E:$E, MATCH("max_fwd_draft_m", Calc!$C:$C, 0)), $G560&lt;=INDEX(Calc!$E:$E, MATCH("theta_max_deg", Calc!$C:$C, 0))), "OK", "CHECK"))</f>
        <v/>
      </c>
      <c r="I560" s="6">
        <f>IF($E560="","", INDEX(Calc!$E:$E, MATCH("D_vessel_m", Calc!$C:$C, 0)) - $E560 + $B560)</f>
        <v/>
      </c>
      <c r="J560" s="6">
        <f>IF($F560="","", INDEX(Calc!$E:$E, MATCH("D_vessel_m", Calc!$C:$C, 0)) - $F560 + $B560)</f>
        <v/>
      </c>
      <c r="K560" s="3">
        <f>IF(D560=0, "Even Keel", "")</f>
        <v/>
      </c>
    </row>
    <row r="561">
      <c r="A561" s="3">
        <f>IF(December_Tide_2025!A561="","",December_Tide_2025!A561)</f>
        <v/>
      </c>
      <c r="B561" s="6">
        <f>IF(December_Tide_2025!B561="","",December_Tide_2025!B561)</f>
        <v/>
      </c>
      <c r="C561" s="6">
        <f>IF($A561="","", INDEX(Calc!$E:$E, MATCH("KminusZ_m", Calc!$C:$C, 0)) + $B561 - INDEX(Calc!$E:$E, MATCH("L_ramp_m", Calc!$C:$C, 0)) * TAN(RADIANS(INDEX(Calc!$E:$E, MATCH("theta_max_deg", Calc!$C:$C, 0)))))</f>
        <v/>
      </c>
      <c r="D561" s="6" t="n"/>
      <c r="E561" s="6">
        <f>IF($C561="","", IF($D561="", $C561, $C561 - $D561/2))</f>
        <v/>
      </c>
      <c r="F561" s="6">
        <f>IF($C561="","", IF($D561="", $C561, $C561 + $D561/2))</f>
        <v/>
      </c>
      <c r="G561" s="6">
        <f>IF($E561="","", DEGREES(ATAN((INDEX(Calc!$E:$E, MATCH("KminusZ_m", Calc!$C:$C, 0)) - $E561 + $B561) / INDEX(Calc!$E:$E, MATCH("L_ramp_m", Calc!$C:$C, 0)))))</f>
        <v/>
      </c>
      <c r="H561" s="3">
        <f>IF($E561="","", IF(AND($E561&gt;=INDEX(Calc!$E:$E, MATCH("min_fwd_draft_m", Calc!$C:$C, 0)), $E561&lt;=INDEX(Calc!$E:$E, MATCH("max_fwd_draft_m", Calc!$C:$C, 0)), $G561&lt;=INDEX(Calc!$E:$E, MATCH("theta_max_deg", Calc!$C:$C, 0))), "OK", "CHECK"))</f>
        <v/>
      </c>
      <c r="I561" s="6">
        <f>IF($E561="","", INDEX(Calc!$E:$E, MATCH("D_vessel_m", Calc!$C:$C, 0)) - $E561 + $B561)</f>
        <v/>
      </c>
      <c r="J561" s="6">
        <f>IF($F561="","", INDEX(Calc!$E:$E, MATCH("D_vessel_m", Calc!$C:$C, 0)) - $F561 + $B561)</f>
        <v/>
      </c>
      <c r="K561" s="3">
        <f>IF(D561=0, "Even Keel", "")</f>
        <v/>
      </c>
    </row>
    <row r="562">
      <c r="A562" s="3">
        <f>IF(December_Tide_2025!A562="","",December_Tide_2025!A562)</f>
        <v/>
      </c>
      <c r="B562" s="6">
        <f>IF(December_Tide_2025!B562="","",December_Tide_2025!B562)</f>
        <v/>
      </c>
      <c r="C562" s="6">
        <f>IF($A562="","", INDEX(Calc!$E:$E, MATCH("KminusZ_m", Calc!$C:$C, 0)) + $B562 - INDEX(Calc!$E:$E, MATCH("L_ramp_m", Calc!$C:$C, 0)) * TAN(RADIANS(INDEX(Calc!$E:$E, MATCH("theta_max_deg", Calc!$C:$C, 0)))))</f>
        <v/>
      </c>
      <c r="D562" s="6" t="n"/>
      <c r="E562" s="6">
        <f>IF($C562="","", IF($D562="", $C562, $C562 - $D562/2))</f>
        <v/>
      </c>
      <c r="F562" s="6">
        <f>IF($C562="","", IF($D562="", $C562, $C562 + $D562/2))</f>
        <v/>
      </c>
      <c r="G562" s="6">
        <f>IF($E562="","", DEGREES(ATAN((INDEX(Calc!$E:$E, MATCH("KminusZ_m", Calc!$C:$C, 0)) - $E562 + $B562) / INDEX(Calc!$E:$E, MATCH("L_ramp_m", Calc!$C:$C, 0)))))</f>
        <v/>
      </c>
      <c r="H562" s="3">
        <f>IF($E562="","", IF(AND($E562&gt;=INDEX(Calc!$E:$E, MATCH("min_fwd_draft_m", Calc!$C:$C, 0)), $E562&lt;=INDEX(Calc!$E:$E, MATCH("max_fwd_draft_m", Calc!$C:$C, 0)), $G562&lt;=INDEX(Calc!$E:$E, MATCH("theta_max_deg", Calc!$C:$C, 0))), "OK", "CHECK"))</f>
        <v/>
      </c>
      <c r="I562" s="6">
        <f>IF($E562="","", INDEX(Calc!$E:$E, MATCH("D_vessel_m", Calc!$C:$C, 0)) - $E562 + $B562)</f>
        <v/>
      </c>
      <c r="J562" s="6">
        <f>IF($F562="","", INDEX(Calc!$E:$E, MATCH("D_vessel_m", Calc!$C:$C, 0)) - $F562 + $B562)</f>
        <v/>
      </c>
      <c r="K562" s="3">
        <f>IF(D562=0, "Even Keel", "")</f>
        <v/>
      </c>
    </row>
    <row r="563">
      <c r="A563" s="3">
        <f>IF(December_Tide_2025!A563="","",December_Tide_2025!A563)</f>
        <v/>
      </c>
      <c r="B563" s="6">
        <f>IF(December_Tide_2025!B563="","",December_Tide_2025!B563)</f>
        <v/>
      </c>
      <c r="C563" s="6">
        <f>IF($A563="","", INDEX(Calc!$E:$E, MATCH("KminusZ_m", Calc!$C:$C, 0)) + $B563 - INDEX(Calc!$E:$E, MATCH("L_ramp_m", Calc!$C:$C, 0)) * TAN(RADIANS(INDEX(Calc!$E:$E, MATCH("theta_max_deg", Calc!$C:$C, 0)))))</f>
        <v/>
      </c>
      <c r="D563" s="6" t="n"/>
      <c r="E563" s="6">
        <f>IF($C563="","", IF($D563="", $C563, $C563 - $D563/2))</f>
        <v/>
      </c>
      <c r="F563" s="6">
        <f>IF($C563="","", IF($D563="", $C563, $C563 + $D563/2))</f>
        <v/>
      </c>
      <c r="G563" s="6">
        <f>IF($E563="","", DEGREES(ATAN((INDEX(Calc!$E:$E, MATCH("KminusZ_m", Calc!$C:$C, 0)) - $E563 + $B563) / INDEX(Calc!$E:$E, MATCH("L_ramp_m", Calc!$C:$C, 0)))))</f>
        <v/>
      </c>
      <c r="H563" s="3">
        <f>IF($E563="","", IF(AND($E563&gt;=INDEX(Calc!$E:$E, MATCH("min_fwd_draft_m", Calc!$C:$C, 0)), $E563&lt;=INDEX(Calc!$E:$E, MATCH("max_fwd_draft_m", Calc!$C:$C, 0)), $G563&lt;=INDEX(Calc!$E:$E, MATCH("theta_max_deg", Calc!$C:$C, 0))), "OK", "CHECK"))</f>
        <v/>
      </c>
      <c r="I563" s="6">
        <f>IF($E563="","", INDEX(Calc!$E:$E, MATCH("D_vessel_m", Calc!$C:$C, 0)) - $E563 + $B563)</f>
        <v/>
      </c>
      <c r="J563" s="6">
        <f>IF($F563="","", INDEX(Calc!$E:$E, MATCH("D_vessel_m", Calc!$C:$C, 0)) - $F563 + $B563)</f>
        <v/>
      </c>
      <c r="K563" s="3">
        <f>IF(D563=0, "Even Keel", "")</f>
        <v/>
      </c>
    </row>
    <row r="564">
      <c r="A564" s="3">
        <f>IF(December_Tide_2025!A564="","",December_Tide_2025!A564)</f>
        <v/>
      </c>
      <c r="B564" s="6">
        <f>IF(December_Tide_2025!B564="","",December_Tide_2025!B564)</f>
        <v/>
      </c>
      <c r="C564" s="6">
        <f>IF($A564="","", INDEX(Calc!$E:$E, MATCH("KminusZ_m", Calc!$C:$C, 0)) + $B564 - INDEX(Calc!$E:$E, MATCH("L_ramp_m", Calc!$C:$C, 0)) * TAN(RADIANS(INDEX(Calc!$E:$E, MATCH("theta_max_deg", Calc!$C:$C, 0)))))</f>
        <v/>
      </c>
      <c r="D564" s="6" t="n"/>
      <c r="E564" s="6">
        <f>IF($C564="","", IF($D564="", $C564, $C564 - $D564/2))</f>
        <v/>
      </c>
      <c r="F564" s="6">
        <f>IF($C564="","", IF($D564="", $C564, $C564 + $D564/2))</f>
        <v/>
      </c>
      <c r="G564" s="6">
        <f>IF($E564="","", DEGREES(ATAN((INDEX(Calc!$E:$E, MATCH("KminusZ_m", Calc!$C:$C, 0)) - $E564 + $B564) / INDEX(Calc!$E:$E, MATCH("L_ramp_m", Calc!$C:$C, 0)))))</f>
        <v/>
      </c>
      <c r="H564" s="3">
        <f>IF($E564="","", IF(AND($E564&gt;=INDEX(Calc!$E:$E, MATCH("min_fwd_draft_m", Calc!$C:$C, 0)), $E564&lt;=INDEX(Calc!$E:$E, MATCH("max_fwd_draft_m", Calc!$C:$C, 0)), $G564&lt;=INDEX(Calc!$E:$E, MATCH("theta_max_deg", Calc!$C:$C, 0))), "OK", "CHECK"))</f>
        <v/>
      </c>
      <c r="I564" s="6">
        <f>IF($E564="","", INDEX(Calc!$E:$E, MATCH("D_vessel_m", Calc!$C:$C, 0)) - $E564 + $B564)</f>
        <v/>
      </c>
      <c r="J564" s="6">
        <f>IF($F564="","", INDEX(Calc!$E:$E, MATCH("D_vessel_m", Calc!$C:$C, 0)) - $F564 + $B564)</f>
        <v/>
      </c>
      <c r="K564" s="3">
        <f>IF(D564=0, "Even Keel", "")</f>
        <v/>
      </c>
    </row>
    <row r="565">
      <c r="A565" s="3">
        <f>IF(December_Tide_2025!A565="","",December_Tide_2025!A565)</f>
        <v/>
      </c>
      <c r="B565" s="6">
        <f>IF(December_Tide_2025!B565="","",December_Tide_2025!B565)</f>
        <v/>
      </c>
      <c r="C565" s="6">
        <f>IF($A565="","", INDEX(Calc!$E:$E, MATCH("KminusZ_m", Calc!$C:$C, 0)) + $B565 - INDEX(Calc!$E:$E, MATCH("L_ramp_m", Calc!$C:$C, 0)) * TAN(RADIANS(INDEX(Calc!$E:$E, MATCH("theta_max_deg", Calc!$C:$C, 0)))))</f>
        <v/>
      </c>
      <c r="D565" s="6" t="n"/>
      <c r="E565" s="6">
        <f>IF($C565="","", IF($D565="", $C565, $C565 - $D565/2))</f>
        <v/>
      </c>
      <c r="F565" s="6">
        <f>IF($C565="","", IF($D565="", $C565, $C565 + $D565/2))</f>
        <v/>
      </c>
      <c r="G565" s="6">
        <f>IF($E565="","", DEGREES(ATAN((INDEX(Calc!$E:$E, MATCH("KminusZ_m", Calc!$C:$C, 0)) - $E565 + $B565) / INDEX(Calc!$E:$E, MATCH("L_ramp_m", Calc!$C:$C, 0)))))</f>
        <v/>
      </c>
      <c r="H565" s="3">
        <f>IF($E565="","", IF(AND($E565&gt;=INDEX(Calc!$E:$E, MATCH("min_fwd_draft_m", Calc!$C:$C, 0)), $E565&lt;=INDEX(Calc!$E:$E, MATCH("max_fwd_draft_m", Calc!$C:$C, 0)), $G565&lt;=INDEX(Calc!$E:$E, MATCH("theta_max_deg", Calc!$C:$C, 0))), "OK", "CHECK"))</f>
        <v/>
      </c>
      <c r="I565" s="6">
        <f>IF($E565="","", INDEX(Calc!$E:$E, MATCH("D_vessel_m", Calc!$C:$C, 0)) - $E565 + $B565)</f>
        <v/>
      </c>
      <c r="J565" s="6">
        <f>IF($F565="","", INDEX(Calc!$E:$E, MATCH("D_vessel_m", Calc!$C:$C, 0)) - $F565 + $B565)</f>
        <v/>
      </c>
      <c r="K565" s="3">
        <f>IF(D565=0, "Even Keel", "")</f>
        <v/>
      </c>
    </row>
    <row r="566">
      <c r="A566" s="3">
        <f>IF(December_Tide_2025!A566="","",December_Tide_2025!A566)</f>
        <v/>
      </c>
      <c r="B566" s="6">
        <f>IF(December_Tide_2025!B566="","",December_Tide_2025!B566)</f>
        <v/>
      </c>
      <c r="C566" s="6">
        <f>IF($A566="","", INDEX(Calc!$E:$E, MATCH("KminusZ_m", Calc!$C:$C, 0)) + $B566 - INDEX(Calc!$E:$E, MATCH("L_ramp_m", Calc!$C:$C, 0)) * TAN(RADIANS(INDEX(Calc!$E:$E, MATCH("theta_max_deg", Calc!$C:$C, 0)))))</f>
        <v/>
      </c>
      <c r="D566" s="6" t="n"/>
      <c r="E566" s="6">
        <f>IF($C566="","", IF($D566="", $C566, $C566 - $D566/2))</f>
        <v/>
      </c>
      <c r="F566" s="6">
        <f>IF($C566="","", IF($D566="", $C566, $C566 + $D566/2))</f>
        <v/>
      </c>
      <c r="G566" s="6">
        <f>IF($E566="","", DEGREES(ATAN((INDEX(Calc!$E:$E, MATCH("KminusZ_m", Calc!$C:$C, 0)) - $E566 + $B566) / INDEX(Calc!$E:$E, MATCH("L_ramp_m", Calc!$C:$C, 0)))))</f>
        <v/>
      </c>
      <c r="H566" s="3">
        <f>IF($E566="","", IF(AND($E566&gt;=INDEX(Calc!$E:$E, MATCH("min_fwd_draft_m", Calc!$C:$C, 0)), $E566&lt;=INDEX(Calc!$E:$E, MATCH("max_fwd_draft_m", Calc!$C:$C, 0)), $G566&lt;=INDEX(Calc!$E:$E, MATCH("theta_max_deg", Calc!$C:$C, 0))), "OK", "CHECK"))</f>
        <v/>
      </c>
      <c r="I566" s="6">
        <f>IF($E566="","", INDEX(Calc!$E:$E, MATCH("D_vessel_m", Calc!$C:$C, 0)) - $E566 + $B566)</f>
        <v/>
      </c>
      <c r="J566" s="6">
        <f>IF($F566="","", INDEX(Calc!$E:$E, MATCH("D_vessel_m", Calc!$C:$C, 0)) - $F566 + $B566)</f>
        <v/>
      </c>
      <c r="K566" s="3">
        <f>IF(D566=0, "Even Keel", "")</f>
        <v/>
      </c>
    </row>
    <row r="567">
      <c r="A567" s="3">
        <f>IF(December_Tide_2025!A567="","",December_Tide_2025!A567)</f>
        <v/>
      </c>
      <c r="B567" s="6">
        <f>IF(December_Tide_2025!B567="","",December_Tide_2025!B567)</f>
        <v/>
      </c>
      <c r="C567" s="6">
        <f>IF($A567="","", INDEX(Calc!$E:$E, MATCH("KminusZ_m", Calc!$C:$C, 0)) + $B567 - INDEX(Calc!$E:$E, MATCH("L_ramp_m", Calc!$C:$C, 0)) * TAN(RADIANS(INDEX(Calc!$E:$E, MATCH("theta_max_deg", Calc!$C:$C, 0)))))</f>
        <v/>
      </c>
      <c r="D567" s="6" t="n"/>
      <c r="E567" s="6">
        <f>IF($C567="","", IF($D567="", $C567, $C567 - $D567/2))</f>
        <v/>
      </c>
      <c r="F567" s="6">
        <f>IF($C567="","", IF($D567="", $C567, $C567 + $D567/2))</f>
        <v/>
      </c>
      <c r="G567" s="6">
        <f>IF($E567="","", DEGREES(ATAN((INDEX(Calc!$E:$E, MATCH("KminusZ_m", Calc!$C:$C, 0)) - $E567 + $B567) / INDEX(Calc!$E:$E, MATCH("L_ramp_m", Calc!$C:$C, 0)))))</f>
        <v/>
      </c>
      <c r="H567" s="3">
        <f>IF($E567="","", IF(AND($E567&gt;=INDEX(Calc!$E:$E, MATCH("min_fwd_draft_m", Calc!$C:$C, 0)), $E567&lt;=INDEX(Calc!$E:$E, MATCH("max_fwd_draft_m", Calc!$C:$C, 0)), $G567&lt;=INDEX(Calc!$E:$E, MATCH("theta_max_deg", Calc!$C:$C, 0))), "OK", "CHECK"))</f>
        <v/>
      </c>
      <c r="I567" s="6">
        <f>IF($E567="","", INDEX(Calc!$E:$E, MATCH("D_vessel_m", Calc!$C:$C, 0)) - $E567 + $B567)</f>
        <v/>
      </c>
      <c r="J567" s="6">
        <f>IF($F567="","", INDEX(Calc!$E:$E, MATCH("D_vessel_m", Calc!$C:$C, 0)) - $F567 + $B567)</f>
        <v/>
      </c>
      <c r="K567" s="3">
        <f>IF(D567=0, "Even Keel", "")</f>
        <v/>
      </c>
    </row>
    <row r="568">
      <c r="A568" s="3">
        <f>IF(December_Tide_2025!A568="","",December_Tide_2025!A568)</f>
        <v/>
      </c>
      <c r="B568" s="6">
        <f>IF(December_Tide_2025!B568="","",December_Tide_2025!B568)</f>
        <v/>
      </c>
      <c r="C568" s="6">
        <f>IF($A568="","", INDEX(Calc!$E:$E, MATCH("KminusZ_m", Calc!$C:$C, 0)) + $B568 - INDEX(Calc!$E:$E, MATCH("L_ramp_m", Calc!$C:$C, 0)) * TAN(RADIANS(INDEX(Calc!$E:$E, MATCH("theta_max_deg", Calc!$C:$C, 0)))))</f>
        <v/>
      </c>
      <c r="D568" s="6" t="n"/>
      <c r="E568" s="6">
        <f>IF($C568="","", IF($D568="", $C568, $C568 - $D568/2))</f>
        <v/>
      </c>
      <c r="F568" s="6">
        <f>IF($C568="","", IF($D568="", $C568, $C568 + $D568/2))</f>
        <v/>
      </c>
      <c r="G568" s="6">
        <f>IF($E568="","", DEGREES(ATAN((INDEX(Calc!$E:$E, MATCH("KminusZ_m", Calc!$C:$C, 0)) - $E568 + $B568) / INDEX(Calc!$E:$E, MATCH("L_ramp_m", Calc!$C:$C, 0)))))</f>
        <v/>
      </c>
      <c r="H568" s="3">
        <f>IF($E568="","", IF(AND($E568&gt;=INDEX(Calc!$E:$E, MATCH("min_fwd_draft_m", Calc!$C:$C, 0)), $E568&lt;=INDEX(Calc!$E:$E, MATCH("max_fwd_draft_m", Calc!$C:$C, 0)), $G568&lt;=INDEX(Calc!$E:$E, MATCH("theta_max_deg", Calc!$C:$C, 0))), "OK", "CHECK"))</f>
        <v/>
      </c>
      <c r="I568" s="6">
        <f>IF($E568="","", INDEX(Calc!$E:$E, MATCH("D_vessel_m", Calc!$C:$C, 0)) - $E568 + $B568)</f>
        <v/>
      </c>
      <c r="J568" s="6">
        <f>IF($F568="","", INDEX(Calc!$E:$E, MATCH("D_vessel_m", Calc!$C:$C, 0)) - $F568 + $B568)</f>
        <v/>
      </c>
      <c r="K568" s="3">
        <f>IF(D568=0, "Even Keel", "")</f>
        <v/>
      </c>
    </row>
    <row r="569">
      <c r="A569" s="3">
        <f>IF(December_Tide_2025!A569="","",December_Tide_2025!A569)</f>
        <v/>
      </c>
      <c r="B569" s="6">
        <f>IF(December_Tide_2025!B569="","",December_Tide_2025!B569)</f>
        <v/>
      </c>
      <c r="C569" s="6">
        <f>IF($A569="","", INDEX(Calc!$E:$E, MATCH("KminusZ_m", Calc!$C:$C, 0)) + $B569 - INDEX(Calc!$E:$E, MATCH("L_ramp_m", Calc!$C:$C, 0)) * TAN(RADIANS(INDEX(Calc!$E:$E, MATCH("theta_max_deg", Calc!$C:$C, 0)))))</f>
        <v/>
      </c>
      <c r="D569" s="6" t="n"/>
      <c r="E569" s="6">
        <f>IF($C569="","", IF($D569="", $C569, $C569 - $D569/2))</f>
        <v/>
      </c>
      <c r="F569" s="6">
        <f>IF($C569="","", IF($D569="", $C569, $C569 + $D569/2))</f>
        <v/>
      </c>
      <c r="G569" s="6">
        <f>IF($E569="","", DEGREES(ATAN((INDEX(Calc!$E:$E, MATCH("KminusZ_m", Calc!$C:$C, 0)) - $E569 + $B569) / INDEX(Calc!$E:$E, MATCH("L_ramp_m", Calc!$C:$C, 0)))))</f>
        <v/>
      </c>
      <c r="H569" s="3">
        <f>IF($E569="","", IF(AND($E569&gt;=INDEX(Calc!$E:$E, MATCH("min_fwd_draft_m", Calc!$C:$C, 0)), $E569&lt;=INDEX(Calc!$E:$E, MATCH("max_fwd_draft_m", Calc!$C:$C, 0)), $G569&lt;=INDEX(Calc!$E:$E, MATCH("theta_max_deg", Calc!$C:$C, 0))), "OK", "CHECK"))</f>
        <v/>
      </c>
      <c r="I569" s="6">
        <f>IF($E569="","", INDEX(Calc!$E:$E, MATCH("D_vessel_m", Calc!$C:$C, 0)) - $E569 + $B569)</f>
        <v/>
      </c>
      <c r="J569" s="6">
        <f>IF($F569="","", INDEX(Calc!$E:$E, MATCH("D_vessel_m", Calc!$C:$C, 0)) - $F569 + $B569)</f>
        <v/>
      </c>
      <c r="K569" s="3">
        <f>IF(D569=0, "Even Keel", "")</f>
        <v/>
      </c>
    </row>
    <row r="570">
      <c r="A570" s="3">
        <f>IF(December_Tide_2025!A570="","",December_Tide_2025!A570)</f>
        <v/>
      </c>
      <c r="B570" s="6">
        <f>IF(December_Tide_2025!B570="","",December_Tide_2025!B570)</f>
        <v/>
      </c>
      <c r="C570" s="6">
        <f>IF($A570="","", INDEX(Calc!$E:$E, MATCH("KminusZ_m", Calc!$C:$C, 0)) + $B570 - INDEX(Calc!$E:$E, MATCH("L_ramp_m", Calc!$C:$C, 0)) * TAN(RADIANS(INDEX(Calc!$E:$E, MATCH("theta_max_deg", Calc!$C:$C, 0)))))</f>
        <v/>
      </c>
      <c r="D570" s="6" t="n"/>
      <c r="E570" s="6">
        <f>IF($C570="","", IF($D570="", $C570, $C570 - $D570/2))</f>
        <v/>
      </c>
      <c r="F570" s="6">
        <f>IF($C570="","", IF($D570="", $C570, $C570 + $D570/2))</f>
        <v/>
      </c>
      <c r="G570" s="6">
        <f>IF($E570="","", DEGREES(ATAN((INDEX(Calc!$E:$E, MATCH("KminusZ_m", Calc!$C:$C, 0)) - $E570 + $B570) / INDEX(Calc!$E:$E, MATCH("L_ramp_m", Calc!$C:$C, 0)))))</f>
        <v/>
      </c>
      <c r="H570" s="3">
        <f>IF($E570="","", IF(AND($E570&gt;=INDEX(Calc!$E:$E, MATCH("min_fwd_draft_m", Calc!$C:$C, 0)), $E570&lt;=INDEX(Calc!$E:$E, MATCH("max_fwd_draft_m", Calc!$C:$C, 0)), $G570&lt;=INDEX(Calc!$E:$E, MATCH("theta_max_deg", Calc!$C:$C, 0))), "OK", "CHECK"))</f>
        <v/>
      </c>
      <c r="I570" s="6">
        <f>IF($E570="","", INDEX(Calc!$E:$E, MATCH("D_vessel_m", Calc!$C:$C, 0)) - $E570 + $B570)</f>
        <v/>
      </c>
      <c r="J570" s="6">
        <f>IF($F570="","", INDEX(Calc!$E:$E, MATCH("D_vessel_m", Calc!$C:$C, 0)) - $F570 + $B570)</f>
        <v/>
      </c>
      <c r="K570" s="3">
        <f>IF(D570=0, "Even Keel", "")</f>
        <v/>
      </c>
    </row>
    <row r="571">
      <c r="A571" s="3">
        <f>IF(December_Tide_2025!A571="","",December_Tide_2025!A571)</f>
        <v/>
      </c>
      <c r="B571" s="6">
        <f>IF(December_Tide_2025!B571="","",December_Tide_2025!B571)</f>
        <v/>
      </c>
      <c r="C571" s="6">
        <f>IF($A571="","", INDEX(Calc!$E:$E, MATCH("KminusZ_m", Calc!$C:$C, 0)) + $B571 - INDEX(Calc!$E:$E, MATCH("L_ramp_m", Calc!$C:$C, 0)) * TAN(RADIANS(INDEX(Calc!$E:$E, MATCH("theta_max_deg", Calc!$C:$C, 0)))))</f>
        <v/>
      </c>
      <c r="D571" s="6" t="n"/>
      <c r="E571" s="6">
        <f>IF($C571="","", IF($D571="", $C571, $C571 - $D571/2))</f>
        <v/>
      </c>
      <c r="F571" s="6">
        <f>IF($C571="","", IF($D571="", $C571, $C571 + $D571/2))</f>
        <v/>
      </c>
      <c r="G571" s="6">
        <f>IF($E571="","", DEGREES(ATAN((INDEX(Calc!$E:$E, MATCH("KminusZ_m", Calc!$C:$C, 0)) - $E571 + $B571) / INDEX(Calc!$E:$E, MATCH("L_ramp_m", Calc!$C:$C, 0)))))</f>
        <v/>
      </c>
      <c r="H571" s="3">
        <f>IF($E571="","", IF(AND($E571&gt;=INDEX(Calc!$E:$E, MATCH("min_fwd_draft_m", Calc!$C:$C, 0)), $E571&lt;=INDEX(Calc!$E:$E, MATCH("max_fwd_draft_m", Calc!$C:$C, 0)), $G571&lt;=INDEX(Calc!$E:$E, MATCH("theta_max_deg", Calc!$C:$C, 0))), "OK", "CHECK"))</f>
        <v/>
      </c>
      <c r="I571" s="6">
        <f>IF($E571="","", INDEX(Calc!$E:$E, MATCH("D_vessel_m", Calc!$C:$C, 0)) - $E571 + $B571)</f>
        <v/>
      </c>
      <c r="J571" s="6">
        <f>IF($F571="","", INDEX(Calc!$E:$E, MATCH("D_vessel_m", Calc!$C:$C, 0)) - $F571 + $B571)</f>
        <v/>
      </c>
      <c r="K571" s="3">
        <f>IF(D571=0, "Even Keel", "")</f>
        <v/>
      </c>
    </row>
    <row r="572">
      <c r="A572" s="3">
        <f>IF(December_Tide_2025!A572="","",December_Tide_2025!A572)</f>
        <v/>
      </c>
      <c r="B572" s="6">
        <f>IF(December_Tide_2025!B572="","",December_Tide_2025!B572)</f>
        <v/>
      </c>
      <c r="C572" s="6">
        <f>IF($A572="","", INDEX(Calc!$E:$E, MATCH("KminusZ_m", Calc!$C:$C, 0)) + $B572 - INDEX(Calc!$E:$E, MATCH("L_ramp_m", Calc!$C:$C, 0)) * TAN(RADIANS(INDEX(Calc!$E:$E, MATCH("theta_max_deg", Calc!$C:$C, 0)))))</f>
        <v/>
      </c>
      <c r="D572" s="6" t="n"/>
      <c r="E572" s="6">
        <f>IF($C572="","", IF($D572="", $C572, $C572 - $D572/2))</f>
        <v/>
      </c>
      <c r="F572" s="6">
        <f>IF($C572="","", IF($D572="", $C572, $C572 + $D572/2))</f>
        <v/>
      </c>
      <c r="G572" s="6">
        <f>IF($E572="","", DEGREES(ATAN((INDEX(Calc!$E:$E, MATCH("KminusZ_m", Calc!$C:$C, 0)) - $E572 + $B572) / INDEX(Calc!$E:$E, MATCH("L_ramp_m", Calc!$C:$C, 0)))))</f>
        <v/>
      </c>
      <c r="H572" s="3">
        <f>IF($E572="","", IF(AND($E572&gt;=INDEX(Calc!$E:$E, MATCH("min_fwd_draft_m", Calc!$C:$C, 0)), $E572&lt;=INDEX(Calc!$E:$E, MATCH("max_fwd_draft_m", Calc!$C:$C, 0)), $G572&lt;=INDEX(Calc!$E:$E, MATCH("theta_max_deg", Calc!$C:$C, 0))), "OK", "CHECK"))</f>
        <v/>
      </c>
      <c r="I572" s="6">
        <f>IF($E572="","", INDEX(Calc!$E:$E, MATCH("D_vessel_m", Calc!$C:$C, 0)) - $E572 + $B572)</f>
        <v/>
      </c>
      <c r="J572" s="6">
        <f>IF($F572="","", INDEX(Calc!$E:$E, MATCH("D_vessel_m", Calc!$C:$C, 0)) - $F572 + $B572)</f>
        <v/>
      </c>
      <c r="K572" s="3">
        <f>IF(D572=0, "Even Keel", "")</f>
        <v/>
      </c>
    </row>
    <row r="573">
      <c r="A573" s="3">
        <f>IF(December_Tide_2025!A573="","",December_Tide_2025!A573)</f>
        <v/>
      </c>
      <c r="B573" s="6">
        <f>IF(December_Tide_2025!B573="","",December_Tide_2025!B573)</f>
        <v/>
      </c>
      <c r="C573" s="6">
        <f>IF($A573="","", INDEX(Calc!$E:$E, MATCH("KminusZ_m", Calc!$C:$C, 0)) + $B573 - INDEX(Calc!$E:$E, MATCH("L_ramp_m", Calc!$C:$C, 0)) * TAN(RADIANS(INDEX(Calc!$E:$E, MATCH("theta_max_deg", Calc!$C:$C, 0)))))</f>
        <v/>
      </c>
      <c r="D573" s="6" t="n"/>
      <c r="E573" s="6">
        <f>IF($C573="","", IF($D573="", $C573, $C573 - $D573/2))</f>
        <v/>
      </c>
      <c r="F573" s="6">
        <f>IF($C573="","", IF($D573="", $C573, $C573 + $D573/2))</f>
        <v/>
      </c>
      <c r="G573" s="6">
        <f>IF($E573="","", DEGREES(ATAN((INDEX(Calc!$E:$E, MATCH("KminusZ_m", Calc!$C:$C, 0)) - $E573 + $B573) / INDEX(Calc!$E:$E, MATCH("L_ramp_m", Calc!$C:$C, 0)))))</f>
        <v/>
      </c>
      <c r="H573" s="3">
        <f>IF($E573="","", IF(AND($E573&gt;=INDEX(Calc!$E:$E, MATCH("min_fwd_draft_m", Calc!$C:$C, 0)), $E573&lt;=INDEX(Calc!$E:$E, MATCH("max_fwd_draft_m", Calc!$C:$C, 0)), $G573&lt;=INDEX(Calc!$E:$E, MATCH("theta_max_deg", Calc!$C:$C, 0))), "OK", "CHECK"))</f>
        <v/>
      </c>
      <c r="I573" s="6">
        <f>IF($E573="","", INDEX(Calc!$E:$E, MATCH("D_vessel_m", Calc!$C:$C, 0)) - $E573 + $B573)</f>
        <v/>
      </c>
      <c r="J573" s="6">
        <f>IF($F573="","", INDEX(Calc!$E:$E, MATCH("D_vessel_m", Calc!$C:$C, 0)) - $F573 + $B573)</f>
        <v/>
      </c>
      <c r="K573" s="3">
        <f>IF(D573=0, "Even Keel", "")</f>
        <v/>
      </c>
    </row>
    <row r="574">
      <c r="A574" s="3">
        <f>IF(December_Tide_2025!A574="","",December_Tide_2025!A574)</f>
        <v/>
      </c>
      <c r="B574" s="6">
        <f>IF(December_Tide_2025!B574="","",December_Tide_2025!B574)</f>
        <v/>
      </c>
      <c r="C574" s="6">
        <f>IF($A574="","", INDEX(Calc!$E:$E, MATCH("KminusZ_m", Calc!$C:$C, 0)) + $B574 - INDEX(Calc!$E:$E, MATCH("L_ramp_m", Calc!$C:$C, 0)) * TAN(RADIANS(INDEX(Calc!$E:$E, MATCH("theta_max_deg", Calc!$C:$C, 0)))))</f>
        <v/>
      </c>
      <c r="D574" s="6" t="n"/>
      <c r="E574" s="6">
        <f>IF($C574="","", IF($D574="", $C574, $C574 - $D574/2))</f>
        <v/>
      </c>
      <c r="F574" s="6">
        <f>IF($C574="","", IF($D574="", $C574, $C574 + $D574/2))</f>
        <v/>
      </c>
      <c r="G574" s="6">
        <f>IF($E574="","", DEGREES(ATAN((INDEX(Calc!$E:$E, MATCH("KminusZ_m", Calc!$C:$C, 0)) - $E574 + $B574) / INDEX(Calc!$E:$E, MATCH("L_ramp_m", Calc!$C:$C, 0)))))</f>
        <v/>
      </c>
      <c r="H574" s="3">
        <f>IF($E574="","", IF(AND($E574&gt;=INDEX(Calc!$E:$E, MATCH("min_fwd_draft_m", Calc!$C:$C, 0)), $E574&lt;=INDEX(Calc!$E:$E, MATCH("max_fwd_draft_m", Calc!$C:$C, 0)), $G574&lt;=INDEX(Calc!$E:$E, MATCH("theta_max_deg", Calc!$C:$C, 0))), "OK", "CHECK"))</f>
        <v/>
      </c>
      <c r="I574" s="6">
        <f>IF($E574="","", INDEX(Calc!$E:$E, MATCH("D_vessel_m", Calc!$C:$C, 0)) - $E574 + $B574)</f>
        <v/>
      </c>
      <c r="J574" s="6">
        <f>IF($F574="","", INDEX(Calc!$E:$E, MATCH("D_vessel_m", Calc!$C:$C, 0)) - $F574 + $B574)</f>
        <v/>
      </c>
      <c r="K574" s="3">
        <f>IF(D574=0, "Even Keel", "")</f>
        <v/>
      </c>
    </row>
    <row r="575">
      <c r="A575" s="3">
        <f>IF(December_Tide_2025!A575="","",December_Tide_2025!A575)</f>
        <v/>
      </c>
      <c r="B575" s="6">
        <f>IF(December_Tide_2025!B575="","",December_Tide_2025!B575)</f>
        <v/>
      </c>
      <c r="C575" s="6">
        <f>IF($A575="","", INDEX(Calc!$E:$E, MATCH("KminusZ_m", Calc!$C:$C, 0)) + $B575 - INDEX(Calc!$E:$E, MATCH("L_ramp_m", Calc!$C:$C, 0)) * TAN(RADIANS(INDEX(Calc!$E:$E, MATCH("theta_max_deg", Calc!$C:$C, 0)))))</f>
        <v/>
      </c>
      <c r="D575" s="6" t="n"/>
      <c r="E575" s="6">
        <f>IF($C575="","", IF($D575="", $C575, $C575 - $D575/2))</f>
        <v/>
      </c>
      <c r="F575" s="6">
        <f>IF($C575="","", IF($D575="", $C575, $C575 + $D575/2))</f>
        <v/>
      </c>
      <c r="G575" s="6">
        <f>IF($E575="","", DEGREES(ATAN((INDEX(Calc!$E:$E, MATCH("KminusZ_m", Calc!$C:$C, 0)) - $E575 + $B575) / INDEX(Calc!$E:$E, MATCH("L_ramp_m", Calc!$C:$C, 0)))))</f>
        <v/>
      </c>
      <c r="H575" s="3">
        <f>IF($E575="","", IF(AND($E575&gt;=INDEX(Calc!$E:$E, MATCH("min_fwd_draft_m", Calc!$C:$C, 0)), $E575&lt;=INDEX(Calc!$E:$E, MATCH("max_fwd_draft_m", Calc!$C:$C, 0)), $G575&lt;=INDEX(Calc!$E:$E, MATCH("theta_max_deg", Calc!$C:$C, 0))), "OK", "CHECK"))</f>
        <v/>
      </c>
      <c r="I575" s="6">
        <f>IF($E575="","", INDEX(Calc!$E:$E, MATCH("D_vessel_m", Calc!$C:$C, 0)) - $E575 + $B575)</f>
        <v/>
      </c>
      <c r="J575" s="6">
        <f>IF($F575="","", INDEX(Calc!$E:$E, MATCH("D_vessel_m", Calc!$C:$C, 0)) - $F575 + $B575)</f>
        <v/>
      </c>
      <c r="K575" s="3">
        <f>IF(D575=0, "Even Keel", "")</f>
        <v/>
      </c>
    </row>
    <row r="576">
      <c r="A576" s="3">
        <f>IF(December_Tide_2025!A576="","",December_Tide_2025!A576)</f>
        <v/>
      </c>
      <c r="B576" s="6">
        <f>IF(December_Tide_2025!B576="","",December_Tide_2025!B576)</f>
        <v/>
      </c>
      <c r="C576" s="6">
        <f>IF($A576="","", INDEX(Calc!$E:$E, MATCH("KminusZ_m", Calc!$C:$C, 0)) + $B576 - INDEX(Calc!$E:$E, MATCH("L_ramp_m", Calc!$C:$C, 0)) * TAN(RADIANS(INDEX(Calc!$E:$E, MATCH("theta_max_deg", Calc!$C:$C, 0)))))</f>
        <v/>
      </c>
      <c r="D576" s="6" t="n"/>
      <c r="E576" s="6">
        <f>IF($C576="","", IF($D576="", $C576, $C576 - $D576/2))</f>
        <v/>
      </c>
      <c r="F576" s="6">
        <f>IF($C576="","", IF($D576="", $C576, $C576 + $D576/2))</f>
        <v/>
      </c>
      <c r="G576" s="6">
        <f>IF($E576="","", DEGREES(ATAN((INDEX(Calc!$E:$E, MATCH("KminusZ_m", Calc!$C:$C, 0)) - $E576 + $B576) / INDEX(Calc!$E:$E, MATCH("L_ramp_m", Calc!$C:$C, 0)))))</f>
        <v/>
      </c>
      <c r="H576" s="3">
        <f>IF($E576="","", IF(AND($E576&gt;=INDEX(Calc!$E:$E, MATCH("min_fwd_draft_m", Calc!$C:$C, 0)), $E576&lt;=INDEX(Calc!$E:$E, MATCH("max_fwd_draft_m", Calc!$C:$C, 0)), $G576&lt;=INDEX(Calc!$E:$E, MATCH("theta_max_deg", Calc!$C:$C, 0))), "OK", "CHECK"))</f>
        <v/>
      </c>
      <c r="I576" s="6">
        <f>IF($E576="","", INDEX(Calc!$E:$E, MATCH("D_vessel_m", Calc!$C:$C, 0)) - $E576 + $B576)</f>
        <v/>
      </c>
      <c r="J576" s="6">
        <f>IF($F576="","", INDEX(Calc!$E:$E, MATCH("D_vessel_m", Calc!$C:$C, 0)) - $F576 + $B576)</f>
        <v/>
      </c>
      <c r="K576" s="3">
        <f>IF(D576=0, "Even Keel", "")</f>
        <v/>
      </c>
    </row>
    <row r="577">
      <c r="A577" s="3">
        <f>IF(December_Tide_2025!A577="","",December_Tide_2025!A577)</f>
        <v/>
      </c>
      <c r="B577" s="6">
        <f>IF(December_Tide_2025!B577="","",December_Tide_2025!B577)</f>
        <v/>
      </c>
      <c r="C577" s="6">
        <f>IF($A577="","", INDEX(Calc!$E:$E, MATCH("KminusZ_m", Calc!$C:$C, 0)) + $B577 - INDEX(Calc!$E:$E, MATCH("L_ramp_m", Calc!$C:$C, 0)) * TAN(RADIANS(INDEX(Calc!$E:$E, MATCH("theta_max_deg", Calc!$C:$C, 0)))))</f>
        <v/>
      </c>
      <c r="D577" s="6" t="n"/>
      <c r="E577" s="6">
        <f>IF($C577="","", IF($D577="", $C577, $C577 - $D577/2))</f>
        <v/>
      </c>
      <c r="F577" s="6">
        <f>IF($C577="","", IF($D577="", $C577, $C577 + $D577/2))</f>
        <v/>
      </c>
      <c r="G577" s="6">
        <f>IF($E577="","", DEGREES(ATAN((INDEX(Calc!$E:$E, MATCH("KminusZ_m", Calc!$C:$C, 0)) - $E577 + $B577) / INDEX(Calc!$E:$E, MATCH("L_ramp_m", Calc!$C:$C, 0)))))</f>
        <v/>
      </c>
      <c r="H577" s="3">
        <f>IF($E577="","", IF(AND($E577&gt;=INDEX(Calc!$E:$E, MATCH("min_fwd_draft_m", Calc!$C:$C, 0)), $E577&lt;=INDEX(Calc!$E:$E, MATCH("max_fwd_draft_m", Calc!$C:$C, 0)), $G577&lt;=INDEX(Calc!$E:$E, MATCH("theta_max_deg", Calc!$C:$C, 0))), "OK", "CHECK"))</f>
        <v/>
      </c>
      <c r="I577" s="6">
        <f>IF($E577="","", INDEX(Calc!$E:$E, MATCH("D_vessel_m", Calc!$C:$C, 0)) - $E577 + $B577)</f>
        <v/>
      </c>
      <c r="J577" s="6">
        <f>IF($F577="","", INDEX(Calc!$E:$E, MATCH("D_vessel_m", Calc!$C:$C, 0)) - $F577 + $B577)</f>
        <v/>
      </c>
      <c r="K577" s="3">
        <f>IF(D577=0, "Even Keel", "")</f>
        <v/>
      </c>
    </row>
    <row r="578">
      <c r="A578" s="3">
        <f>IF(December_Tide_2025!A578="","",December_Tide_2025!A578)</f>
        <v/>
      </c>
      <c r="B578" s="6">
        <f>IF(December_Tide_2025!B578="","",December_Tide_2025!B578)</f>
        <v/>
      </c>
      <c r="C578" s="6">
        <f>IF($A578="","", INDEX(Calc!$E:$E, MATCH("KminusZ_m", Calc!$C:$C, 0)) + $B578 - INDEX(Calc!$E:$E, MATCH("L_ramp_m", Calc!$C:$C, 0)) * TAN(RADIANS(INDEX(Calc!$E:$E, MATCH("theta_max_deg", Calc!$C:$C, 0)))))</f>
        <v/>
      </c>
      <c r="D578" s="6" t="n"/>
      <c r="E578" s="6">
        <f>IF($C578="","", IF($D578="", $C578, $C578 - $D578/2))</f>
        <v/>
      </c>
      <c r="F578" s="6">
        <f>IF($C578="","", IF($D578="", $C578, $C578 + $D578/2))</f>
        <v/>
      </c>
      <c r="G578" s="6">
        <f>IF($E578="","", DEGREES(ATAN((INDEX(Calc!$E:$E, MATCH("KminusZ_m", Calc!$C:$C, 0)) - $E578 + $B578) / INDEX(Calc!$E:$E, MATCH("L_ramp_m", Calc!$C:$C, 0)))))</f>
        <v/>
      </c>
      <c r="H578" s="3">
        <f>IF($E578="","", IF(AND($E578&gt;=INDEX(Calc!$E:$E, MATCH("min_fwd_draft_m", Calc!$C:$C, 0)), $E578&lt;=INDEX(Calc!$E:$E, MATCH("max_fwd_draft_m", Calc!$C:$C, 0)), $G578&lt;=INDEX(Calc!$E:$E, MATCH("theta_max_deg", Calc!$C:$C, 0))), "OK", "CHECK"))</f>
        <v/>
      </c>
      <c r="I578" s="6">
        <f>IF($E578="","", INDEX(Calc!$E:$E, MATCH("D_vessel_m", Calc!$C:$C, 0)) - $E578 + $B578)</f>
        <v/>
      </c>
      <c r="J578" s="6">
        <f>IF($F578="","", INDEX(Calc!$E:$E, MATCH("D_vessel_m", Calc!$C:$C, 0)) - $F578 + $B578)</f>
        <v/>
      </c>
      <c r="K578" s="3">
        <f>IF(D578=0, "Even Keel", "")</f>
        <v/>
      </c>
    </row>
    <row r="579">
      <c r="A579" s="3">
        <f>IF(December_Tide_2025!A579="","",December_Tide_2025!A579)</f>
        <v/>
      </c>
      <c r="B579" s="6">
        <f>IF(December_Tide_2025!B579="","",December_Tide_2025!B579)</f>
        <v/>
      </c>
      <c r="C579" s="6">
        <f>IF($A579="","", INDEX(Calc!$E:$E, MATCH("KminusZ_m", Calc!$C:$C, 0)) + $B579 - INDEX(Calc!$E:$E, MATCH("L_ramp_m", Calc!$C:$C, 0)) * TAN(RADIANS(INDEX(Calc!$E:$E, MATCH("theta_max_deg", Calc!$C:$C, 0)))))</f>
        <v/>
      </c>
      <c r="D579" s="6" t="n"/>
      <c r="E579" s="6">
        <f>IF($C579="","", IF($D579="", $C579, $C579 - $D579/2))</f>
        <v/>
      </c>
      <c r="F579" s="6">
        <f>IF($C579="","", IF($D579="", $C579, $C579 + $D579/2))</f>
        <v/>
      </c>
      <c r="G579" s="6">
        <f>IF($E579="","", DEGREES(ATAN((INDEX(Calc!$E:$E, MATCH("KminusZ_m", Calc!$C:$C, 0)) - $E579 + $B579) / INDEX(Calc!$E:$E, MATCH("L_ramp_m", Calc!$C:$C, 0)))))</f>
        <v/>
      </c>
      <c r="H579" s="3">
        <f>IF($E579="","", IF(AND($E579&gt;=INDEX(Calc!$E:$E, MATCH("min_fwd_draft_m", Calc!$C:$C, 0)), $E579&lt;=INDEX(Calc!$E:$E, MATCH("max_fwd_draft_m", Calc!$C:$C, 0)), $G579&lt;=INDEX(Calc!$E:$E, MATCH("theta_max_deg", Calc!$C:$C, 0))), "OK", "CHECK"))</f>
        <v/>
      </c>
      <c r="I579" s="6">
        <f>IF($E579="","", INDEX(Calc!$E:$E, MATCH("D_vessel_m", Calc!$C:$C, 0)) - $E579 + $B579)</f>
        <v/>
      </c>
      <c r="J579" s="6">
        <f>IF($F579="","", INDEX(Calc!$E:$E, MATCH("D_vessel_m", Calc!$C:$C, 0)) - $F579 + $B579)</f>
        <v/>
      </c>
      <c r="K579" s="3">
        <f>IF(D579=0, "Even Keel", "")</f>
        <v/>
      </c>
    </row>
    <row r="580">
      <c r="A580" s="3">
        <f>IF(December_Tide_2025!A580="","",December_Tide_2025!A580)</f>
        <v/>
      </c>
      <c r="B580" s="6">
        <f>IF(December_Tide_2025!B580="","",December_Tide_2025!B580)</f>
        <v/>
      </c>
      <c r="C580" s="6">
        <f>IF($A580="","", INDEX(Calc!$E:$E, MATCH("KminusZ_m", Calc!$C:$C, 0)) + $B580 - INDEX(Calc!$E:$E, MATCH("L_ramp_m", Calc!$C:$C, 0)) * TAN(RADIANS(INDEX(Calc!$E:$E, MATCH("theta_max_deg", Calc!$C:$C, 0)))))</f>
        <v/>
      </c>
      <c r="D580" s="6" t="n"/>
      <c r="E580" s="6">
        <f>IF($C580="","", IF($D580="", $C580, $C580 - $D580/2))</f>
        <v/>
      </c>
      <c r="F580" s="6">
        <f>IF($C580="","", IF($D580="", $C580, $C580 + $D580/2))</f>
        <v/>
      </c>
      <c r="G580" s="6">
        <f>IF($E580="","", DEGREES(ATAN((INDEX(Calc!$E:$E, MATCH("KminusZ_m", Calc!$C:$C, 0)) - $E580 + $B580) / INDEX(Calc!$E:$E, MATCH("L_ramp_m", Calc!$C:$C, 0)))))</f>
        <v/>
      </c>
      <c r="H580" s="3">
        <f>IF($E580="","", IF(AND($E580&gt;=INDEX(Calc!$E:$E, MATCH("min_fwd_draft_m", Calc!$C:$C, 0)), $E580&lt;=INDEX(Calc!$E:$E, MATCH("max_fwd_draft_m", Calc!$C:$C, 0)), $G580&lt;=INDEX(Calc!$E:$E, MATCH("theta_max_deg", Calc!$C:$C, 0))), "OK", "CHECK"))</f>
        <v/>
      </c>
      <c r="I580" s="6">
        <f>IF($E580="","", INDEX(Calc!$E:$E, MATCH("D_vessel_m", Calc!$C:$C, 0)) - $E580 + $B580)</f>
        <v/>
      </c>
      <c r="J580" s="6">
        <f>IF($F580="","", INDEX(Calc!$E:$E, MATCH("D_vessel_m", Calc!$C:$C, 0)) - $F580 + $B580)</f>
        <v/>
      </c>
      <c r="K580" s="3">
        <f>IF(D580=0, "Even Keel", "")</f>
        <v/>
      </c>
    </row>
    <row r="581">
      <c r="A581" s="3">
        <f>IF(December_Tide_2025!A581="","",December_Tide_2025!A581)</f>
        <v/>
      </c>
      <c r="B581" s="6">
        <f>IF(December_Tide_2025!B581="","",December_Tide_2025!B581)</f>
        <v/>
      </c>
      <c r="C581" s="6">
        <f>IF($A581="","", INDEX(Calc!$E:$E, MATCH("KminusZ_m", Calc!$C:$C, 0)) + $B581 - INDEX(Calc!$E:$E, MATCH("L_ramp_m", Calc!$C:$C, 0)) * TAN(RADIANS(INDEX(Calc!$E:$E, MATCH("theta_max_deg", Calc!$C:$C, 0)))))</f>
        <v/>
      </c>
      <c r="D581" s="6" t="n"/>
      <c r="E581" s="6">
        <f>IF($C581="","", IF($D581="", $C581, $C581 - $D581/2))</f>
        <v/>
      </c>
      <c r="F581" s="6">
        <f>IF($C581="","", IF($D581="", $C581, $C581 + $D581/2))</f>
        <v/>
      </c>
      <c r="G581" s="6">
        <f>IF($E581="","", DEGREES(ATAN((INDEX(Calc!$E:$E, MATCH("KminusZ_m", Calc!$C:$C, 0)) - $E581 + $B581) / INDEX(Calc!$E:$E, MATCH("L_ramp_m", Calc!$C:$C, 0)))))</f>
        <v/>
      </c>
      <c r="H581" s="3">
        <f>IF($E581="","", IF(AND($E581&gt;=INDEX(Calc!$E:$E, MATCH("min_fwd_draft_m", Calc!$C:$C, 0)), $E581&lt;=INDEX(Calc!$E:$E, MATCH("max_fwd_draft_m", Calc!$C:$C, 0)), $G581&lt;=INDEX(Calc!$E:$E, MATCH("theta_max_deg", Calc!$C:$C, 0))), "OK", "CHECK"))</f>
        <v/>
      </c>
      <c r="I581" s="6">
        <f>IF($E581="","", INDEX(Calc!$E:$E, MATCH("D_vessel_m", Calc!$C:$C, 0)) - $E581 + $B581)</f>
        <v/>
      </c>
      <c r="J581" s="6">
        <f>IF($F581="","", INDEX(Calc!$E:$E, MATCH("D_vessel_m", Calc!$C:$C, 0)) - $F581 + $B581)</f>
        <v/>
      </c>
      <c r="K581" s="3">
        <f>IF(D581=0, "Even Keel", "")</f>
        <v/>
      </c>
    </row>
    <row r="582">
      <c r="A582" s="3">
        <f>IF(December_Tide_2025!A582="","",December_Tide_2025!A582)</f>
        <v/>
      </c>
      <c r="B582" s="6">
        <f>IF(December_Tide_2025!B582="","",December_Tide_2025!B582)</f>
        <v/>
      </c>
      <c r="C582" s="6">
        <f>IF($A582="","", INDEX(Calc!$E:$E, MATCH("KminusZ_m", Calc!$C:$C, 0)) + $B582 - INDEX(Calc!$E:$E, MATCH("L_ramp_m", Calc!$C:$C, 0)) * TAN(RADIANS(INDEX(Calc!$E:$E, MATCH("theta_max_deg", Calc!$C:$C, 0)))))</f>
        <v/>
      </c>
      <c r="D582" s="6" t="n"/>
      <c r="E582" s="6">
        <f>IF($C582="","", IF($D582="", $C582, $C582 - $D582/2))</f>
        <v/>
      </c>
      <c r="F582" s="6">
        <f>IF($C582="","", IF($D582="", $C582, $C582 + $D582/2))</f>
        <v/>
      </c>
      <c r="G582" s="6">
        <f>IF($E582="","", DEGREES(ATAN((INDEX(Calc!$E:$E, MATCH("KminusZ_m", Calc!$C:$C, 0)) - $E582 + $B582) / INDEX(Calc!$E:$E, MATCH("L_ramp_m", Calc!$C:$C, 0)))))</f>
        <v/>
      </c>
      <c r="H582" s="3">
        <f>IF($E582="","", IF(AND($E582&gt;=INDEX(Calc!$E:$E, MATCH("min_fwd_draft_m", Calc!$C:$C, 0)), $E582&lt;=INDEX(Calc!$E:$E, MATCH("max_fwd_draft_m", Calc!$C:$C, 0)), $G582&lt;=INDEX(Calc!$E:$E, MATCH("theta_max_deg", Calc!$C:$C, 0))), "OK", "CHECK"))</f>
        <v/>
      </c>
      <c r="I582" s="6">
        <f>IF($E582="","", INDEX(Calc!$E:$E, MATCH("D_vessel_m", Calc!$C:$C, 0)) - $E582 + $B582)</f>
        <v/>
      </c>
      <c r="J582" s="6">
        <f>IF($F582="","", INDEX(Calc!$E:$E, MATCH("D_vessel_m", Calc!$C:$C, 0)) - $F582 + $B582)</f>
        <v/>
      </c>
      <c r="K582" s="3">
        <f>IF(D582=0, "Even Keel", "")</f>
        <v/>
      </c>
    </row>
    <row r="583">
      <c r="A583" s="3">
        <f>IF(December_Tide_2025!A583="","",December_Tide_2025!A583)</f>
        <v/>
      </c>
      <c r="B583" s="6">
        <f>IF(December_Tide_2025!B583="","",December_Tide_2025!B583)</f>
        <v/>
      </c>
      <c r="C583" s="6">
        <f>IF($A583="","", INDEX(Calc!$E:$E, MATCH("KminusZ_m", Calc!$C:$C, 0)) + $B583 - INDEX(Calc!$E:$E, MATCH("L_ramp_m", Calc!$C:$C, 0)) * TAN(RADIANS(INDEX(Calc!$E:$E, MATCH("theta_max_deg", Calc!$C:$C, 0)))))</f>
        <v/>
      </c>
      <c r="D583" s="6" t="n"/>
      <c r="E583" s="6">
        <f>IF($C583="","", IF($D583="", $C583, $C583 - $D583/2))</f>
        <v/>
      </c>
      <c r="F583" s="6">
        <f>IF($C583="","", IF($D583="", $C583, $C583 + $D583/2))</f>
        <v/>
      </c>
      <c r="G583" s="6">
        <f>IF($E583="","", DEGREES(ATAN((INDEX(Calc!$E:$E, MATCH("KminusZ_m", Calc!$C:$C, 0)) - $E583 + $B583) / INDEX(Calc!$E:$E, MATCH("L_ramp_m", Calc!$C:$C, 0)))))</f>
        <v/>
      </c>
      <c r="H583" s="3">
        <f>IF($E583="","", IF(AND($E583&gt;=INDEX(Calc!$E:$E, MATCH("min_fwd_draft_m", Calc!$C:$C, 0)), $E583&lt;=INDEX(Calc!$E:$E, MATCH("max_fwd_draft_m", Calc!$C:$C, 0)), $G583&lt;=INDEX(Calc!$E:$E, MATCH("theta_max_deg", Calc!$C:$C, 0))), "OK", "CHECK"))</f>
        <v/>
      </c>
      <c r="I583" s="6">
        <f>IF($E583="","", INDEX(Calc!$E:$E, MATCH("D_vessel_m", Calc!$C:$C, 0)) - $E583 + $B583)</f>
        <v/>
      </c>
      <c r="J583" s="6">
        <f>IF($F583="","", INDEX(Calc!$E:$E, MATCH("D_vessel_m", Calc!$C:$C, 0)) - $F583 + $B583)</f>
        <v/>
      </c>
      <c r="K583" s="3">
        <f>IF(D583=0, "Even Keel", "")</f>
        <v/>
      </c>
    </row>
    <row r="584">
      <c r="A584" s="3">
        <f>IF(December_Tide_2025!A584="","",December_Tide_2025!A584)</f>
        <v/>
      </c>
      <c r="B584" s="6">
        <f>IF(December_Tide_2025!B584="","",December_Tide_2025!B584)</f>
        <v/>
      </c>
      <c r="C584" s="6">
        <f>IF($A584="","", INDEX(Calc!$E:$E, MATCH("KminusZ_m", Calc!$C:$C, 0)) + $B584 - INDEX(Calc!$E:$E, MATCH("L_ramp_m", Calc!$C:$C, 0)) * TAN(RADIANS(INDEX(Calc!$E:$E, MATCH("theta_max_deg", Calc!$C:$C, 0)))))</f>
        <v/>
      </c>
      <c r="D584" s="6" t="n"/>
      <c r="E584" s="6">
        <f>IF($C584="","", IF($D584="", $C584, $C584 - $D584/2))</f>
        <v/>
      </c>
      <c r="F584" s="6">
        <f>IF($C584="","", IF($D584="", $C584, $C584 + $D584/2))</f>
        <v/>
      </c>
      <c r="G584" s="6">
        <f>IF($E584="","", DEGREES(ATAN((INDEX(Calc!$E:$E, MATCH("KminusZ_m", Calc!$C:$C, 0)) - $E584 + $B584) / INDEX(Calc!$E:$E, MATCH("L_ramp_m", Calc!$C:$C, 0)))))</f>
        <v/>
      </c>
      <c r="H584" s="3">
        <f>IF($E584="","", IF(AND($E584&gt;=INDEX(Calc!$E:$E, MATCH("min_fwd_draft_m", Calc!$C:$C, 0)), $E584&lt;=INDEX(Calc!$E:$E, MATCH("max_fwd_draft_m", Calc!$C:$C, 0)), $G584&lt;=INDEX(Calc!$E:$E, MATCH("theta_max_deg", Calc!$C:$C, 0))), "OK", "CHECK"))</f>
        <v/>
      </c>
      <c r="I584" s="6">
        <f>IF($E584="","", INDEX(Calc!$E:$E, MATCH("D_vessel_m", Calc!$C:$C, 0)) - $E584 + $B584)</f>
        <v/>
      </c>
      <c r="J584" s="6">
        <f>IF($F584="","", INDEX(Calc!$E:$E, MATCH("D_vessel_m", Calc!$C:$C, 0)) - $F584 + $B584)</f>
        <v/>
      </c>
      <c r="K584" s="3">
        <f>IF(D584=0, "Even Keel", "")</f>
        <v/>
      </c>
    </row>
    <row r="585">
      <c r="A585" s="3">
        <f>IF(December_Tide_2025!A585="","",December_Tide_2025!A585)</f>
        <v/>
      </c>
      <c r="B585" s="6">
        <f>IF(December_Tide_2025!B585="","",December_Tide_2025!B585)</f>
        <v/>
      </c>
      <c r="C585" s="6">
        <f>IF($A585="","", INDEX(Calc!$E:$E, MATCH("KminusZ_m", Calc!$C:$C, 0)) + $B585 - INDEX(Calc!$E:$E, MATCH("L_ramp_m", Calc!$C:$C, 0)) * TAN(RADIANS(INDEX(Calc!$E:$E, MATCH("theta_max_deg", Calc!$C:$C, 0)))))</f>
        <v/>
      </c>
      <c r="D585" s="6" t="n"/>
      <c r="E585" s="6">
        <f>IF($C585="","", IF($D585="", $C585, $C585 - $D585/2))</f>
        <v/>
      </c>
      <c r="F585" s="6">
        <f>IF($C585="","", IF($D585="", $C585, $C585 + $D585/2))</f>
        <v/>
      </c>
      <c r="G585" s="6">
        <f>IF($E585="","", DEGREES(ATAN((INDEX(Calc!$E:$E, MATCH("KminusZ_m", Calc!$C:$C, 0)) - $E585 + $B585) / INDEX(Calc!$E:$E, MATCH("L_ramp_m", Calc!$C:$C, 0)))))</f>
        <v/>
      </c>
      <c r="H585" s="3">
        <f>IF($E585="","", IF(AND($E585&gt;=INDEX(Calc!$E:$E, MATCH("min_fwd_draft_m", Calc!$C:$C, 0)), $E585&lt;=INDEX(Calc!$E:$E, MATCH("max_fwd_draft_m", Calc!$C:$C, 0)), $G585&lt;=INDEX(Calc!$E:$E, MATCH("theta_max_deg", Calc!$C:$C, 0))), "OK", "CHECK"))</f>
        <v/>
      </c>
      <c r="I585" s="6">
        <f>IF($E585="","", INDEX(Calc!$E:$E, MATCH("D_vessel_m", Calc!$C:$C, 0)) - $E585 + $B585)</f>
        <v/>
      </c>
      <c r="J585" s="6">
        <f>IF($F585="","", INDEX(Calc!$E:$E, MATCH("D_vessel_m", Calc!$C:$C, 0)) - $F585 + $B585)</f>
        <v/>
      </c>
      <c r="K585" s="3">
        <f>IF(D585=0, "Even Keel", "")</f>
        <v/>
      </c>
    </row>
    <row r="586">
      <c r="A586" s="3">
        <f>IF(December_Tide_2025!A586="","",December_Tide_2025!A586)</f>
        <v/>
      </c>
      <c r="B586" s="6">
        <f>IF(December_Tide_2025!B586="","",December_Tide_2025!B586)</f>
        <v/>
      </c>
      <c r="C586" s="6">
        <f>IF($A586="","", INDEX(Calc!$E:$E, MATCH("KminusZ_m", Calc!$C:$C, 0)) + $B586 - INDEX(Calc!$E:$E, MATCH("L_ramp_m", Calc!$C:$C, 0)) * TAN(RADIANS(INDEX(Calc!$E:$E, MATCH("theta_max_deg", Calc!$C:$C, 0)))))</f>
        <v/>
      </c>
      <c r="D586" s="6" t="n"/>
      <c r="E586" s="6">
        <f>IF($C586="","", IF($D586="", $C586, $C586 - $D586/2))</f>
        <v/>
      </c>
      <c r="F586" s="6">
        <f>IF($C586="","", IF($D586="", $C586, $C586 + $D586/2))</f>
        <v/>
      </c>
      <c r="G586" s="6">
        <f>IF($E586="","", DEGREES(ATAN((INDEX(Calc!$E:$E, MATCH("KminusZ_m", Calc!$C:$C, 0)) - $E586 + $B586) / INDEX(Calc!$E:$E, MATCH("L_ramp_m", Calc!$C:$C, 0)))))</f>
        <v/>
      </c>
      <c r="H586" s="3">
        <f>IF($E586="","", IF(AND($E586&gt;=INDEX(Calc!$E:$E, MATCH("min_fwd_draft_m", Calc!$C:$C, 0)), $E586&lt;=INDEX(Calc!$E:$E, MATCH("max_fwd_draft_m", Calc!$C:$C, 0)), $G586&lt;=INDEX(Calc!$E:$E, MATCH("theta_max_deg", Calc!$C:$C, 0))), "OK", "CHECK"))</f>
        <v/>
      </c>
      <c r="I586" s="6">
        <f>IF($E586="","", INDEX(Calc!$E:$E, MATCH("D_vessel_m", Calc!$C:$C, 0)) - $E586 + $B586)</f>
        <v/>
      </c>
      <c r="J586" s="6">
        <f>IF($F586="","", INDEX(Calc!$E:$E, MATCH("D_vessel_m", Calc!$C:$C, 0)) - $F586 + $B586)</f>
        <v/>
      </c>
      <c r="K586" s="3">
        <f>IF(D586=0, "Even Keel", "")</f>
        <v/>
      </c>
    </row>
    <row r="587">
      <c r="A587" s="3">
        <f>IF(December_Tide_2025!A587="","",December_Tide_2025!A587)</f>
        <v/>
      </c>
      <c r="B587" s="6">
        <f>IF(December_Tide_2025!B587="","",December_Tide_2025!B587)</f>
        <v/>
      </c>
      <c r="C587" s="6">
        <f>IF($A587="","", INDEX(Calc!$E:$E, MATCH("KminusZ_m", Calc!$C:$C, 0)) + $B587 - INDEX(Calc!$E:$E, MATCH("L_ramp_m", Calc!$C:$C, 0)) * TAN(RADIANS(INDEX(Calc!$E:$E, MATCH("theta_max_deg", Calc!$C:$C, 0)))))</f>
        <v/>
      </c>
      <c r="D587" s="6" t="n"/>
      <c r="E587" s="6">
        <f>IF($C587="","", IF($D587="", $C587, $C587 - $D587/2))</f>
        <v/>
      </c>
      <c r="F587" s="6">
        <f>IF($C587="","", IF($D587="", $C587, $C587 + $D587/2))</f>
        <v/>
      </c>
      <c r="G587" s="6">
        <f>IF($E587="","", DEGREES(ATAN((INDEX(Calc!$E:$E, MATCH("KminusZ_m", Calc!$C:$C, 0)) - $E587 + $B587) / INDEX(Calc!$E:$E, MATCH("L_ramp_m", Calc!$C:$C, 0)))))</f>
        <v/>
      </c>
      <c r="H587" s="3">
        <f>IF($E587="","", IF(AND($E587&gt;=INDEX(Calc!$E:$E, MATCH("min_fwd_draft_m", Calc!$C:$C, 0)), $E587&lt;=INDEX(Calc!$E:$E, MATCH("max_fwd_draft_m", Calc!$C:$C, 0)), $G587&lt;=INDEX(Calc!$E:$E, MATCH("theta_max_deg", Calc!$C:$C, 0))), "OK", "CHECK"))</f>
        <v/>
      </c>
      <c r="I587" s="6">
        <f>IF($E587="","", INDEX(Calc!$E:$E, MATCH("D_vessel_m", Calc!$C:$C, 0)) - $E587 + $B587)</f>
        <v/>
      </c>
      <c r="J587" s="6">
        <f>IF($F587="","", INDEX(Calc!$E:$E, MATCH("D_vessel_m", Calc!$C:$C, 0)) - $F587 + $B587)</f>
        <v/>
      </c>
      <c r="K587" s="3">
        <f>IF(D587=0, "Even Keel", "")</f>
        <v/>
      </c>
    </row>
    <row r="588">
      <c r="A588" s="3">
        <f>IF(December_Tide_2025!A588="","",December_Tide_2025!A588)</f>
        <v/>
      </c>
      <c r="B588" s="6">
        <f>IF(December_Tide_2025!B588="","",December_Tide_2025!B588)</f>
        <v/>
      </c>
      <c r="C588" s="6">
        <f>IF($A588="","", INDEX(Calc!$E:$E, MATCH("KminusZ_m", Calc!$C:$C, 0)) + $B588 - INDEX(Calc!$E:$E, MATCH("L_ramp_m", Calc!$C:$C, 0)) * TAN(RADIANS(INDEX(Calc!$E:$E, MATCH("theta_max_deg", Calc!$C:$C, 0)))))</f>
        <v/>
      </c>
      <c r="D588" s="6" t="n"/>
      <c r="E588" s="6">
        <f>IF($C588="","", IF($D588="", $C588, $C588 - $D588/2))</f>
        <v/>
      </c>
      <c r="F588" s="6">
        <f>IF($C588="","", IF($D588="", $C588, $C588 + $D588/2))</f>
        <v/>
      </c>
      <c r="G588" s="6">
        <f>IF($E588="","", DEGREES(ATAN((INDEX(Calc!$E:$E, MATCH("KminusZ_m", Calc!$C:$C, 0)) - $E588 + $B588) / INDEX(Calc!$E:$E, MATCH("L_ramp_m", Calc!$C:$C, 0)))))</f>
        <v/>
      </c>
      <c r="H588" s="3">
        <f>IF($E588="","", IF(AND($E588&gt;=INDEX(Calc!$E:$E, MATCH("min_fwd_draft_m", Calc!$C:$C, 0)), $E588&lt;=INDEX(Calc!$E:$E, MATCH("max_fwd_draft_m", Calc!$C:$C, 0)), $G588&lt;=INDEX(Calc!$E:$E, MATCH("theta_max_deg", Calc!$C:$C, 0))), "OK", "CHECK"))</f>
        <v/>
      </c>
      <c r="I588" s="6">
        <f>IF($E588="","", INDEX(Calc!$E:$E, MATCH("D_vessel_m", Calc!$C:$C, 0)) - $E588 + $B588)</f>
        <v/>
      </c>
      <c r="J588" s="6">
        <f>IF($F588="","", INDEX(Calc!$E:$E, MATCH("D_vessel_m", Calc!$C:$C, 0)) - $F588 + $B588)</f>
        <v/>
      </c>
      <c r="K588" s="3">
        <f>IF(D588=0, "Even Keel", "")</f>
        <v/>
      </c>
    </row>
    <row r="589">
      <c r="A589" s="3">
        <f>IF(December_Tide_2025!A589="","",December_Tide_2025!A589)</f>
        <v/>
      </c>
      <c r="B589" s="6">
        <f>IF(December_Tide_2025!B589="","",December_Tide_2025!B589)</f>
        <v/>
      </c>
      <c r="C589" s="6">
        <f>IF($A589="","", INDEX(Calc!$E:$E, MATCH("KminusZ_m", Calc!$C:$C, 0)) + $B589 - INDEX(Calc!$E:$E, MATCH("L_ramp_m", Calc!$C:$C, 0)) * TAN(RADIANS(INDEX(Calc!$E:$E, MATCH("theta_max_deg", Calc!$C:$C, 0)))))</f>
        <v/>
      </c>
      <c r="D589" s="6" t="n"/>
      <c r="E589" s="6">
        <f>IF($C589="","", IF($D589="", $C589, $C589 - $D589/2))</f>
        <v/>
      </c>
      <c r="F589" s="6">
        <f>IF($C589="","", IF($D589="", $C589, $C589 + $D589/2))</f>
        <v/>
      </c>
      <c r="G589" s="6">
        <f>IF($E589="","", DEGREES(ATAN((INDEX(Calc!$E:$E, MATCH("KminusZ_m", Calc!$C:$C, 0)) - $E589 + $B589) / INDEX(Calc!$E:$E, MATCH("L_ramp_m", Calc!$C:$C, 0)))))</f>
        <v/>
      </c>
      <c r="H589" s="3">
        <f>IF($E589="","", IF(AND($E589&gt;=INDEX(Calc!$E:$E, MATCH("min_fwd_draft_m", Calc!$C:$C, 0)), $E589&lt;=INDEX(Calc!$E:$E, MATCH("max_fwd_draft_m", Calc!$C:$C, 0)), $G589&lt;=INDEX(Calc!$E:$E, MATCH("theta_max_deg", Calc!$C:$C, 0))), "OK", "CHECK"))</f>
        <v/>
      </c>
      <c r="I589" s="6">
        <f>IF($E589="","", INDEX(Calc!$E:$E, MATCH("D_vessel_m", Calc!$C:$C, 0)) - $E589 + $B589)</f>
        <v/>
      </c>
      <c r="J589" s="6">
        <f>IF($F589="","", INDEX(Calc!$E:$E, MATCH("D_vessel_m", Calc!$C:$C, 0)) - $F589 + $B589)</f>
        <v/>
      </c>
      <c r="K589" s="3">
        <f>IF(D589=0, "Even Keel", "")</f>
        <v/>
      </c>
    </row>
    <row r="590">
      <c r="A590" s="3">
        <f>IF(December_Tide_2025!A590="","",December_Tide_2025!A590)</f>
        <v/>
      </c>
      <c r="B590" s="6">
        <f>IF(December_Tide_2025!B590="","",December_Tide_2025!B590)</f>
        <v/>
      </c>
      <c r="C590" s="6">
        <f>IF($A590="","", INDEX(Calc!$E:$E, MATCH("KminusZ_m", Calc!$C:$C, 0)) + $B590 - INDEX(Calc!$E:$E, MATCH("L_ramp_m", Calc!$C:$C, 0)) * TAN(RADIANS(INDEX(Calc!$E:$E, MATCH("theta_max_deg", Calc!$C:$C, 0)))))</f>
        <v/>
      </c>
      <c r="D590" s="6" t="n"/>
      <c r="E590" s="6">
        <f>IF($C590="","", IF($D590="", $C590, $C590 - $D590/2))</f>
        <v/>
      </c>
      <c r="F590" s="6">
        <f>IF($C590="","", IF($D590="", $C590, $C590 + $D590/2))</f>
        <v/>
      </c>
      <c r="G590" s="6">
        <f>IF($E590="","", DEGREES(ATAN((INDEX(Calc!$E:$E, MATCH("KminusZ_m", Calc!$C:$C, 0)) - $E590 + $B590) / INDEX(Calc!$E:$E, MATCH("L_ramp_m", Calc!$C:$C, 0)))))</f>
        <v/>
      </c>
      <c r="H590" s="3">
        <f>IF($E590="","", IF(AND($E590&gt;=INDEX(Calc!$E:$E, MATCH("min_fwd_draft_m", Calc!$C:$C, 0)), $E590&lt;=INDEX(Calc!$E:$E, MATCH("max_fwd_draft_m", Calc!$C:$C, 0)), $G590&lt;=INDEX(Calc!$E:$E, MATCH("theta_max_deg", Calc!$C:$C, 0))), "OK", "CHECK"))</f>
        <v/>
      </c>
      <c r="I590" s="6">
        <f>IF($E590="","", INDEX(Calc!$E:$E, MATCH("D_vessel_m", Calc!$C:$C, 0)) - $E590 + $B590)</f>
        <v/>
      </c>
      <c r="J590" s="6">
        <f>IF($F590="","", INDEX(Calc!$E:$E, MATCH("D_vessel_m", Calc!$C:$C, 0)) - $F590 + $B590)</f>
        <v/>
      </c>
      <c r="K590" s="3">
        <f>IF(D590=0, "Even Keel", "")</f>
        <v/>
      </c>
    </row>
    <row r="591">
      <c r="A591" s="3">
        <f>IF(December_Tide_2025!A591="","",December_Tide_2025!A591)</f>
        <v/>
      </c>
      <c r="B591" s="6">
        <f>IF(December_Tide_2025!B591="","",December_Tide_2025!B591)</f>
        <v/>
      </c>
      <c r="C591" s="6">
        <f>IF($A591="","", INDEX(Calc!$E:$E, MATCH("KminusZ_m", Calc!$C:$C, 0)) + $B591 - INDEX(Calc!$E:$E, MATCH("L_ramp_m", Calc!$C:$C, 0)) * TAN(RADIANS(INDEX(Calc!$E:$E, MATCH("theta_max_deg", Calc!$C:$C, 0)))))</f>
        <v/>
      </c>
      <c r="D591" s="6" t="n"/>
      <c r="E591" s="6">
        <f>IF($C591="","", IF($D591="", $C591, $C591 - $D591/2))</f>
        <v/>
      </c>
      <c r="F591" s="6">
        <f>IF($C591="","", IF($D591="", $C591, $C591 + $D591/2))</f>
        <v/>
      </c>
      <c r="G591" s="6">
        <f>IF($E591="","", DEGREES(ATAN((INDEX(Calc!$E:$E, MATCH("KminusZ_m", Calc!$C:$C, 0)) - $E591 + $B591) / INDEX(Calc!$E:$E, MATCH("L_ramp_m", Calc!$C:$C, 0)))))</f>
        <v/>
      </c>
      <c r="H591" s="3">
        <f>IF($E591="","", IF(AND($E591&gt;=INDEX(Calc!$E:$E, MATCH("min_fwd_draft_m", Calc!$C:$C, 0)), $E591&lt;=INDEX(Calc!$E:$E, MATCH("max_fwd_draft_m", Calc!$C:$C, 0)), $G591&lt;=INDEX(Calc!$E:$E, MATCH("theta_max_deg", Calc!$C:$C, 0))), "OK", "CHECK"))</f>
        <v/>
      </c>
      <c r="I591" s="6">
        <f>IF($E591="","", INDEX(Calc!$E:$E, MATCH("D_vessel_m", Calc!$C:$C, 0)) - $E591 + $B591)</f>
        <v/>
      </c>
      <c r="J591" s="6">
        <f>IF($F591="","", INDEX(Calc!$E:$E, MATCH("D_vessel_m", Calc!$C:$C, 0)) - $F591 + $B591)</f>
        <v/>
      </c>
      <c r="K591" s="3">
        <f>IF(D591=0, "Even Keel", "")</f>
        <v/>
      </c>
    </row>
    <row r="592">
      <c r="A592" s="3">
        <f>IF(December_Tide_2025!A592="","",December_Tide_2025!A592)</f>
        <v/>
      </c>
      <c r="B592" s="6">
        <f>IF(December_Tide_2025!B592="","",December_Tide_2025!B592)</f>
        <v/>
      </c>
      <c r="C592" s="6">
        <f>IF($A592="","", INDEX(Calc!$E:$E, MATCH("KminusZ_m", Calc!$C:$C, 0)) + $B592 - INDEX(Calc!$E:$E, MATCH("L_ramp_m", Calc!$C:$C, 0)) * TAN(RADIANS(INDEX(Calc!$E:$E, MATCH("theta_max_deg", Calc!$C:$C, 0)))))</f>
        <v/>
      </c>
      <c r="D592" s="6" t="n"/>
      <c r="E592" s="6">
        <f>IF($C592="","", IF($D592="", $C592, $C592 - $D592/2))</f>
        <v/>
      </c>
      <c r="F592" s="6">
        <f>IF($C592="","", IF($D592="", $C592, $C592 + $D592/2))</f>
        <v/>
      </c>
      <c r="G592" s="6">
        <f>IF($E592="","", DEGREES(ATAN((INDEX(Calc!$E:$E, MATCH("KminusZ_m", Calc!$C:$C, 0)) - $E592 + $B592) / INDEX(Calc!$E:$E, MATCH("L_ramp_m", Calc!$C:$C, 0)))))</f>
        <v/>
      </c>
      <c r="H592" s="3">
        <f>IF($E592="","", IF(AND($E592&gt;=INDEX(Calc!$E:$E, MATCH("min_fwd_draft_m", Calc!$C:$C, 0)), $E592&lt;=INDEX(Calc!$E:$E, MATCH("max_fwd_draft_m", Calc!$C:$C, 0)), $G592&lt;=INDEX(Calc!$E:$E, MATCH("theta_max_deg", Calc!$C:$C, 0))), "OK", "CHECK"))</f>
        <v/>
      </c>
      <c r="I592" s="6">
        <f>IF($E592="","", INDEX(Calc!$E:$E, MATCH("D_vessel_m", Calc!$C:$C, 0)) - $E592 + $B592)</f>
        <v/>
      </c>
      <c r="J592" s="6">
        <f>IF($F592="","", INDEX(Calc!$E:$E, MATCH("D_vessel_m", Calc!$C:$C, 0)) - $F592 + $B592)</f>
        <v/>
      </c>
      <c r="K592" s="3">
        <f>IF(D592=0, "Even Keel", "")</f>
        <v/>
      </c>
    </row>
    <row r="593">
      <c r="A593" s="3">
        <f>IF(December_Tide_2025!A593="","",December_Tide_2025!A593)</f>
        <v/>
      </c>
      <c r="B593" s="6">
        <f>IF(December_Tide_2025!B593="","",December_Tide_2025!B593)</f>
        <v/>
      </c>
      <c r="C593" s="6">
        <f>IF($A593="","", INDEX(Calc!$E:$E, MATCH("KminusZ_m", Calc!$C:$C, 0)) + $B593 - INDEX(Calc!$E:$E, MATCH("L_ramp_m", Calc!$C:$C, 0)) * TAN(RADIANS(INDEX(Calc!$E:$E, MATCH("theta_max_deg", Calc!$C:$C, 0)))))</f>
        <v/>
      </c>
      <c r="D593" s="6" t="n"/>
      <c r="E593" s="6">
        <f>IF($C593="","", IF($D593="", $C593, $C593 - $D593/2))</f>
        <v/>
      </c>
      <c r="F593" s="6">
        <f>IF($C593="","", IF($D593="", $C593, $C593 + $D593/2))</f>
        <v/>
      </c>
      <c r="G593" s="6">
        <f>IF($E593="","", DEGREES(ATAN((INDEX(Calc!$E:$E, MATCH("KminusZ_m", Calc!$C:$C, 0)) - $E593 + $B593) / INDEX(Calc!$E:$E, MATCH("L_ramp_m", Calc!$C:$C, 0)))))</f>
        <v/>
      </c>
      <c r="H593" s="3">
        <f>IF($E593="","", IF(AND($E593&gt;=INDEX(Calc!$E:$E, MATCH("min_fwd_draft_m", Calc!$C:$C, 0)), $E593&lt;=INDEX(Calc!$E:$E, MATCH("max_fwd_draft_m", Calc!$C:$C, 0)), $G593&lt;=INDEX(Calc!$E:$E, MATCH("theta_max_deg", Calc!$C:$C, 0))), "OK", "CHECK"))</f>
        <v/>
      </c>
      <c r="I593" s="6">
        <f>IF($E593="","", INDEX(Calc!$E:$E, MATCH("D_vessel_m", Calc!$C:$C, 0)) - $E593 + $B593)</f>
        <v/>
      </c>
      <c r="J593" s="6">
        <f>IF($F593="","", INDEX(Calc!$E:$E, MATCH("D_vessel_m", Calc!$C:$C, 0)) - $F593 + $B593)</f>
        <v/>
      </c>
      <c r="K593" s="3">
        <f>IF(D593=0, "Even Keel", "")</f>
        <v/>
      </c>
    </row>
    <row r="594">
      <c r="A594" s="3">
        <f>IF(December_Tide_2025!A594="","",December_Tide_2025!A594)</f>
        <v/>
      </c>
      <c r="B594" s="6">
        <f>IF(December_Tide_2025!B594="","",December_Tide_2025!B594)</f>
        <v/>
      </c>
      <c r="C594" s="6">
        <f>IF($A594="","", INDEX(Calc!$E:$E, MATCH("KminusZ_m", Calc!$C:$C, 0)) + $B594 - INDEX(Calc!$E:$E, MATCH("L_ramp_m", Calc!$C:$C, 0)) * TAN(RADIANS(INDEX(Calc!$E:$E, MATCH("theta_max_deg", Calc!$C:$C, 0)))))</f>
        <v/>
      </c>
      <c r="D594" s="6" t="n"/>
      <c r="E594" s="6">
        <f>IF($C594="","", IF($D594="", $C594, $C594 - $D594/2))</f>
        <v/>
      </c>
      <c r="F594" s="6">
        <f>IF($C594="","", IF($D594="", $C594, $C594 + $D594/2))</f>
        <v/>
      </c>
      <c r="G594" s="6">
        <f>IF($E594="","", DEGREES(ATAN((INDEX(Calc!$E:$E, MATCH("KminusZ_m", Calc!$C:$C, 0)) - $E594 + $B594) / INDEX(Calc!$E:$E, MATCH("L_ramp_m", Calc!$C:$C, 0)))))</f>
        <v/>
      </c>
      <c r="H594" s="3">
        <f>IF($E594="","", IF(AND($E594&gt;=INDEX(Calc!$E:$E, MATCH("min_fwd_draft_m", Calc!$C:$C, 0)), $E594&lt;=INDEX(Calc!$E:$E, MATCH("max_fwd_draft_m", Calc!$C:$C, 0)), $G594&lt;=INDEX(Calc!$E:$E, MATCH("theta_max_deg", Calc!$C:$C, 0))), "OK", "CHECK"))</f>
        <v/>
      </c>
      <c r="I594" s="6">
        <f>IF($E594="","", INDEX(Calc!$E:$E, MATCH("D_vessel_m", Calc!$C:$C, 0)) - $E594 + $B594)</f>
        <v/>
      </c>
      <c r="J594" s="6">
        <f>IF($F594="","", INDEX(Calc!$E:$E, MATCH("D_vessel_m", Calc!$C:$C, 0)) - $F594 + $B594)</f>
        <v/>
      </c>
      <c r="K594" s="3">
        <f>IF(D594=0, "Even Keel", "")</f>
        <v/>
      </c>
    </row>
    <row r="595">
      <c r="A595" s="3">
        <f>IF(December_Tide_2025!A595="","",December_Tide_2025!A595)</f>
        <v/>
      </c>
      <c r="B595" s="6">
        <f>IF(December_Tide_2025!B595="","",December_Tide_2025!B595)</f>
        <v/>
      </c>
      <c r="C595" s="6">
        <f>IF($A595="","", INDEX(Calc!$E:$E, MATCH("KminusZ_m", Calc!$C:$C, 0)) + $B595 - INDEX(Calc!$E:$E, MATCH("L_ramp_m", Calc!$C:$C, 0)) * TAN(RADIANS(INDEX(Calc!$E:$E, MATCH("theta_max_deg", Calc!$C:$C, 0)))))</f>
        <v/>
      </c>
      <c r="D595" s="6" t="n"/>
      <c r="E595" s="6">
        <f>IF($C595="","", IF($D595="", $C595, $C595 - $D595/2))</f>
        <v/>
      </c>
      <c r="F595" s="6">
        <f>IF($C595="","", IF($D595="", $C595, $C595 + $D595/2))</f>
        <v/>
      </c>
      <c r="G595" s="6">
        <f>IF($E595="","", DEGREES(ATAN((INDEX(Calc!$E:$E, MATCH("KminusZ_m", Calc!$C:$C, 0)) - $E595 + $B595) / INDEX(Calc!$E:$E, MATCH("L_ramp_m", Calc!$C:$C, 0)))))</f>
        <v/>
      </c>
      <c r="H595" s="3">
        <f>IF($E595="","", IF(AND($E595&gt;=INDEX(Calc!$E:$E, MATCH("min_fwd_draft_m", Calc!$C:$C, 0)), $E595&lt;=INDEX(Calc!$E:$E, MATCH("max_fwd_draft_m", Calc!$C:$C, 0)), $G595&lt;=INDEX(Calc!$E:$E, MATCH("theta_max_deg", Calc!$C:$C, 0))), "OK", "CHECK"))</f>
        <v/>
      </c>
      <c r="I595" s="6">
        <f>IF($E595="","", INDEX(Calc!$E:$E, MATCH("D_vessel_m", Calc!$C:$C, 0)) - $E595 + $B595)</f>
        <v/>
      </c>
      <c r="J595" s="6">
        <f>IF($F595="","", INDEX(Calc!$E:$E, MATCH("D_vessel_m", Calc!$C:$C, 0)) - $F595 + $B595)</f>
        <v/>
      </c>
      <c r="K595" s="3">
        <f>IF(D595=0, "Even Keel", "")</f>
        <v/>
      </c>
    </row>
    <row r="596">
      <c r="A596" s="3">
        <f>IF(December_Tide_2025!A596="","",December_Tide_2025!A596)</f>
        <v/>
      </c>
      <c r="B596" s="6">
        <f>IF(December_Tide_2025!B596="","",December_Tide_2025!B596)</f>
        <v/>
      </c>
      <c r="C596" s="6">
        <f>IF($A596="","", INDEX(Calc!$E:$E, MATCH("KminusZ_m", Calc!$C:$C, 0)) + $B596 - INDEX(Calc!$E:$E, MATCH("L_ramp_m", Calc!$C:$C, 0)) * TAN(RADIANS(INDEX(Calc!$E:$E, MATCH("theta_max_deg", Calc!$C:$C, 0)))))</f>
        <v/>
      </c>
      <c r="D596" s="6" t="n"/>
      <c r="E596" s="6">
        <f>IF($C596="","", IF($D596="", $C596, $C596 - $D596/2))</f>
        <v/>
      </c>
      <c r="F596" s="6">
        <f>IF($C596="","", IF($D596="", $C596, $C596 + $D596/2))</f>
        <v/>
      </c>
      <c r="G596" s="6">
        <f>IF($E596="","", DEGREES(ATAN((INDEX(Calc!$E:$E, MATCH("KminusZ_m", Calc!$C:$C, 0)) - $E596 + $B596) / INDEX(Calc!$E:$E, MATCH("L_ramp_m", Calc!$C:$C, 0)))))</f>
        <v/>
      </c>
      <c r="H596" s="3">
        <f>IF($E596="","", IF(AND($E596&gt;=INDEX(Calc!$E:$E, MATCH("min_fwd_draft_m", Calc!$C:$C, 0)), $E596&lt;=INDEX(Calc!$E:$E, MATCH("max_fwd_draft_m", Calc!$C:$C, 0)), $G596&lt;=INDEX(Calc!$E:$E, MATCH("theta_max_deg", Calc!$C:$C, 0))), "OK", "CHECK"))</f>
        <v/>
      </c>
      <c r="I596" s="6">
        <f>IF($E596="","", INDEX(Calc!$E:$E, MATCH("D_vessel_m", Calc!$C:$C, 0)) - $E596 + $B596)</f>
        <v/>
      </c>
      <c r="J596" s="6">
        <f>IF($F596="","", INDEX(Calc!$E:$E, MATCH("D_vessel_m", Calc!$C:$C, 0)) - $F596 + $B596)</f>
        <v/>
      </c>
      <c r="K596" s="3">
        <f>IF(D596=0, "Even Keel", "")</f>
        <v/>
      </c>
    </row>
    <row r="597">
      <c r="A597" s="3">
        <f>IF(December_Tide_2025!A597="","",December_Tide_2025!A597)</f>
        <v/>
      </c>
      <c r="B597" s="6">
        <f>IF(December_Tide_2025!B597="","",December_Tide_2025!B597)</f>
        <v/>
      </c>
      <c r="C597" s="6">
        <f>IF($A597="","", INDEX(Calc!$E:$E, MATCH("KminusZ_m", Calc!$C:$C, 0)) + $B597 - INDEX(Calc!$E:$E, MATCH("L_ramp_m", Calc!$C:$C, 0)) * TAN(RADIANS(INDEX(Calc!$E:$E, MATCH("theta_max_deg", Calc!$C:$C, 0)))))</f>
        <v/>
      </c>
      <c r="D597" s="6" t="n"/>
      <c r="E597" s="6">
        <f>IF($C597="","", IF($D597="", $C597, $C597 - $D597/2))</f>
        <v/>
      </c>
      <c r="F597" s="6">
        <f>IF($C597="","", IF($D597="", $C597, $C597 + $D597/2))</f>
        <v/>
      </c>
      <c r="G597" s="6">
        <f>IF($E597="","", DEGREES(ATAN((INDEX(Calc!$E:$E, MATCH("KminusZ_m", Calc!$C:$C, 0)) - $E597 + $B597) / INDEX(Calc!$E:$E, MATCH("L_ramp_m", Calc!$C:$C, 0)))))</f>
        <v/>
      </c>
      <c r="H597" s="3">
        <f>IF($E597="","", IF(AND($E597&gt;=INDEX(Calc!$E:$E, MATCH("min_fwd_draft_m", Calc!$C:$C, 0)), $E597&lt;=INDEX(Calc!$E:$E, MATCH("max_fwd_draft_m", Calc!$C:$C, 0)), $G597&lt;=INDEX(Calc!$E:$E, MATCH("theta_max_deg", Calc!$C:$C, 0))), "OK", "CHECK"))</f>
        <v/>
      </c>
      <c r="I597" s="6">
        <f>IF($E597="","", INDEX(Calc!$E:$E, MATCH("D_vessel_m", Calc!$C:$C, 0)) - $E597 + $B597)</f>
        <v/>
      </c>
      <c r="J597" s="6">
        <f>IF($F597="","", INDEX(Calc!$E:$E, MATCH("D_vessel_m", Calc!$C:$C, 0)) - $F597 + $B597)</f>
        <v/>
      </c>
      <c r="K597" s="3">
        <f>IF(D597=0, "Even Keel", "")</f>
        <v/>
      </c>
    </row>
    <row r="598">
      <c r="A598" s="3">
        <f>IF(December_Tide_2025!A598="","",December_Tide_2025!A598)</f>
        <v/>
      </c>
      <c r="B598" s="6">
        <f>IF(December_Tide_2025!B598="","",December_Tide_2025!B598)</f>
        <v/>
      </c>
      <c r="C598" s="6">
        <f>IF($A598="","", INDEX(Calc!$E:$E, MATCH("KminusZ_m", Calc!$C:$C, 0)) + $B598 - INDEX(Calc!$E:$E, MATCH("L_ramp_m", Calc!$C:$C, 0)) * TAN(RADIANS(INDEX(Calc!$E:$E, MATCH("theta_max_deg", Calc!$C:$C, 0)))))</f>
        <v/>
      </c>
      <c r="D598" s="6" t="n"/>
      <c r="E598" s="6">
        <f>IF($C598="","", IF($D598="", $C598, $C598 - $D598/2))</f>
        <v/>
      </c>
      <c r="F598" s="6">
        <f>IF($C598="","", IF($D598="", $C598, $C598 + $D598/2))</f>
        <v/>
      </c>
      <c r="G598" s="6">
        <f>IF($E598="","", DEGREES(ATAN((INDEX(Calc!$E:$E, MATCH("KminusZ_m", Calc!$C:$C, 0)) - $E598 + $B598) / INDEX(Calc!$E:$E, MATCH("L_ramp_m", Calc!$C:$C, 0)))))</f>
        <v/>
      </c>
      <c r="H598" s="3">
        <f>IF($E598="","", IF(AND($E598&gt;=INDEX(Calc!$E:$E, MATCH("min_fwd_draft_m", Calc!$C:$C, 0)), $E598&lt;=INDEX(Calc!$E:$E, MATCH("max_fwd_draft_m", Calc!$C:$C, 0)), $G598&lt;=INDEX(Calc!$E:$E, MATCH("theta_max_deg", Calc!$C:$C, 0))), "OK", "CHECK"))</f>
        <v/>
      </c>
      <c r="I598" s="6">
        <f>IF($E598="","", INDEX(Calc!$E:$E, MATCH("D_vessel_m", Calc!$C:$C, 0)) - $E598 + $B598)</f>
        <v/>
      </c>
      <c r="J598" s="6">
        <f>IF($F598="","", INDEX(Calc!$E:$E, MATCH("D_vessel_m", Calc!$C:$C, 0)) - $F598 + $B598)</f>
        <v/>
      </c>
      <c r="K598" s="3">
        <f>IF(D598=0, "Even Keel", "")</f>
        <v/>
      </c>
    </row>
    <row r="599">
      <c r="A599" s="3">
        <f>IF(December_Tide_2025!A599="","",December_Tide_2025!A599)</f>
        <v/>
      </c>
      <c r="B599" s="6">
        <f>IF(December_Tide_2025!B599="","",December_Tide_2025!B599)</f>
        <v/>
      </c>
      <c r="C599" s="6">
        <f>IF($A599="","", INDEX(Calc!$E:$E, MATCH("KminusZ_m", Calc!$C:$C, 0)) + $B599 - INDEX(Calc!$E:$E, MATCH("L_ramp_m", Calc!$C:$C, 0)) * TAN(RADIANS(INDEX(Calc!$E:$E, MATCH("theta_max_deg", Calc!$C:$C, 0)))))</f>
        <v/>
      </c>
      <c r="D599" s="6" t="n"/>
      <c r="E599" s="6">
        <f>IF($C599="","", IF($D599="", $C599, $C599 - $D599/2))</f>
        <v/>
      </c>
      <c r="F599" s="6">
        <f>IF($C599="","", IF($D599="", $C599, $C599 + $D599/2))</f>
        <v/>
      </c>
      <c r="G599" s="6">
        <f>IF($E599="","", DEGREES(ATAN((INDEX(Calc!$E:$E, MATCH("KminusZ_m", Calc!$C:$C, 0)) - $E599 + $B599) / INDEX(Calc!$E:$E, MATCH("L_ramp_m", Calc!$C:$C, 0)))))</f>
        <v/>
      </c>
      <c r="H599" s="3">
        <f>IF($E599="","", IF(AND($E599&gt;=INDEX(Calc!$E:$E, MATCH("min_fwd_draft_m", Calc!$C:$C, 0)), $E599&lt;=INDEX(Calc!$E:$E, MATCH("max_fwd_draft_m", Calc!$C:$C, 0)), $G599&lt;=INDEX(Calc!$E:$E, MATCH("theta_max_deg", Calc!$C:$C, 0))), "OK", "CHECK"))</f>
        <v/>
      </c>
      <c r="I599" s="6">
        <f>IF($E599="","", INDEX(Calc!$E:$E, MATCH("D_vessel_m", Calc!$C:$C, 0)) - $E599 + $B599)</f>
        <v/>
      </c>
      <c r="J599" s="6">
        <f>IF($F599="","", INDEX(Calc!$E:$E, MATCH("D_vessel_m", Calc!$C:$C, 0)) - $F599 + $B599)</f>
        <v/>
      </c>
      <c r="K599" s="3">
        <f>IF(D599=0, "Even Keel", "")</f>
        <v/>
      </c>
    </row>
    <row r="600">
      <c r="A600" s="3">
        <f>IF(December_Tide_2025!A600="","",December_Tide_2025!A600)</f>
        <v/>
      </c>
      <c r="B600" s="6">
        <f>IF(December_Tide_2025!B600="","",December_Tide_2025!B600)</f>
        <v/>
      </c>
      <c r="C600" s="6">
        <f>IF($A600="","", INDEX(Calc!$E:$E, MATCH("KminusZ_m", Calc!$C:$C, 0)) + $B600 - INDEX(Calc!$E:$E, MATCH("L_ramp_m", Calc!$C:$C, 0)) * TAN(RADIANS(INDEX(Calc!$E:$E, MATCH("theta_max_deg", Calc!$C:$C, 0)))))</f>
        <v/>
      </c>
      <c r="D600" s="6" t="n"/>
      <c r="E600" s="6">
        <f>IF($C600="","", IF($D600="", $C600, $C600 - $D600/2))</f>
        <v/>
      </c>
      <c r="F600" s="6">
        <f>IF($C600="","", IF($D600="", $C600, $C600 + $D600/2))</f>
        <v/>
      </c>
      <c r="G600" s="6">
        <f>IF($E600="","", DEGREES(ATAN((INDEX(Calc!$E:$E, MATCH("KminusZ_m", Calc!$C:$C, 0)) - $E600 + $B600) / INDEX(Calc!$E:$E, MATCH("L_ramp_m", Calc!$C:$C, 0)))))</f>
        <v/>
      </c>
      <c r="H600" s="3">
        <f>IF($E600="","", IF(AND($E600&gt;=INDEX(Calc!$E:$E, MATCH("min_fwd_draft_m", Calc!$C:$C, 0)), $E600&lt;=INDEX(Calc!$E:$E, MATCH("max_fwd_draft_m", Calc!$C:$C, 0)), $G600&lt;=INDEX(Calc!$E:$E, MATCH("theta_max_deg", Calc!$C:$C, 0))), "OK", "CHECK"))</f>
        <v/>
      </c>
      <c r="I600" s="6">
        <f>IF($E600="","", INDEX(Calc!$E:$E, MATCH("D_vessel_m", Calc!$C:$C, 0)) - $E600 + $B600)</f>
        <v/>
      </c>
      <c r="J600" s="6">
        <f>IF($F600="","", INDEX(Calc!$E:$E, MATCH("D_vessel_m", Calc!$C:$C, 0)) - $F600 + $B600)</f>
        <v/>
      </c>
      <c r="K600" s="3">
        <f>IF(D600=0, "Even Keel", "")</f>
        <v/>
      </c>
    </row>
    <row r="601">
      <c r="A601" s="3">
        <f>IF(December_Tide_2025!A601="","",December_Tide_2025!A601)</f>
        <v/>
      </c>
      <c r="B601" s="6">
        <f>IF(December_Tide_2025!B601="","",December_Tide_2025!B601)</f>
        <v/>
      </c>
      <c r="C601" s="6">
        <f>IF($A601="","", INDEX(Calc!$E:$E, MATCH("KminusZ_m", Calc!$C:$C, 0)) + $B601 - INDEX(Calc!$E:$E, MATCH("L_ramp_m", Calc!$C:$C, 0)) * TAN(RADIANS(INDEX(Calc!$E:$E, MATCH("theta_max_deg", Calc!$C:$C, 0)))))</f>
        <v/>
      </c>
      <c r="D601" s="6" t="n"/>
      <c r="E601" s="6">
        <f>IF($C601="","", IF($D601="", $C601, $C601 - $D601/2))</f>
        <v/>
      </c>
      <c r="F601" s="6">
        <f>IF($C601="","", IF($D601="", $C601, $C601 + $D601/2))</f>
        <v/>
      </c>
      <c r="G601" s="6">
        <f>IF($E601="","", DEGREES(ATAN((INDEX(Calc!$E:$E, MATCH("KminusZ_m", Calc!$C:$C, 0)) - $E601 + $B601) / INDEX(Calc!$E:$E, MATCH("L_ramp_m", Calc!$C:$C, 0)))))</f>
        <v/>
      </c>
      <c r="H601" s="3">
        <f>IF($E601="","", IF(AND($E601&gt;=INDEX(Calc!$E:$E, MATCH("min_fwd_draft_m", Calc!$C:$C, 0)), $E601&lt;=INDEX(Calc!$E:$E, MATCH("max_fwd_draft_m", Calc!$C:$C, 0)), $G601&lt;=INDEX(Calc!$E:$E, MATCH("theta_max_deg", Calc!$C:$C, 0))), "OK", "CHECK"))</f>
        <v/>
      </c>
      <c r="I601" s="6">
        <f>IF($E601="","", INDEX(Calc!$E:$E, MATCH("D_vessel_m", Calc!$C:$C, 0)) - $E601 + $B601)</f>
        <v/>
      </c>
      <c r="J601" s="6">
        <f>IF($F601="","", INDEX(Calc!$E:$E, MATCH("D_vessel_m", Calc!$C:$C, 0)) - $F601 + $B601)</f>
        <v/>
      </c>
      <c r="K601" s="3">
        <f>IF(D601=0, "Even Keel", "")</f>
        <v/>
      </c>
    </row>
    <row r="602">
      <c r="A602" s="3">
        <f>IF(December_Tide_2025!A602="","",December_Tide_2025!A602)</f>
        <v/>
      </c>
      <c r="B602" s="6">
        <f>IF(December_Tide_2025!B602="","",December_Tide_2025!B602)</f>
        <v/>
      </c>
      <c r="C602" s="6">
        <f>IF($A602="","", INDEX(Calc!$E:$E, MATCH("KminusZ_m", Calc!$C:$C, 0)) + $B602 - INDEX(Calc!$E:$E, MATCH("L_ramp_m", Calc!$C:$C, 0)) * TAN(RADIANS(INDEX(Calc!$E:$E, MATCH("theta_max_deg", Calc!$C:$C, 0)))))</f>
        <v/>
      </c>
      <c r="D602" s="6" t="n"/>
      <c r="E602" s="6">
        <f>IF($C602="","", IF($D602="", $C602, $C602 - $D602/2))</f>
        <v/>
      </c>
      <c r="F602" s="6">
        <f>IF($C602="","", IF($D602="", $C602, $C602 + $D602/2))</f>
        <v/>
      </c>
      <c r="G602" s="6">
        <f>IF($E602="","", DEGREES(ATAN((INDEX(Calc!$E:$E, MATCH("KminusZ_m", Calc!$C:$C, 0)) - $E602 + $B602) / INDEX(Calc!$E:$E, MATCH("L_ramp_m", Calc!$C:$C, 0)))))</f>
        <v/>
      </c>
      <c r="H602" s="3">
        <f>IF($E602="","", IF(AND($E602&gt;=INDEX(Calc!$E:$E, MATCH("min_fwd_draft_m", Calc!$C:$C, 0)), $E602&lt;=INDEX(Calc!$E:$E, MATCH("max_fwd_draft_m", Calc!$C:$C, 0)), $G602&lt;=INDEX(Calc!$E:$E, MATCH("theta_max_deg", Calc!$C:$C, 0))), "OK", "CHECK"))</f>
        <v/>
      </c>
      <c r="I602" s="6">
        <f>IF($E602="","", INDEX(Calc!$E:$E, MATCH("D_vessel_m", Calc!$C:$C, 0)) - $E602 + $B602)</f>
        <v/>
      </c>
      <c r="J602" s="6">
        <f>IF($F602="","", INDEX(Calc!$E:$E, MATCH("D_vessel_m", Calc!$C:$C, 0)) - $F602 + $B602)</f>
        <v/>
      </c>
      <c r="K602" s="3">
        <f>IF(D602=0, "Even Keel", "")</f>
        <v/>
      </c>
    </row>
    <row r="603">
      <c r="A603" s="3">
        <f>IF(December_Tide_2025!A603="","",December_Tide_2025!A603)</f>
        <v/>
      </c>
      <c r="B603" s="6">
        <f>IF(December_Tide_2025!B603="","",December_Tide_2025!B603)</f>
        <v/>
      </c>
      <c r="C603" s="6">
        <f>IF($A603="","", INDEX(Calc!$E:$E, MATCH("KminusZ_m", Calc!$C:$C, 0)) + $B603 - INDEX(Calc!$E:$E, MATCH("L_ramp_m", Calc!$C:$C, 0)) * TAN(RADIANS(INDEX(Calc!$E:$E, MATCH("theta_max_deg", Calc!$C:$C, 0)))))</f>
        <v/>
      </c>
      <c r="D603" s="6" t="n"/>
      <c r="E603" s="6">
        <f>IF($C603="","", IF($D603="", $C603, $C603 - $D603/2))</f>
        <v/>
      </c>
      <c r="F603" s="6">
        <f>IF($C603="","", IF($D603="", $C603, $C603 + $D603/2))</f>
        <v/>
      </c>
      <c r="G603" s="6">
        <f>IF($E603="","", DEGREES(ATAN((INDEX(Calc!$E:$E, MATCH("KminusZ_m", Calc!$C:$C, 0)) - $E603 + $B603) / INDEX(Calc!$E:$E, MATCH("L_ramp_m", Calc!$C:$C, 0)))))</f>
        <v/>
      </c>
      <c r="H603" s="3">
        <f>IF($E603="","", IF(AND($E603&gt;=INDEX(Calc!$E:$E, MATCH("min_fwd_draft_m", Calc!$C:$C, 0)), $E603&lt;=INDEX(Calc!$E:$E, MATCH("max_fwd_draft_m", Calc!$C:$C, 0)), $G603&lt;=INDEX(Calc!$E:$E, MATCH("theta_max_deg", Calc!$C:$C, 0))), "OK", "CHECK"))</f>
        <v/>
      </c>
      <c r="I603" s="6">
        <f>IF($E603="","", INDEX(Calc!$E:$E, MATCH("D_vessel_m", Calc!$C:$C, 0)) - $E603 + $B603)</f>
        <v/>
      </c>
      <c r="J603" s="6">
        <f>IF($F603="","", INDEX(Calc!$E:$E, MATCH("D_vessel_m", Calc!$C:$C, 0)) - $F603 + $B603)</f>
        <v/>
      </c>
      <c r="K603" s="3">
        <f>IF(D603=0, "Even Keel", "")</f>
        <v/>
      </c>
    </row>
    <row r="604">
      <c r="A604" s="3">
        <f>IF(December_Tide_2025!A604="","",December_Tide_2025!A604)</f>
        <v/>
      </c>
      <c r="B604" s="6">
        <f>IF(December_Tide_2025!B604="","",December_Tide_2025!B604)</f>
        <v/>
      </c>
      <c r="C604" s="6">
        <f>IF($A604="","", INDEX(Calc!$E:$E, MATCH("KminusZ_m", Calc!$C:$C, 0)) + $B604 - INDEX(Calc!$E:$E, MATCH("L_ramp_m", Calc!$C:$C, 0)) * TAN(RADIANS(INDEX(Calc!$E:$E, MATCH("theta_max_deg", Calc!$C:$C, 0)))))</f>
        <v/>
      </c>
      <c r="D604" s="6" t="n"/>
      <c r="E604" s="6">
        <f>IF($C604="","", IF($D604="", $C604, $C604 - $D604/2))</f>
        <v/>
      </c>
      <c r="F604" s="6">
        <f>IF($C604="","", IF($D604="", $C604, $C604 + $D604/2))</f>
        <v/>
      </c>
      <c r="G604" s="6">
        <f>IF($E604="","", DEGREES(ATAN((INDEX(Calc!$E:$E, MATCH("KminusZ_m", Calc!$C:$C, 0)) - $E604 + $B604) / INDEX(Calc!$E:$E, MATCH("L_ramp_m", Calc!$C:$C, 0)))))</f>
        <v/>
      </c>
      <c r="H604" s="3">
        <f>IF($E604="","", IF(AND($E604&gt;=INDEX(Calc!$E:$E, MATCH("min_fwd_draft_m", Calc!$C:$C, 0)), $E604&lt;=INDEX(Calc!$E:$E, MATCH("max_fwd_draft_m", Calc!$C:$C, 0)), $G604&lt;=INDEX(Calc!$E:$E, MATCH("theta_max_deg", Calc!$C:$C, 0))), "OK", "CHECK"))</f>
        <v/>
      </c>
      <c r="I604" s="6">
        <f>IF($E604="","", INDEX(Calc!$E:$E, MATCH("D_vessel_m", Calc!$C:$C, 0)) - $E604 + $B604)</f>
        <v/>
      </c>
      <c r="J604" s="6">
        <f>IF($F604="","", INDEX(Calc!$E:$E, MATCH("D_vessel_m", Calc!$C:$C, 0)) - $F604 + $B604)</f>
        <v/>
      </c>
      <c r="K604" s="3">
        <f>IF(D604=0, "Even Keel", "")</f>
        <v/>
      </c>
    </row>
    <row r="605">
      <c r="A605" s="3">
        <f>IF(December_Tide_2025!A605="","",December_Tide_2025!A605)</f>
        <v/>
      </c>
      <c r="B605" s="6">
        <f>IF(December_Tide_2025!B605="","",December_Tide_2025!B605)</f>
        <v/>
      </c>
      <c r="C605" s="6">
        <f>IF($A605="","", INDEX(Calc!$E:$E, MATCH("KminusZ_m", Calc!$C:$C, 0)) + $B605 - INDEX(Calc!$E:$E, MATCH("L_ramp_m", Calc!$C:$C, 0)) * TAN(RADIANS(INDEX(Calc!$E:$E, MATCH("theta_max_deg", Calc!$C:$C, 0)))))</f>
        <v/>
      </c>
      <c r="D605" s="6" t="n"/>
      <c r="E605" s="6">
        <f>IF($C605="","", IF($D605="", $C605, $C605 - $D605/2))</f>
        <v/>
      </c>
      <c r="F605" s="6">
        <f>IF($C605="","", IF($D605="", $C605, $C605 + $D605/2))</f>
        <v/>
      </c>
      <c r="G605" s="6">
        <f>IF($E605="","", DEGREES(ATAN((INDEX(Calc!$E:$E, MATCH("KminusZ_m", Calc!$C:$C, 0)) - $E605 + $B605) / INDEX(Calc!$E:$E, MATCH("L_ramp_m", Calc!$C:$C, 0)))))</f>
        <v/>
      </c>
      <c r="H605" s="3">
        <f>IF($E605="","", IF(AND($E605&gt;=INDEX(Calc!$E:$E, MATCH("min_fwd_draft_m", Calc!$C:$C, 0)), $E605&lt;=INDEX(Calc!$E:$E, MATCH("max_fwd_draft_m", Calc!$C:$C, 0)), $G605&lt;=INDEX(Calc!$E:$E, MATCH("theta_max_deg", Calc!$C:$C, 0))), "OK", "CHECK"))</f>
        <v/>
      </c>
      <c r="I605" s="6">
        <f>IF($E605="","", INDEX(Calc!$E:$E, MATCH("D_vessel_m", Calc!$C:$C, 0)) - $E605 + $B605)</f>
        <v/>
      </c>
      <c r="J605" s="6">
        <f>IF($F605="","", INDEX(Calc!$E:$E, MATCH("D_vessel_m", Calc!$C:$C, 0)) - $F605 + $B605)</f>
        <v/>
      </c>
      <c r="K605" s="3">
        <f>IF(D605=0, "Even Keel", "")</f>
        <v/>
      </c>
    </row>
    <row r="606">
      <c r="A606" s="3">
        <f>IF(December_Tide_2025!A606="","",December_Tide_2025!A606)</f>
        <v/>
      </c>
      <c r="B606" s="6">
        <f>IF(December_Tide_2025!B606="","",December_Tide_2025!B606)</f>
        <v/>
      </c>
      <c r="C606" s="6">
        <f>IF($A606="","", INDEX(Calc!$E:$E, MATCH("KminusZ_m", Calc!$C:$C, 0)) + $B606 - INDEX(Calc!$E:$E, MATCH("L_ramp_m", Calc!$C:$C, 0)) * TAN(RADIANS(INDEX(Calc!$E:$E, MATCH("theta_max_deg", Calc!$C:$C, 0)))))</f>
        <v/>
      </c>
      <c r="D606" s="6" t="n"/>
      <c r="E606" s="6">
        <f>IF($C606="","", IF($D606="", $C606, $C606 - $D606/2))</f>
        <v/>
      </c>
      <c r="F606" s="6">
        <f>IF($C606="","", IF($D606="", $C606, $C606 + $D606/2))</f>
        <v/>
      </c>
      <c r="G606" s="6">
        <f>IF($E606="","", DEGREES(ATAN((INDEX(Calc!$E:$E, MATCH("KminusZ_m", Calc!$C:$C, 0)) - $E606 + $B606) / INDEX(Calc!$E:$E, MATCH("L_ramp_m", Calc!$C:$C, 0)))))</f>
        <v/>
      </c>
      <c r="H606" s="3">
        <f>IF($E606="","", IF(AND($E606&gt;=INDEX(Calc!$E:$E, MATCH("min_fwd_draft_m", Calc!$C:$C, 0)), $E606&lt;=INDEX(Calc!$E:$E, MATCH("max_fwd_draft_m", Calc!$C:$C, 0)), $G606&lt;=INDEX(Calc!$E:$E, MATCH("theta_max_deg", Calc!$C:$C, 0))), "OK", "CHECK"))</f>
        <v/>
      </c>
      <c r="I606" s="6">
        <f>IF($E606="","", INDEX(Calc!$E:$E, MATCH("D_vessel_m", Calc!$C:$C, 0)) - $E606 + $B606)</f>
        <v/>
      </c>
      <c r="J606" s="6">
        <f>IF($F606="","", INDEX(Calc!$E:$E, MATCH("D_vessel_m", Calc!$C:$C, 0)) - $F606 + $B606)</f>
        <v/>
      </c>
      <c r="K606" s="3">
        <f>IF(D606=0, "Even Keel", "")</f>
        <v/>
      </c>
    </row>
    <row r="607">
      <c r="A607" s="3">
        <f>IF(December_Tide_2025!A607="","",December_Tide_2025!A607)</f>
        <v/>
      </c>
      <c r="B607" s="6">
        <f>IF(December_Tide_2025!B607="","",December_Tide_2025!B607)</f>
        <v/>
      </c>
      <c r="C607" s="6">
        <f>IF($A607="","", INDEX(Calc!$E:$E, MATCH("KminusZ_m", Calc!$C:$C, 0)) + $B607 - INDEX(Calc!$E:$E, MATCH("L_ramp_m", Calc!$C:$C, 0)) * TAN(RADIANS(INDEX(Calc!$E:$E, MATCH("theta_max_deg", Calc!$C:$C, 0)))))</f>
        <v/>
      </c>
      <c r="D607" s="6" t="n"/>
      <c r="E607" s="6">
        <f>IF($C607="","", IF($D607="", $C607, $C607 - $D607/2))</f>
        <v/>
      </c>
      <c r="F607" s="6">
        <f>IF($C607="","", IF($D607="", $C607, $C607 + $D607/2))</f>
        <v/>
      </c>
      <c r="G607" s="6">
        <f>IF($E607="","", DEGREES(ATAN((INDEX(Calc!$E:$E, MATCH("KminusZ_m", Calc!$C:$C, 0)) - $E607 + $B607) / INDEX(Calc!$E:$E, MATCH("L_ramp_m", Calc!$C:$C, 0)))))</f>
        <v/>
      </c>
      <c r="H607" s="3">
        <f>IF($E607="","", IF(AND($E607&gt;=INDEX(Calc!$E:$E, MATCH("min_fwd_draft_m", Calc!$C:$C, 0)), $E607&lt;=INDEX(Calc!$E:$E, MATCH("max_fwd_draft_m", Calc!$C:$C, 0)), $G607&lt;=INDEX(Calc!$E:$E, MATCH("theta_max_deg", Calc!$C:$C, 0))), "OK", "CHECK"))</f>
        <v/>
      </c>
      <c r="I607" s="6">
        <f>IF($E607="","", INDEX(Calc!$E:$E, MATCH("D_vessel_m", Calc!$C:$C, 0)) - $E607 + $B607)</f>
        <v/>
      </c>
      <c r="J607" s="6">
        <f>IF($F607="","", INDEX(Calc!$E:$E, MATCH("D_vessel_m", Calc!$C:$C, 0)) - $F607 + $B607)</f>
        <v/>
      </c>
      <c r="K607" s="3">
        <f>IF(D607=0, "Even Keel", "")</f>
        <v/>
      </c>
    </row>
    <row r="608">
      <c r="A608" s="3">
        <f>IF(December_Tide_2025!A608="","",December_Tide_2025!A608)</f>
        <v/>
      </c>
      <c r="B608" s="6">
        <f>IF(December_Tide_2025!B608="","",December_Tide_2025!B608)</f>
        <v/>
      </c>
      <c r="C608" s="6">
        <f>IF($A608="","", INDEX(Calc!$E:$E, MATCH("KminusZ_m", Calc!$C:$C, 0)) + $B608 - INDEX(Calc!$E:$E, MATCH("L_ramp_m", Calc!$C:$C, 0)) * TAN(RADIANS(INDEX(Calc!$E:$E, MATCH("theta_max_deg", Calc!$C:$C, 0)))))</f>
        <v/>
      </c>
      <c r="D608" s="6" t="n"/>
      <c r="E608" s="6">
        <f>IF($C608="","", IF($D608="", $C608, $C608 - $D608/2))</f>
        <v/>
      </c>
      <c r="F608" s="6">
        <f>IF($C608="","", IF($D608="", $C608, $C608 + $D608/2))</f>
        <v/>
      </c>
      <c r="G608" s="6">
        <f>IF($E608="","", DEGREES(ATAN((INDEX(Calc!$E:$E, MATCH("KminusZ_m", Calc!$C:$C, 0)) - $E608 + $B608) / INDEX(Calc!$E:$E, MATCH("L_ramp_m", Calc!$C:$C, 0)))))</f>
        <v/>
      </c>
      <c r="H608" s="3">
        <f>IF($E608="","", IF(AND($E608&gt;=INDEX(Calc!$E:$E, MATCH("min_fwd_draft_m", Calc!$C:$C, 0)), $E608&lt;=INDEX(Calc!$E:$E, MATCH("max_fwd_draft_m", Calc!$C:$C, 0)), $G608&lt;=INDEX(Calc!$E:$E, MATCH("theta_max_deg", Calc!$C:$C, 0))), "OK", "CHECK"))</f>
        <v/>
      </c>
      <c r="I608" s="6">
        <f>IF($E608="","", INDEX(Calc!$E:$E, MATCH("D_vessel_m", Calc!$C:$C, 0)) - $E608 + $B608)</f>
        <v/>
      </c>
      <c r="J608" s="6">
        <f>IF($F608="","", INDEX(Calc!$E:$E, MATCH("D_vessel_m", Calc!$C:$C, 0)) - $F608 + $B608)</f>
        <v/>
      </c>
      <c r="K608" s="3">
        <f>IF(D608=0, "Even Keel", "")</f>
        <v/>
      </c>
    </row>
    <row r="609">
      <c r="A609" s="3">
        <f>IF(December_Tide_2025!A609="","",December_Tide_2025!A609)</f>
        <v/>
      </c>
      <c r="B609" s="6">
        <f>IF(December_Tide_2025!B609="","",December_Tide_2025!B609)</f>
        <v/>
      </c>
      <c r="C609" s="6">
        <f>IF($A609="","", INDEX(Calc!$E:$E, MATCH("KminusZ_m", Calc!$C:$C, 0)) + $B609 - INDEX(Calc!$E:$E, MATCH("L_ramp_m", Calc!$C:$C, 0)) * TAN(RADIANS(INDEX(Calc!$E:$E, MATCH("theta_max_deg", Calc!$C:$C, 0)))))</f>
        <v/>
      </c>
      <c r="D609" s="6" t="n"/>
      <c r="E609" s="6">
        <f>IF($C609="","", IF($D609="", $C609, $C609 - $D609/2))</f>
        <v/>
      </c>
      <c r="F609" s="6">
        <f>IF($C609="","", IF($D609="", $C609, $C609 + $D609/2))</f>
        <v/>
      </c>
      <c r="G609" s="6">
        <f>IF($E609="","", DEGREES(ATAN((INDEX(Calc!$E:$E, MATCH("KminusZ_m", Calc!$C:$C, 0)) - $E609 + $B609) / INDEX(Calc!$E:$E, MATCH("L_ramp_m", Calc!$C:$C, 0)))))</f>
        <v/>
      </c>
      <c r="H609" s="3">
        <f>IF($E609="","", IF(AND($E609&gt;=INDEX(Calc!$E:$E, MATCH("min_fwd_draft_m", Calc!$C:$C, 0)), $E609&lt;=INDEX(Calc!$E:$E, MATCH("max_fwd_draft_m", Calc!$C:$C, 0)), $G609&lt;=INDEX(Calc!$E:$E, MATCH("theta_max_deg", Calc!$C:$C, 0))), "OK", "CHECK"))</f>
        <v/>
      </c>
      <c r="I609" s="6">
        <f>IF($E609="","", INDEX(Calc!$E:$E, MATCH("D_vessel_m", Calc!$C:$C, 0)) - $E609 + $B609)</f>
        <v/>
      </c>
      <c r="J609" s="6">
        <f>IF($F609="","", INDEX(Calc!$E:$E, MATCH("D_vessel_m", Calc!$C:$C, 0)) - $F609 + $B609)</f>
        <v/>
      </c>
      <c r="K609" s="3">
        <f>IF(D609=0, "Even Keel", "")</f>
        <v/>
      </c>
    </row>
    <row r="610">
      <c r="A610" s="3">
        <f>IF(December_Tide_2025!A610="","",December_Tide_2025!A610)</f>
        <v/>
      </c>
      <c r="B610" s="6">
        <f>IF(December_Tide_2025!B610="","",December_Tide_2025!B610)</f>
        <v/>
      </c>
      <c r="C610" s="6">
        <f>IF($A610="","", INDEX(Calc!$E:$E, MATCH("KminusZ_m", Calc!$C:$C, 0)) + $B610 - INDEX(Calc!$E:$E, MATCH("L_ramp_m", Calc!$C:$C, 0)) * TAN(RADIANS(INDEX(Calc!$E:$E, MATCH("theta_max_deg", Calc!$C:$C, 0)))))</f>
        <v/>
      </c>
      <c r="D610" s="6" t="n"/>
      <c r="E610" s="6">
        <f>IF($C610="","", IF($D610="", $C610, $C610 - $D610/2))</f>
        <v/>
      </c>
      <c r="F610" s="6">
        <f>IF($C610="","", IF($D610="", $C610, $C610 + $D610/2))</f>
        <v/>
      </c>
      <c r="G610" s="6">
        <f>IF($E610="","", DEGREES(ATAN((INDEX(Calc!$E:$E, MATCH("KminusZ_m", Calc!$C:$C, 0)) - $E610 + $B610) / INDEX(Calc!$E:$E, MATCH("L_ramp_m", Calc!$C:$C, 0)))))</f>
        <v/>
      </c>
      <c r="H610" s="3">
        <f>IF($E610="","", IF(AND($E610&gt;=INDEX(Calc!$E:$E, MATCH("min_fwd_draft_m", Calc!$C:$C, 0)), $E610&lt;=INDEX(Calc!$E:$E, MATCH("max_fwd_draft_m", Calc!$C:$C, 0)), $G610&lt;=INDEX(Calc!$E:$E, MATCH("theta_max_deg", Calc!$C:$C, 0))), "OK", "CHECK"))</f>
        <v/>
      </c>
      <c r="I610" s="6">
        <f>IF($E610="","", INDEX(Calc!$E:$E, MATCH("D_vessel_m", Calc!$C:$C, 0)) - $E610 + $B610)</f>
        <v/>
      </c>
      <c r="J610" s="6">
        <f>IF($F610="","", INDEX(Calc!$E:$E, MATCH("D_vessel_m", Calc!$C:$C, 0)) - $F610 + $B610)</f>
        <v/>
      </c>
      <c r="K610" s="3">
        <f>IF(D610=0, "Even Keel", "")</f>
        <v/>
      </c>
    </row>
    <row r="611">
      <c r="A611" s="3">
        <f>IF(December_Tide_2025!A611="","",December_Tide_2025!A611)</f>
        <v/>
      </c>
      <c r="B611" s="6">
        <f>IF(December_Tide_2025!B611="","",December_Tide_2025!B611)</f>
        <v/>
      </c>
      <c r="C611" s="6">
        <f>IF($A611="","", INDEX(Calc!$E:$E, MATCH("KminusZ_m", Calc!$C:$C, 0)) + $B611 - INDEX(Calc!$E:$E, MATCH("L_ramp_m", Calc!$C:$C, 0)) * TAN(RADIANS(INDEX(Calc!$E:$E, MATCH("theta_max_deg", Calc!$C:$C, 0)))))</f>
        <v/>
      </c>
      <c r="D611" s="6" t="n"/>
      <c r="E611" s="6">
        <f>IF($C611="","", IF($D611="", $C611, $C611 - $D611/2))</f>
        <v/>
      </c>
      <c r="F611" s="6">
        <f>IF($C611="","", IF($D611="", $C611, $C611 + $D611/2))</f>
        <v/>
      </c>
      <c r="G611" s="6">
        <f>IF($E611="","", DEGREES(ATAN((INDEX(Calc!$E:$E, MATCH("KminusZ_m", Calc!$C:$C, 0)) - $E611 + $B611) / INDEX(Calc!$E:$E, MATCH("L_ramp_m", Calc!$C:$C, 0)))))</f>
        <v/>
      </c>
      <c r="H611" s="3">
        <f>IF($E611="","", IF(AND($E611&gt;=INDEX(Calc!$E:$E, MATCH("min_fwd_draft_m", Calc!$C:$C, 0)), $E611&lt;=INDEX(Calc!$E:$E, MATCH("max_fwd_draft_m", Calc!$C:$C, 0)), $G611&lt;=INDEX(Calc!$E:$E, MATCH("theta_max_deg", Calc!$C:$C, 0))), "OK", "CHECK"))</f>
        <v/>
      </c>
      <c r="I611" s="6">
        <f>IF($E611="","", INDEX(Calc!$E:$E, MATCH("D_vessel_m", Calc!$C:$C, 0)) - $E611 + $B611)</f>
        <v/>
      </c>
      <c r="J611" s="6">
        <f>IF($F611="","", INDEX(Calc!$E:$E, MATCH("D_vessel_m", Calc!$C:$C, 0)) - $F611 + $B611)</f>
        <v/>
      </c>
      <c r="K611" s="3">
        <f>IF(D611=0, "Even Keel", "")</f>
        <v/>
      </c>
    </row>
    <row r="612">
      <c r="A612" s="3">
        <f>IF(December_Tide_2025!A612="","",December_Tide_2025!A612)</f>
        <v/>
      </c>
      <c r="B612" s="6">
        <f>IF(December_Tide_2025!B612="","",December_Tide_2025!B612)</f>
        <v/>
      </c>
      <c r="C612" s="6">
        <f>IF($A612="","", INDEX(Calc!$E:$E, MATCH("KminusZ_m", Calc!$C:$C, 0)) + $B612 - INDEX(Calc!$E:$E, MATCH("L_ramp_m", Calc!$C:$C, 0)) * TAN(RADIANS(INDEX(Calc!$E:$E, MATCH("theta_max_deg", Calc!$C:$C, 0)))))</f>
        <v/>
      </c>
      <c r="D612" s="6" t="n"/>
      <c r="E612" s="6">
        <f>IF($C612="","", IF($D612="", $C612, $C612 - $D612/2))</f>
        <v/>
      </c>
      <c r="F612" s="6">
        <f>IF($C612="","", IF($D612="", $C612, $C612 + $D612/2))</f>
        <v/>
      </c>
      <c r="G612" s="6">
        <f>IF($E612="","", DEGREES(ATAN((INDEX(Calc!$E:$E, MATCH("KminusZ_m", Calc!$C:$C, 0)) - $E612 + $B612) / INDEX(Calc!$E:$E, MATCH("L_ramp_m", Calc!$C:$C, 0)))))</f>
        <v/>
      </c>
      <c r="H612" s="3">
        <f>IF($E612="","", IF(AND($E612&gt;=INDEX(Calc!$E:$E, MATCH("min_fwd_draft_m", Calc!$C:$C, 0)), $E612&lt;=INDEX(Calc!$E:$E, MATCH("max_fwd_draft_m", Calc!$C:$C, 0)), $G612&lt;=INDEX(Calc!$E:$E, MATCH("theta_max_deg", Calc!$C:$C, 0))), "OK", "CHECK"))</f>
        <v/>
      </c>
      <c r="I612" s="6">
        <f>IF($E612="","", INDEX(Calc!$E:$E, MATCH("D_vessel_m", Calc!$C:$C, 0)) - $E612 + $B612)</f>
        <v/>
      </c>
      <c r="J612" s="6">
        <f>IF($F612="","", INDEX(Calc!$E:$E, MATCH("D_vessel_m", Calc!$C:$C, 0)) - $F612 + $B612)</f>
        <v/>
      </c>
      <c r="K612" s="3">
        <f>IF(D612=0, "Even Keel", "")</f>
        <v/>
      </c>
    </row>
    <row r="613">
      <c r="A613" s="3">
        <f>IF(December_Tide_2025!A613="","",December_Tide_2025!A613)</f>
        <v/>
      </c>
      <c r="B613" s="6">
        <f>IF(December_Tide_2025!B613="","",December_Tide_2025!B613)</f>
        <v/>
      </c>
      <c r="C613" s="6">
        <f>IF($A613="","", INDEX(Calc!$E:$E, MATCH("KminusZ_m", Calc!$C:$C, 0)) + $B613 - INDEX(Calc!$E:$E, MATCH("L_ramp_m", Calc!$C:$C, 0)) * TAN(RADIANS(INDEX(Calc!$E:$E, MATCH("theta_max_deg", Calc!$C:$C, 0)))))</f>
        <v/>
      </c>
      <c r="D613" s="6" t="n"/>
      <c r="E613" s="6">
        <f>IF($C613="","", IF($D613="", $C613, $C613 - $D613/2))</f>
        <v/>
      </c>
      <c r="F613" s="6">
        <f>IF($C613="","", IF($D613="", $C613, $C613 + $D613/2))</f>
        <v/>
      </c>
      <c r="G613" s="6">
        <f>IF($E613="","", DEGREES(ATAN((INDEX(Calc!$E:$E, MATCH("KminusZ_m", Calc!$C:$C, 0)) - $E613 + $B613) / INDEX(Calc!$E:$E, MATCH("L_ramp_m", Calc!$C:$C, 0)))))</f>
        <v/>
      </c>
      <c r="H613" s="3">
        <f>IF($E613="","", IF(AND($E613&gt;=INDEX(Calc!$E:$E, MATCH("min_fwd_draft_m", Calc!$C:$C, 0)), $E613&lt;=INDEX(Calc!$E:$E, MATCH("max_fwd_draft_m", Calc!$C:$C, 0)), $G613&lt;=INDEX(Calc!$E:$E, MATCH("theta_max_deg", Calc!$C:$C, 0))), "OK", "CHECK"))</f>
        <v/>
      </c>
      <c r="I613" s="6">
        <f>IF($E613="","", INDEX(Calc!$E:$E, MATCH("D_vessel_m", Calc!$C:$C, 0)) - $E613 + $B613)</f>
        <v/>
      </c>
      <c r="J613" s="6">
        <f>IF($F613="","", INDEX(Calc!$E:$E, MATCH("D_vessel_m", Calc!$C:$C, 0)) - $F613 + $B613)</f>
        <v/>
      </c>
      <c r="K613" s="3">
        <f>IF(D613=0, "Even Keel", "")</f>
        <v/>
      </c>
    </row>
    <row r="614">
      <c r="A614" s="3">
        <f>IF(December_Tide_2025!A614="","",December_Tide_2025!A614)</f>
        <v/>
      </c>
      <c r="B614" s="6">
        <f>IF(December_Tide_2025!B614="","",December_Tide_2025!B614)</f>
        <v/>
      </c>
      <c r="C614" s="6">
        <f>IF($A614="","", INDEX(Calc!$E:$E, MATCH("KminusZ_m", Calc!$C:$C, 0)) + $B614 - INDEX(Calc!$E:$E, MATCH("L_ramp_m", Calc!$C:$C, 0)) * TAN(RADIANS(INDEX(Calc!$E:$E, MATCH("theta_max_deg", Calc!$C:$C, 0)))))</f>
        <v/>
      </c>
      <c r="D614" s="6" t="n"/>
      <c r="E614" s="6">
        <f>IF($C614="","", IF($D614="", $C614, $C614 - $D614/2))</f>
        <v/>
      </c>
      <c r="F614" s="6">
        <f>IF($C614="","", IF($D614="", $C614, $C614 + $D614/2))</f>
        <v/>
      </c>
      <c r="G614" s="6">
        <f>IF($E614="","", DEGREES(ATAN((INDEX(Calc!$E:$E, MATCH("KminusZ_m", Calc!$C:$C, 0)) - $E614 + $B614) / INDEX(Calc!$E:$E, MATCH("L_ramp_m", Calc!$C:$C, 0)))))</f>
        <v/>
      </c>
      <c r="H614" s="3">
        <f>IF($E614="","", IF(AND($E614&gt;=INDEX(Calc!$E:$E, MATCH("min_fwd_draft_m", Calc!$C:$C, 0)), $E614&lt;=INDEX(Calc!$E:$E, MATCH("max_fwd_draft_m", Calc!$C:$C, 0)), $G614&lt;=INDEX(Calc!$E:$E, MATCH("theta_max_deg", Calc!$C:$C, 0))), "OK", "CHECK"))</f>
        <v/>
      </c>
      <c r="I614" s="6">
        <f>IF($E614="","", INDEX(Calc!$E:$E, MATCH("D_vessel_m", Calc!$C:$C, 0)) - $E614 + $B614)</f>
        <v/>
      </c>
      <c r="J614" s="6">
        <f>IF($F614="","", INDEX(Calc!$E:$E, MATCH("D_vessel_m", Calc!$C:$C, 0)) - $F614 + $B614)</f>
        <v/>
      </c>
      <c r="K614" s="3">
        <f>IF(D614=0, "Even Keel", "")</f>
        <v/>
      </c>
    </row>
    <row r="615">
      <c r="A615" s="3">
        <f>IF(December_Tide_2025!A615="","",December_Tide_2025!A615)</f>
        <v/>
      </c>
      <c r="B615" s="6">
        <f>IF(December_Tide_2025!B615="","",December_Tide_2025!B615)</f>
        <v/>
      </c>
      <c r="C615" s="6">
        <f>IF($A615="","", INDEX(Calc!$E:$E, MATCH("KminusZ_m", Calc!$C:$C, 0)) + $B615 - INDEX(Calc!$E:$E, MATCH("L_ramp_m", Calc!$C:$C, 0)) * TAN(RADIANS(INDEX(Calc!$E:$E, MATCH("theta_max_deg", Calc!$C:$C, 0)))))</f>
        <v/>
      </c>
      <c r="D615" s="6" t="n"/>
      <c r="E615" s="6">
        <f>IF($C615="","", IF($D615="", $C615, $C615 - $D615/2))</f>
        <v/>
      </c>
      <c r="F615" s="6">
        <f>IF($C615="","", IF($D615="", $C615, $C615 + $D615/2))</f>
        <v/>
      </c>
      <c r="G615" s="6">
        <f>IF($E615="","", DEGREES(ATAN((INDEX(Calc!$E:$E, MATCH("KminusZ_m", Calc!$C:$C, 0)) - $E615 + $B615) / INDEX(Calc!$E:$E, MATCH("L_ramp_m", Calc!$C:$C, 0)))))</f>
        <v/>
      </c>
      <c r="H615" s="3">
        <f>IF($E615="","", IF(AND($E615&gt;=INDEX(Calc!$E:$E, MATCH("min_fwd_draft_m", Calc!$C:$C, 0)), $E615&lt;=INDEX(Calc!$E:$E, MATCH("max_fwd_draft_m", Calc!$C:$C, 0)), $G615&lt;=INDEX(Calc!$E:$E, MATCH("theta_max_deg", Calc!$C:$C, 0))), "OK", "CHECK"))</f>
        <v/>
      </c>
      <c r="I615" s="6">
        <f>IF($E615="","", INDEX(Calc!$E:$E, MATCH("D_vessel_m", Calc!$C:$C, 0)) - $E615 + $B615)</f>
        <v/>
      </c>
      <c r="J615" s="6">
        <f>IF($F615="","", INDEX(Calc!$E:$E, MATCH("D_vessel_m", Calc!$C:$C, 0)) - $F615 + $B615)</f>
        <v/>
      </c>
      <c r="K615" s="3">
        <f>IF(D615=0, "Even Keel", "")</f>
        <v/>
      </c>
    </row>
    <row r="616">
      <c r="A616" s="3">
        <f>IF(December_Tide_2025!A616="","",December_Tide_2025!A616)</f>
        <v/>
      </c>
      <c r="B616" s="6">
        <f>IF(December_Tide_2025!B616="","",December_Tide_2025!B616)</f>
        <v/>
      </c>
      <c r="C616" s="6">
        <f>IF($A616="","", INDEX(Calc!$E:$E, MATCH("KminusZ_m", Calc!$C:$C, 0)) + $B616 - INDEX(Calc!$E:$E, MATCH("L_ramp_m", Calc!$C:$C, 0)) * TAN(RADIANS(INDEX(Calc!$E:$E, MATCH("theta_max_deg", Calc!$C:$C, 0)))))</f>
        <v/>
      </c>
      <c r="D616" s="6" t="n"/>
      <c r="E616" s="6">
        <f>IF($C616="","", IF($D616="", $C616, $C616 - $D616/2))</f>
        <v/>
      </c>
      <c r="F616" s="6">
        <f>IF($C616="","", IF($D616="", $C616, $C616 + $D616/2))</f>
        <v/>
      </c>
      <c r="G616" s="6">
        <f>IF($E616="","", DEGREES(ATAN((INDEX(Calc!$E:$E, MATCH("KminusZ_m", Calc!$C:$C, 0)) - $E616 + $B616) / INDEX(Calc!$E:$E, MATCH("L_ramp_m", Calc!$C:$C, 0)))))</f>
        <v/>
      </c>
      <c r="H616" s="3">
        <f>IF($E616="","", IF(AND($E616&gt;=INDEX(Calc!$E:$E, MATCH("min_fwd_draft_m", Calc!$C:$C, 0)), $E616&lt;=INDEX(Calc!$E:$E, MATCH("max_fwd_draft_m", Calc!$C:$C, 0)), $G616&lt;=INDEX(Calc!$E:$E, MATCH("theta_max_deg", Calc!$C:$C, 0))), "OK", "CHECK"))</f>
        <v/>
      </c>
      <c r="I616" s="6">
        <f>IF($E616="","", INDEX(Calc!$E:$E, MATCH("D_vessel_m", Calc!$C:$C, 0)) - $E616 + $B616)</f>
        <v/>
      </c>
      <c r="J616" s="6">
        <f>IF($F616="","", INDEX(Calc!$E:$E, MATCH("D_vessel_m", Calc!$C:$C, 0)) - $F616 + $B616)</f>
        <v/>
      </c>
      <c r="K616" s="3">
        <f>IF(D616=0, "Even Keel", "")</f>
        <v/>
      </c>
    </row>
    <row r="617">
      <c r="A617" s="3">
        <f>IF(December_Tide_2025!A617="","",December_Tide_2025!A617)</f>
        <v/>
      </c>
      <c r="B617" s="6">
        <f>IF(December_Tide_2025!B617="","",December_Tide_2025!B617)</f>
        <v/>
      </c>
      <c r="C617" s="6">
        <f>IF($A617="","", INDEX(Calc!$E:$E, MATCH("KminusZ_m", Calc!$C:$C, 0)) + $B617 - INDEX(Calc!$E:$E, MATCH("L_ramp_m", Calc!$C:$C, 0)) * TAN(RADIANS(INDEX(Calc!$E:$E, MATCH("theta_max_deg", Calc!$C:$C, 0)))))</f>
        <v/>
      </c>
      <c r="D617" s="6" t="n"/>
      <c r="E617" s="6">
        <f>IF($C617="","", IF($D617="", $C617, $C617 - $D617/2))</f>
        <v/>
      </c>
      <c r="F617" s="6">
        <f>IF($C617="","", IF($D617="", $C617, $C617 + $D617/2))</f>
        <v/>
      </c>
      <c r="G617" s="6">
        <f>IF($E617="","", DEGREES(ATAN((INDEX(Calc!$E:$E, MATCH("KminusZ_m", Calc!$C:$C, 0)) - $E617 + $B617) / INDEX(Calc!$E:$E, MATCH("L_ramp_m", Calc!$C:$C, 0)))))</f>
        <v/>
      </c>
      <c r="H617" s="3">
        <f>IF($E617="","", IF(AND($E617&gt;=INDEX(Calc!$E:$E, MATCH("min_fwd_draft_m", Calc!$C:$C, 0)), $E617&lt;=INDEX(Calc!$E:$E, MATCH("max_fwd_draft_m", Calc!$C:$C, 0)), $G617&lt;=INDEX(Calc!$E:$E, MATCH("theta_max_deg", Calc!$C:$C, 0))), "OK", "CHECK"))</f>
        <v/>
      </c>
      <c r="I617" s="6">
        <f>IF($E617="","", INDEX(Calc!$E:$E, MATCH("D_vessel_m", Calc!$C:$C, 0)) - $E617 + $B617)</f>
        <v/>
      </c>
      <c r="J617" s="6">
        <f>IF($F617="","", INDEX(Calc!$E:$E, MATCH("D_vessel_m", Calc!$C:$C, 0)) - $F617 + $B617)</f>
        <v/>
      </c>
      <c r="K617" s="3">
        <f>IF(D617=0, "Even Keel", "")</f>
        <v/>
      </c>
    </row>
    <row r="618">
      <c r="A618" s="3">
        <f>IF(December_Tide_2025!A618="","",December_Tide_2025!A618)</f>
        <v/>
      </c>
      <c r="B618" s="6">
        <f>IF(December_Tide_2025!B618="","",December_Tide_2025!B618)</f>
        <v/>
      </c>
      <c r="C618" s="6">
        <f>IF($A618="","", INDEX(Calc!$E:$E, MATCH("KminusZ_m", Calc!$C:$C, 0)) + $B618 - INDEX(Calc!$E:$E, MATCH("L_ramp_m", Calc!$C:$C, 0)) * TAN(RADIANS(INDEX(Calc!$E:$E, MATCH("theta_max_deg", Calc!$C:$C, 0)))))</f>
        <v/>
      </c>
      <c r="D618" s="6" t="n"/>
      <c r="E618" s="6">
        <f>IF($C618="","", IF($D618="", $C618, $C618 - $D618/2))</f>
        <v/>
      </c>
      <c r="F618" s="6">
        <f>IF($C618="","", IF($D618="", $C618, $C618 + $D618/2))</f>
        <v/>
      </c>
      <c r="G618" s="6">
        <f>IF($E618="","", DEGREES(ATAN((INDEX(Calc!$E:$E, MATCH("KminusZ_m", Calc!$C:$C, 0)) - $E618 + $B618) / INDEX(Calc!$E:$E, MATCH("L_ramp_m", Calc!$C:$C, 0)))))</f>
        <v/>
      </c>
      <c r="H618" s="3">
        <f>IF($E618="","", IF(AND($E618&gt;=INDEX(Calc!$E:$E, MATCH("min_fwd_draft_m", Calc!$C:$C, 0)), $E618&lt;=INDEX(Calc!$E:$E, MATCH("max_fwd_draft_m", Calc!$C:$C, 0)), $G618&lt;=INDEX(Calc!$E:$E, MATCH("theta_max_deg", Calc!$C:$C, 0))), "OK", "CHECK"))</f>
        <v/>
      </c>
      <c r="I618" s="6">
        <f>IF($E618="","", INDEX(Calc!$E:$E, MATCH("D_vessel_m", Calc!$C:$C, 0)) - $E618 + $B618)</f>
        <v/>
      </c>
      <c r="J618" s="6">
        <f>IF($F618="","", INDEX(Calc!$E:$E, MATCH("D_vessel_m", Calc!$C:$C, 0)) - $F618 + $B618)</f>
        <v/>
      </c>
      <c r="K618" s="3">
        <f>IF(D618=0, "Even Keel", "")</f>
        <v/>
      </c>
    </row>
    <row r="619">
      <c r="A619" s="3">
        <f>IF(December_Tide_2025!A619="","",December_Tide_2025!A619)</f>
        <v/>
      </c>
      <c r="B619" s="6">
        <f>IF(December_Tide_2025!B619="","",December_Tide_2025!B619)</f>
        <v/>
      </c>
      <c r="C619" s="6">
        <f>IF($A619="","", INDEX(Calc!$E:$E, MATCH("KminusZ_m", Calc!$C:$C, 0)) + $B619 - INDEX(Calc!$E:$E, MATCH("L_ramp_m", Calc!$C:$C, 0)) * TAN(RADIANS(INDEX(Calc!$E:$E, MATCH("theta_max_deg", Calc!$C:$C, 0)))))</f>
        <v/>
      </c>
      <c r="D619" s="6" t="n"/>
      <c r="E619" s="6">
        <f>IF($C619="","", IF($D619="", $C619, $C619 - $D619/2))</f>
        <v/>
      </c>
      <c r="F619" s="6">
        <f>IF($C619="","", IF($D619="", $C619, $C619 + $D619/2))</f>
        <v/>
      </c>
      <c r="G619" s="6">
        <f>IF($E619="","", DEGREES(ATAN((INDEX(Calc!$E:$E, MATCH("KminusZ_m", Calc!$C:$C, 0)) - $E619 + $B619) / INDEX(Calc!$E:$E, MATCH("L_ramp_m", Calc!$C:$C, 0)))))</f>
        <v/>
      </c>
      <c r="H619" s="3">
        <f>IF($E619="","", IF(AND($E619&gt;=INDEX(Calc!$E:$E, MATCH("min_fwd_draft_m", Calc!$C:$C, 0)), $E619&lt;=INDEX(Calc!$E:$E, MATCH("max_fwd_draft_m", Calc!$C:$C, 0)), $G619&lt;=INDEX(Calc!$E:$E, MATCH("theta_max_deg", Calc!$C:$C, 0))), "OK", "CHECK"))</f>
        <v/>
      </c>
      <c r="I619" s="6">
        <f>IF($E619="","", INDEX(Calc!$E:$E, MATCH("D_vessel_m", Calc!$C:$C, 0)) - $E619 + $B619)</f>
        <v/>
      </c>
      <c r="J619" s="6">
        <f>IF($F619="","", INDEX(Calc!$E:$E, MATCH("D_vessel_m", Calc!$C:$C, 0)) - $F619 + $B619)</f>
        <v/>
      </c>
      <c r="K619" s="3">
        <f>IF(D619=0, "Even Keel", "")</f>
        <v/>
      </c>
    </row>
    <row r="620">
      <c r="A620" s="3">
        <f>IF(December_Tide_2025!A620="","",December_Tide_2025!A620)</f>
        <v/>
      </c>
      <c r="B620" s="6">
        <f>IF(December_Tide_2025!B620="","",December_Tide_2025!B620)</f>
        <v/>
      </c>
      <c r="C620" s="6">
        <f>IF($A620="","", INDEX(Calc!$E:$E, MATCH("KminusZ_m", Calc!$C:$C, 0)) + $B620 - INDEX(Calc!$E:$E, MATCH("L_ramp_m", Calc!$C:$C, 0)) * TAN(RADIANS(INDEX(Calc!$E:$E, MATCH("theta_max_deg", Calc!$C:$C, 0)))))</f>
        <v/>
      </c>
      <c r="D620" s="6" t="n"/>
      <c r="E620" s="6">
        <f>IF($C620="","", IF($D620="", $C620, $C620 - $D620/2))</f>
        <v/>
      </c>
      <c r="F620" s="6">
        <f>IF($C620="","", IF($D620="", $C620, $C620 + $D620/2))</f>
        <v/>
      </c>
      <c r="G620" s="6">
        <f>IF($E620="","", DEGREES(ATAN((INDEX(Calc!$E:$E, MATCH("KminusZ_m", Calc!$C:$C, 0)) - $E620 + $B620) / INDEX(Calc!$E:$E, MATCH("L_ramp_m", Calc!$C:$C, 0)))))</f>
        <v/>
      </c>
      <c r="H620" s="3">
        <f>IF($E620="","", IF(AND($E620&gt;=INDEX(Calc!$E:$E, MATCH("min_fwd_draft_m", Calc!$C:$C, 0)), $E620&lt;=INDEX(Calc!$E:$E, MATCH("max_fwd_draft_m", Calc!$C:$C, 0)), $G620&lt;=INDEX(Calc!$E:$E, MATCH("theta_max_deg", Calc!$C:$C, 0))), "OK", "CHECK"))</f>
        <v/>
      </c>
      <c r="I620" s="6">
        <f>IF($E620="","", INDEX(Calc!$E:$E, MATCH("D_vessel_m", Calc!$C:$C, 0)) - $E620 + $B620)</f>
        <v/>
      </c>
      <c r="J620" s="6">
        <f>IF($F620="","", INDEX(Calc!$E:$E, MATCH("D_vessel_m", Calc!$C:$C, 0)) - $F620 + $B620)</f>
        <v/>
      </c>
      <c r="K620" s="3">
        <f>IF(D620=0, "Even Keel", "")</f>
        <v/>
      </c>
    </row>
    <row r="621">
      <c r="A621" s="3">
        <f>IF(December_Tide_2025!A621="","",December_Tide_2025!A621)</f>
        <v/>
      </c>
      <c r="B621" s="6">
        <f>IF(December_Tide_2025!B621="","",December_Tide_2025!B621)</f>
        <v/>
      </c>
      <c r="C621" s="6">
        <f>IF($A621="","", INDEX(Calc!$E:$E, MATCH("KminusZ_m", Calc!$C:$C, 0)) + $B621 - INDEX(Calc!$E:$E, MATCH("L_ramp_m", Calc!$C:$C, 0)) * TAN(RADIANS(INDEX(Calc!$E:$E, MATCH("theta_max_deg", Calc!$C:$C, 0)))))</f>
        <v/>
      </c>
      <c r="D621" s="6" t="n"/>
      <c r="E621" s="6">
        <f>IF($C621="","", IF($D621="", $C621, $C621 - $D621/2))</f>
        <v/>
      </c>
      <c r="F621" s="6">
        <f>IF($C621="","", IF($D621="", $C621, $C621 + $D621/2))</f>
        <v/>
      </c>
      <c r="G621" s="6">
        <f>IF($E621="","", DEGREES(ATAN((INDEX(Calc!$E:$E, MATCH("KminusZ_m", Calc!$C:$C, 0)) - $E621 + $B621) / INDEX(Calc!$E:$E, MATCH("L_ramp_m", Calc!$C:$C, 0)))))</f>
        <v/>
      </c>
      <c r="H621" s="3">
        <f>IF($E621="","", IF(AND($E621&gt;=INDEX(Calc!$E:$E, MATCH("min_fwd_draft_m", Calc!$C:$C, 0)), $E621&lt;=INDEX(Calc!$E:$E, MATCH("max_fwd_draft_m", Calc!$C:$C, 0)), $G621&lt;=INDEX(Calc!$E:$E, MATCH("theta_max_deg", Calc!$C:$C, 0))), "OK", "CHECK"))</f>
        <v/>
      </c>
      <c r="I621" s="6">
        <f>IF($E621="","", INDEX(Calc!$E:$E, MATCH("D_vessel_m", Calc!$C:$C, 0)) - $E621 + $B621)</f>
        <v/>
      </c>
      <c r="J621" s="6">
        <f>IF($F621="","", INDEX(Calc!$E:$E, MATCH("D_vessel_m", Calc!$C:$C, 0)) - $F621 + $B621)</f>
        <v/>
      </c>
      <c r="K621" s="3">
        <f>IF(D621=0, "Even Keel", "")</f>
        <v/>
      </c>
    </row>
    <row r="622">
      <c r="A622" s="3">
        <f>IF(December_Tide_2025!A622="","",December_Tide_2025!A622)</f>
        <v/>
      </c>
      <c r="B622" s="6">
        <f>IF(December_Tide_2025!B622="","",December_Tide_2025!B622)</f>
        <v/>
      </c>
      <c r="C622" s="6">
        <f>IF($A622="","", INDEX(Calc!$E:$E, MATCH("KminusZ_m", Calc!$C:$C, 0)) + $B622 - INDEX(Calc!$E:$E, MATCH("L_ramp_m", Calc!$C:$C, 0)) * TAN(RADIANS(INDEX(Calc!$E:$E, MATCH("theta_max_deg", Calc!$C:$C, 0)))))</f>
        <v/>
      </c>
      <c r="D622" s="6" t="n"/>
      <c r="E622" s="6">
        <f>IF($C622="","", IF($D622="", $C622, $C622 - $D622/2))</f>
        <v/>
      </c>
      <c r="F622" s="6">
        <f>IF($C622="","", IF($D622="", $C622, $C622 + $D622/2))</f>
        <v/>
      </c>
      <c r="G622" s="6">
        <f>IF($E622="","", DEGREES(ATAN((INDEX(Calc!$E:$E, MATCH("KminusZ_m", Calc!$C:$C, 0)) - $E622 + $B622) / INDEX(Calc!$E:$E, MATCH("L_ramp_m", Calc!$C:$C, 0)))))</f>
        <v/>
      </c>
      <c r="H622" s="3">
        <f>IF($E622="","", IF(AND($E622&gt;=INDEX(Calc!$E:$E, MATCH("min_fwd_draft_m", Calc!$C:$C, 0)), $E622&lt;=INDEX(Calc!$E:$E, MATCH("max_fwd_draft_m", Calc!$C:$C, 0)), $G622&lt;=INDEX(Calc!$E:$E, MATCH("theta_max_deg", Calc!$C:$C, 0))), "OK", "CHECK"))</f>
        <v/>
      </c>
      <c r="I622" s="6">
        <f>IF($E622="","", INDEX(Calc!$E:$E, MATCH("D_vessel_m", Calc!$C:$C, 0)) - $E622 + $B622)</f>
        <v/>
      </c>
      <c r="J622" s="6">
        <f>IF($F622="","", INDEX(Calc!$E:$E, MATCH("D_vessel_m", Calc!$C:$C, 0)) - $F622 + $B622)</f>
        <v/>
      </c>
      <c r="K622" s="3">
        <f>IF(D622=0, "Even Keel", "")</f>
        <v/>
      </c>
    </row>
    <row r="623">
      <c r="A623" s="3">
        <f>IF(December_Tide_2025!A623="","",December_Tide_2025!A623)</f>
        <v/>
      </c>
      <c r="B623" s="6">
        <f>IF(December_Tide_2025!B623="","",December_Tide_2025!B623)</f>
        <v/>
      </c>
      <c r="C623" s="6">
        <f>IF($A623="","", INDEX(Calc!$E:$E, MATCH("KminusZ_m", Calc!$C:$C, 0)) + $B623 - INDEX(Calc!$E:$E, MATCH("L_ramp_m", Calc!$C:$C, 0)) * TAN(RADIANS(INDEX(Calc!$E:$E, MATCH("theta_max_deg", Calc!$C:$C, 0)))))</f>
        <v/>
      </c>
      <c r="D623" s="6" t="n"/>
      <c r="E623" s="6">
        <f>IF($C623="","", IF($D623="", $C623, $C623 - $D623/2))</f>
        <v/>
      </c>
      <c r="F623" s="6">
        <f>IF($C623="","", IF($D623="", $C623, $C623 + $D623/2))</f>
        <v/>
      </c>
      <c r="G623" s="6">
        <f>IF($E623="","", DEGREES(ATAN((INDEX(Calc!$E:$E, MATCH("KminusZ_m", Calc!$C:$C, 0)) - $E623 + $B623) / INDEX(Calc!$E:$E, MATCH("L_ramp_m", Calc!$C:$C, 0)))))</f>
        <v/>
      </c>
      <c r="H623" s="3">
        <f>IF($E623="","", IF(AND($E623&gt;=INDEX(Calc!$E:$E, MATCH("min_fwd_draft_m", Calc!$C:$C, 0)), $E623&lt;=INDEX(Calc!$E:$E, MATCH("max_fwd_draft_m", Calc!$C:$C, 0)), $G623&lt;=INDEX(Calc!$E:$E, MATCH("theta_max_deg", Calc!$C:$C, 0))), "OK", "CHECK"))</f>
        <v/>
      </c>
      <c r="I623" s="6">
        <f>IF($E623="","", INDEX(Calc!$E:$E, MATCH("D_vessel_m", Calc!$C:$C, 0)) - $E623 + $B623)</f>
        <v/>
      </c>
      <c r="J623" s="6">
        <f>IF($F623="","", INDEX(Calc!$E:$E, MATCH("D_vessel_m", Calc!$C:$C, 0)) - $F623 + $B623)</f>
        <v/>
      </c>
      <c r="K623" s="3">
        <f>IF(D623=0, "Even Keel", "")</f>
        <v/>
      </c>
    </row>
    <row r="624">
      <c r="A624" s="3">
        <f>IF(December_Tide_2025!A624="","",December_Tide_2025!A624)</f>
        <v/>
      </c>
      <c r="B624" s="6">
        <f>IF(December_Tide_2025!B624="","",December_Tide_2025!B624)</f>
        <v/>
      </c>
      <c r="C624" s="6">
        <f>IF($A624="","", INDEX(Calc!$E:$E, MATCH("KminusZ_m", Calc!$C:$C, 0)) + $B624 - INDEX(Calc!$E:$E, MATCH("L_ramp_m", Calc!$C:$C, 0)) * TAN(RADIANS(INDEX(Calc!$E:$E, MATCH("theta_max_deg", Calc!$C:$C, 0)))))</f>
        <v/>
      </c>
      <c r="D624" s="6" t="n"/>
      <c r="E624" s="6">
        <f>IF($C624="","", IF($D624="", $C624, $C624 - $D624/2))</f>
        <v/>
      </c>
      <c r="F624" s="6">
        <f>IF($C624="","", IF($D624="", $C624, $C624 + $D624/2))</f>
        <v/>
      </c>
      <c r="G624" s="6">
        <f>IF($E624="","", DEGREES(ATAN((INDEX(Calc!$E:$E, MATCH("KminusZ_m", Calc!$C:$C, 0)) - $E624 + $B624) / INDEX(Calc!$E:$E, MATCH("L_ramp_m", Calc!$C:$C, 0)))))</f>
        <v/>
      </c>
      <c r="H624" s="3">
        <f>IF($E624="","", IF(AND($E624&gt;=INDEX(Calc!$E:$E, MATCH("min_fwd_draft_m", Calc!$C:$C, 0)), $E624&lt;=INDEX(Calc!$E:$E, MATCH("max_fwd_draft_m", Calc!$C:$C, 0)), $G624&lt;=INDEX(Calc!$E:$E, MATCH("theta_max_deg", Calc!$C:$C, 0))), "OK", "CHECK"))</f>
        <v/>
      </c>
      <c r="I624" s="6">
        <f>IF($E624="","", INDEX(Calc!$E:$E, MATCH("D_vessel_m", Calc!$C:$C, 0)) - $E624 + $B624)</f>
        <v/>
      </c>
      <c r="J624" s="6">
        <f>IF($F624="","", INDEX(Calc!$E:$E, MATCH("D_vessel_m", Calc!$C:$C, 0)) - $F624 + $B624)</f>
        <v/>
      </c>
      <c r="K624" s="3">
        <f>IF(D624=0, "Even Keel", "")</f>
        <v/>
      </c>
    </row>
    <row r="625">
      <c r="A625" s="3">
        <f>IF(December_Tide_2025!A625="","",December_Tide_2025!A625)</f>
        <v/>
      </c>
      <c r="B625" s="6">
        <f>IF(December_Tide_2025!B625="","",December_Tide_2025!B625)</f>
        <v/>
      </c>
      <c r="C625" s="6">
        <f>IF($A625="","", INDEX(Calc!$E:$E, MATCH("KminusZ_m", Calc!$C:$C, 0)) + $B625 - INDEX(Calc!$E:$E, MATCH("L_ramp_m", Calc!$C:$C, 0)) * TAN(RADIANS(INDEX(Calc!$E:$E, MATCH("theta_max_deg", Calc!$C:$C, 0)))))</f>
        <v/>
      </c>
      <c r="D625" s="6" t="n"/>
      <c r="E625" s="6">
        <f>IF($C625="","", IF($D625="", $C625, $C625 - $D625/2))</f>
        <v/>
      </c>
      <c r="F625" s="6">
        <f>IF($C625="","", IF($D625="", $C625, $C625 + $D625/2))</f>
        <v/>
      </c>
      <c r="G625" s="6">
        <f>IF($E625="","", DEGREES(ATAN((INDEX(Calc!$E:$E, MATCH("KminusZ_m", Calc!$C:$C, 0)) - $E625 + $B625) / INDEX(Calc!$E:$E, MATCH("L_ramp_m", Calc!$C:$C, 0)))))</f>
        <v/>
      </c>
      <c r="H625" s="3">
        <f>IF($E625="","", IF(AND($E625&gt;=INDEX(Calc!$E:$E, MATCH("min_fwd_draft_m", Calc!$C:$C, 0)), $E625&lt;=INDEX(Calc!$E:$E, MATCH("max_fwd_draft_m", Calc!$C:$C, 0)), $G625&lt;=INDEX(Calc!$E:$E, MATCH("theta_max_deg", Calc!$C:$C, 0))), "OK", "CHECK"))</f>
        <v/>
      </c>
      <c r="I625" s="6">
        <f>IF($E625="","", INDEX(Calc!$E:$E, MATCH("D_vessel_m", Calc!$C:$C, 0)) - $E625 + $B625)</f>
        <v/>
      </c>
      <c r="J625" s="6">
        <f>IF($F625="","", INDEX(Calc!$E:$E, MATCH("D_vessel_m", Calc!$C:$C, 0)) - $F625 + $B625)</f>
        <v/>
      </c>
      <c r="K625" s="3">
        <f>IF(D625=0, "Even Keel", "")</f>
        <v/>
      </c>
    </row>
    <row r="626">
      <c r="A626" s="3">
        <f>IF(December_Tide_2025!A626="","",December_Tide_2025!A626)</f>
        <v/>
      </c>
      <c r="B626" s="6">
        <f>IF(December_Tide_2025!B626="","",December_Tide_2025!B626)</f>
        <v/>
      </c>
      <c r="C626" s="6">
        <f>IF($A626="","", INDEX(Calc!$E:$E, MATCH("KminusZ_m", Calc!$C:$C, 0)) + $B626 - INDEX(Calc!$E:$E, MATCH("L_ramp_m", Calc!$C:$C, 0)) * TAN(RADIANS(INDEX(Calc!$E:$E, MATCH("theta_max_deg", Calc!$C:$C, 0)))))</f>
        <v/>
      </c>
      <c r="D626" s="6" t="n"/>
      <c r="E626" s="6">
        <f>IF($C626="","", IF($D626="", $C626, $C626 - $D626/2))</f>
        <v/>
      </c>
      <c r="F626" s="6">
        <f>IF($C626="","", IF($D626="", $C626, $C626 + $D626/2))</f>
        <v/>
      </c>
      <c r="G626" s="6">
        <f>IF($E626="","", DEGREES(ATAN((INDEX(Calc!$E:$E, MATCH("KminusZ_m", Calc!$C:$C, 0)) - $E626 + $B626) / INDEX(Calc!$E:$E, MATCH("L_ramp_m", Calc!$C:$C, 0)))))</f>
        <v/>
      </c>
      <c r="H626" s="3">
        <f>IF($E626="","", IF(AND($E626&gt;=INDEX(Calc!$E:$E, MATCH("min_fwd_draft_m", Calc!$C:$C, 0)), $E626&lt;=INDEX(Calc!$E:$E, MATCH("max_fwd_draft_m", Calc!$C:$C, 0)), $G626&lt;=INDEX(Calc!$E:$E, MATCH("theta_max_deg", Calc!$C:$C, 0))), "OK", "CHECK"))</f>
        <v/>
      </c>
      <c r="I626" s="6">
        <f>IF($E626="","", INDEX(Calc!$E:$E, MATCH("D_vessel_m", Calc!$C:$C, 0)) - $E626 + $B626)</f>
        <v/>
      </c>
      <c r="J626" s="6">
        <f>IF($F626="","", INDEX(Calc!$E:$E, MATCH("D_vessel_m", Calc!$C:$C, 0)) - $F626 + $B626)</f>
        <v/>
      </c>
      <c r="K626" s="3">
        <f>IF(D626=0, "Even Keel", "")</f>
        <v/>
      </c>
    </row>
    <row r="627">
      <c r="A627" s="3">
        <f>IF(December_Tide_2025!A627="","",December_Tide_2025!A627)</f>
        <v/>
      </c>
      <c r="B627" s="6">
        <f>IF(December_Tide_2025!B627="","",December_Tide_2025!B627)</f>
        <v/>
      </c>
      <c r="C627" s="6">
        <f>IF($A627="","", INDEX(Calc!$E:$E, MATCH("KminusZ_m", Calc!$C:$C, 0)) + $B627 - INDEX(Calc!$E:$E, MATCH("L_ramp_m", Calc!$C:$C, 0)) * TAN(RADIANS(INDEX(Calc!$E:$E, MATCH("theta_max_deg", Calc!$C:$C, 0)))))</f>
        <v/>
      </c>
      <c r="D627" s="6" t="n"/>
      <c r="E627" s="6">
        <f>IF($C627="","", IF($D627="", $C627, $C627 - $D627/2))</f>
        <v/>
      </c>
      <c r="F627" s="6">
        <f>IF($C627="","", IF($D627="", $C627, $C627 + $D627/2))</f>
        <v/>
      </c>
      <c r="G627" s="6">
        <f>IF($E627="","", DEGREES(ATAN((INDEX(Calc!$E:$E, MATCH("KminusZ_m", Calc!$C:$C, 0)) - $E627 + $B627) / INDEX(Calc!$E:$E, MATCH("L_ramp_m", Calc!$C:$C, 0)))))</f>
        <v/>
      </c>
      <c r="H627" s="3">
        <f>IF($E627="","", IF(AND($E627&gt;=INDEX(Calc!$E:$E, MATCH("min_fwd_draft_m", Calc!$C:$C, 0)), $E627&lt;=INDEX(Calc!$E:$E, MATCH("max_fwd_draft_m", Calc!$C:$C, 0)), $G627&lt;=INDEX(Calc!$E:$E, MATCH("theta_max_deg", Calc!$C:$C, 0))), "OK", "CHECK"))</f>
        <v/>
      </c>
      <c r="I627" s="6">
        <f>IF($E627="","", INDEX(Calc!$E:$E, MATCH("D_vessel_m", Calc!$C:$C, 0)) - $E627 + $B627)</f>
        <v/>
      </c>
      <c r="J627" s="6">
        <f>IF($F627="","", INDEX(Calc!$E:$E, MATCH("D_vessel_m", Calc!$C:$C, 0)) - $F627 + $B627)</f>
        <v/>
      </c>
      <c r="K627" s="3">
        <f>IF(D627=0, "Even Keel", "")</f>
        <v/>
      </c>
    </row>
    <row r="628">
      <c r="A628" s="3">
        <f>IF(December_Tide_2025!A628="","",December_Tide_2025!A628)</f>
        <v/>
      </c>
      <c r="B628" s="6">
        <f>IF(December_Tide_2025!B628="","",December_Tide_2025!B628)</f>
        <v/>
      </c>
      <c r="C628" s="6">
        <f>IF($A628="","", INDEX(Calc!$E:$E, MATCH("KminusZ_m", Calc!$C:$C, 0)) + $B628 - INDEX(Calc!$E:$E, MATCH("L_ramp_m", Calc!$C:$C, 0)) * TAN(RADIANS(INDEX(Calc!$E:$E, MATCH("theta_max_deg", Calc!$C:$C, 0)))))</f>
        <v/>
      </c>
      <c r="D628" s="6" t="n"/>
      <c r="E628" s="6">
        <f>IF($C628="","", IF($D628="", $C628, $C628 - $D628/2))</f>
        <v/>
      </c>
      <c r="F628" s="6">
        <f>IF($C628="","", IF($D628="", $C628, $C628 + $D628/2))</f>
        <v/>
      </c>
      <c r="G628" s="6">
        <f>IF($E628="","", DEGREES(ATAN((INDEX(Calc!$E:$E, MATCH("KminusZ_m", Calc!$C:$C, 0)) - $E628 + $B628) / INDEX(Calc!$E:$E, MATCH("L_ramp_m", Calc!$C:$C, 0)))))</f>
        <v/>
      </c>
      <c r="H628" s="3">
        <f>IF($E628="","", IF(AND($E628&gt;=INDEX(Calc!$E:$E, MATCH("min_fwd_draft_m", Calc!$C:$C, 0)), $E628&lt;=INDEX(Calc!$E:$E, MATCH("max_fwd_draft_m", Calc!$C:$C, 0)), $G628&lt;=INDEX(Calc!$E:$E, MATCH("theta_max_deg", Calc!$C:$C, 0))), "OK", "CHECK"))</f>
        <v/>
      </c>
      <c r="I628" s="6">
        <f>IF($E628="","", INDEX(Calc!$E:$E, MATCH("D_vessel_m", Calc!$C:$C, 0)) - $E628 + $B628)</f>
        <v/>
      </c>
      <c r="J628" s="6">
        <f>IF($F628="","", INDEX(Calc!$E:$E, MATCH("D_vessel_m", Calc!$C:$C, 0)) - $F628 + $B628)</f>
        <v/>
      </c>
      <c r="K628" s="3">
        <f>IF(D628=0, "Even Keel", "")</f>
        <v/>
      </c>
    </row>
    <row r="629">
      <c r="A629" s="3">
        <f>IF(December_Tide_2025!A629="","",December_Tide_2025!A629)</f>
        <v/>
      </c>
      <c r="B629" s="6">
        <f>IF(December_Tide_2025!B629="","",December_Tide_2025!B629)</f>
        <v/>
      </c>
      <c r="C629" s="6">
        <f>IF($A629="","", INDEX(Calc!$E:$E, MATCH("KminusZ_m", Calc!$C:$C, 0)) + $B629 - INDEX(Calc!$E:$E, MATCH("L_ramp_m", Calc!$C:$C, 0)) * TAN(RADIANS(INDEX(Calc!$E:$E, MATCH("theta_max_deg", Calc!$C:$C, 0)))))</f>
        <v/>
      </c>
      <c r="D629" s="6" t="n"/>
      <c r="E629" s="6">
        <f>IF($C629="","", IF($D629="", $C629, $C629 - $D629/2))</f>
        <v/>
      </c>
      <c r="F629" s="6">
        <f>IF($C629="","", IF($D629="", $C629, $C629 + $D629/2))</f>
        <v/>
      </c>
      <c r="G629" s="6">
        <f>IF($E629="","", DEGREES(ATAN((INDEX(Calc!$E:$E, MATCH("KminusZ_m", Calc!$C:$C, 0)) - $E629 + $B629) / INDEX(Calc!$E:$E, MATCH("L_ramp_m", Calc!$C:$C, 0)))))</f>
        <v/>
      </c>
      <c r="H629" s="3">
        <f>IF($E629="","", IF(AND($E629&gt;=INDEX(Calc!$E:$E, MATCH("min_fwd_draft_m", Calc!$C:$C, 0)), $E629&lt;=INDEX(Calc!$E:$E, MATCH("max_fwd_draft_m", Calc!$C:$C, 0)), $G629&lt;=INDEX(Calc!$E:$E, MATCH("theta_max_deg", Calc!$C:$C, 0))), "OK", "CHECK"))</f>
        <v/>
      </c>
      <c r="I629" s="6">
        <f>IF($E629="","", INDEX(Calc!$E:$E, MATCH("D_vessel_m", Calc!$C:$C, 0)) - $E629 + $B629)</f>
        <v/>
      </c>
      <c r="J629" s="6">
        <f>IF($F629="","", INDEX(Calc!$E:$E, MATCH("D_vessel_m", Calc!$C:$C, 0)) - $F629 + $B629)</f>
        <v/>
      </c>
      <c r="K629" s="3">
        <f>IF(D629=0, "Even Keel", "")</f>
        <v/>
      </c>
    </row>
    <row r="630">
      <c r="A630" s="3">
        <f>IF(December_Tide_2025!A630="","",December_Tide_2025!A630)</f>
        <v/>
      </c>
      <c r="B630" s="6">
        <f>IF(December_Tide_2025!B630="","",December_Tide_2025!B630)</f>
        <v/>
      </c>
      <c r="C630" s="6">
        <f>IF($A630="","", INDEX(Calc!$E:$E, MATCH("KminusZ_m", Calc!$C:$C, 0)) + $B630 - INDEX(Calc!$E:$E, MATCH("L_ramp_m", Calc!$C:$C, 0)) * TAN(RADIANS(INDEX(Calc!$E:$E, MATCH("theta_max_deg", Calc!$C:$C, 0)))))</f>
        <v/>
      </c>
      <c r="D630" s="6" t="n"/>
      <c r="E630" s="6">
        <f>IF($C630="","", IF($D630="", $C630, $C630 - $D630/2))</f>
        <v/>
      </c>
      <c r="F630" s="6">
        <f>IF($C630="","", IF($D630="", $C630, $C630 + $D630/2))</f>
        <v/>
      </c>
      <c r="G630" s="6">
        <f>IF($E630="","", DEGREES(ATAN((INDEX(Calc!$E:$E, MATCH("KminusZ_m", Calc!$C:$C, 0)) - $E630 + $B630) / INDEX(Calc!$E:$E, MATCH("L_ramp_m", Calc!$C:$C, 0)))))</f>
        <v/>
      </c>
      <c r="H630" s="3">
        <f>IF($E630="","", IF(AND($E630&gt;=INDEX(Calc!$E:$E, MATCH("min_fwd_draft_m", Calc!$C:$C, 0)), $E630&lt;=INDEX(Calc!$E:$E, MATCH("max_fwd_draft_m", Calc!$C:$C, 0)), $G630&lt;=INDEX(Calc!$E:$E, MATCH("theta_max_deg", Calc!$C:$C, 0))), "OK", "CHECK"))</f>
        <v/>
      </c>
      <c r="I630" s="6">
        <f>IF($E630="","", INDEX(Calc!$E:$E, MATCH("D_vessel_m", Calc!$C:$C, 0)) - $E630 + $B630)</f>
        <v/>
      </c>
      <c r="J630" s="6">
        <f>IF($F630="","", INDEX(Calc!$E:$E, MATCH("D_vessel_m", Calc!$C:$C, 0)) - $F630 + $B630)</f>
        <v/>
      </c>
      <c r="K630" s="3">
        <f>IF(D630=0, "Even Keel", "")</f>
        <v/>
      </c>
    </row>
    <row r="631">
      <c r="A631" s="3">
        <f>IF(December_Tide_2025!A631="","",December_Tide_2025!A631)</f>
        <v/>
      </c>
      <c r="B631" s="6">
        <f>IF(December_Tide_2025!B631="","",December_Tide_2025!B631)</f>
        <v/>
      </c>
      <c r="C631" s="6">
        <f>IF($A631="","", INDEX(Calc!$E:$E, MATCH("KminusZ_m", Calc!$C:$C, 0)) + $B631 - INDEX(Calc!$E:$E, MATCH("L_ramp_m", Calc!$C:$C, 0)) * TAN(RADIANS(INDEX(Calc!$E:$E, MATCH("theta_max_deg", Calc!$C:$C, 0)))))</f>
        <v/>
      </c>
      <c r="D631" s="6" t="n"/>
      <c r="E631" s="6">
        <f>IF($C631="","", IF($D631="", $C631, $C631 - $D631/2))</f>
        <v/>
      </c>
      <c r="F631" s="6">
        <f>IF($C631="","", IF($D631="", $C631, $C631 + $D631/2))</f>
        <v/>
      </c>
      <c r="G631" s="6">
        <f>IF($E631="","", DEGREES(ATAN((INDEX(Calc!$E:$E, MATCH("KminusZ_m", Calc!$C:$C, 0)) - $E631 + $B631) / INDEX(Calc!$E:$E, MATCH("L_ramp_m", Calc!$C:$C, 0)))))</f>
        <v/>
      </c>
      <c r="H631" s="3">
        <f>IF($E631="","", IF(AND($E631&gt;=INDEX(Calc!$E:$E, MATCH("min_fwd_draft_m", Calc!$C:$C, 0)), $E631&lt;=INDEX(Calc!$E:$E, MATCH("max_fwd_draft_m", Calc!$C:$C, 0)), $G631&lt;=INDEX(Calc!$E:$E, MATCH("theta_max_deg", Calc!$C:$C, 0))), "OK", "CHECK"))</f>
        <v/>
      </c>
      <c r="I631" s="6">
        <f>IF($E631="","", INDEX(Calc!$E:$E, MATCH("D_vessel_m", Calc!$C:$C, 0)) - $E631 + $B631)</f>
        <v/>
      </c>
      <c r="J631" s="6">
        <f>IF($F631="","", INDEX(Calc!$E:$E, MATCH("D_vessel_m", Calc!$C:$C, 0)) - $F631 + $B631)</f>
        <v/>
      </c>
      <c r="K631" s="3">
        <f>IF(D631=0, "Even Keel", "")</f>
        <v/>
      </c>
    </row>
    <row r="632">
      <c r="A632" s="3">
        <f>IF(December_Tide_2025!A632="","",December_Tide_2025!A632)</f>
        <v/>
      </c>
      <c r="B632" s="6">
        <f>IF(December_Tide_2025!B632="","",December_Tide_2025!B632)</f>
        <v/>
      </c>
      <c r="C632" s="6">
        <f>IF($A632="","", INDEX(Calc!$E:$E, MATCH("KminusZ_m", Calc!$C:$C, 0)) + $B632 - INDEX(Calc!$E:$E, MATCH("L_ramp_m", Calc!$C:$C, 0)) * TAN(RADIANS(INDEX(Calc!$E:$E, MATCH("theta_max_deg", Calc!$C:$C, 0)))))</f>
        <v/>
      </c>
      <c r="D632" s="6" t="n"/>
      <c r="E632" s="6">
        <f>IF($C632="","", IF($D632="", $C632, $C632 - $D632/2))</f>
        <v/>
      </c>
      <c r="F632" s="6">
        <f>IF($C632="","", IF($D632="", $C632, $C632 + $D632/2))</f>
        <v/>
      </c>
      <c r="G632" s="6">
        <f>IF($E632="","", DEGREES(ATAN((INDEX(Calc!$E:$E, MATCH("KminusZ_m", Calc!$C:$C, 0)) - $E632 + $B632) / INDEX(Calc!$E:$E, MATCH("L_ramp_m", Calc!$C:$C, 0)))))</f>
        <v/>
      </c>
      <c r="H632" s="3">
        <f>IF($E632="","", IF(AND($E632&gt;=INDEX(Calc!$E:$E, MATCH("min_fwd_draft_m", Calc!$C:$C, 0)), $E632&lt;=INDEX(Calc!$E:$E, MATCH("max_fwd_draft_m", Calc!$C:$C, 0)), $G632&lt;=INDEX(Calc!$E:$E, MATCH("theta_max_deg", Calc!$C:$C, 0))), "OK", "CHECK"))</f>
        <v/>
      </c>
      <c r="I632" s="6">
        <f>IF($E632="","", INDEX(Calc!$E:$E, MATCH("D_vessel_m", Calc!$C:$C, 0)) - $E632 + $B632)</f>
        <v/>
      </c>
      <c r="J632" s="6">
        <f>IF($F632="","", INDEX(Calc!$E:$E, MATCH("D_vessel_m", Calc!$C:$C, 0)) - $F632 + $B632)</f>
        <v/>
      </c>
      <c r="K632" s="3">
        <f>IF(D632=0, "Even Keel", "")</f>
        <v/>
      </c>
    </row>
    <row r="633">
      <c r="A633" s="3">
        <f>IF(December_Tide_2025!A633="","",December_Tide_2025!A633)</f>
        <v/>
      </c>
      <c r="B633" s="6">
        <f>IF(December_Tide_2025!B633="","",December_Tide_2025!B633)</f>
        <v/>
      </c>
      <c r="C633" s="6">
        <f>IF($A633="","", INDEX(Calc!$E:$E, MATCH("KminusZ_m", Calc!$C:$C, 0)) + $B633 - INDEX(Calc!$E:$E, MATCH("L_ramp_m", Calc!$C:$C, 0)) * TAN(RADIANS(INDEX(Calc!$E:$E, MATCH("theta_max_deg", Calc!$C:$C, 0)))))</f>
        <v/>
      </c>
      <c r="D633" s="6" t="n"/>
      <c r="E633" s="6">
        <f>IF($C633="","", IF($D633="", $C633, $C633 - $D633/2))</f>
        <v/>
      </c>
      <c r="F633" s="6">
        <f>IF($C633="","", IF($D633="", $C633, $C633 + $D633/2))</f>
        <v/>
      </c>
      <c r="G633" s="6">
        <f>IF($E633="","", DEGREES(ATAN((INDEX(Calc!$E:$E, MATCH("KminusZ_m", Calc!$C:$C, 0)) - $E633 + $B633) / INDEX(Calc!$E:$E, MATCH("L_ramp_m", Calc!$C:$C, 0)))))</f>
        <v/>
      </c>
      <c r="H633" s="3">
        <f>IF($E633="","", IF(AND($E633&gt;=INDEX(Calc!$E:$E, MATCH("min_fwd_draft_m", Calc!$C:$C, 0)), $E633&lt;=INDEX(Calc!$E:$E, MATCH("max_fwd_draft_m", Calc!$C:$C, 0)), $G633&lt;=INDEX(Calc!$E:$E, MATCH("theta_max_deg", Calc!$C:$C, 0))), "OK", "CHECK"))</f>
        <v/>
      </c>
      <c r="I633" s="6">
        <f>IF($E633="","", INDEX(Calc!$E:$E, MATCH("D_vessel_m", Calc!$C:$C, 0)) - $E633 + $B633)</f>
        <v/>
      </c>
      <c r="J633" s="6">
        <f>IF($F633="","", INDEX(Calc!$E:$E, MATCH("D_vessel_m", Calc!$C:$C, 0)) - $F633 + $B633)</f>
        <v/>
      </c>
      <c r="K633" s="3">
        <f>IF(D633=0, "Even Keel", "")</f>
        <v/>
      </c>
    </row>
    <row r="634">
      <c r="A634" s="3">
        <f>IF(December_Tide_2025!A634="","",December_Tide_2025!A634)</f>
        <v/>
      </c>
      <c r="B634" s="6">
        <f>IF(December_Tide_2025!B634="","",December_Tide_2025!B634)</f>
        <v/>
      </c>
      <c r="C634" s="6">
        <f>IF($A634="","", INDEX(Calc!$E:$E, MATCH("KminusZ_m", Calc!$C:$C, 0)) + $B634 - INDEX(Calc!$E:$E, MATCH("L_ramp_m", Calc!$C:$C, 0)) * TAN(RADIANS(INDEX(Calc!$E:$E, MATCH("theta_max_deg", Calc!$C:$C, 0)))))</f>
        <v/>
      </c>
      <c r="D634" s="6" t="n"/>
      <c r="E634" s="6">
        <f>IF($C634="","", IF($D634="", $C634, $C634 - $D634/2))</f>
        <v/>
      </c>
      <c r="F634" s="6">
        <f>IF($C634="","", IF($D634="", $C634, $C634 + $D634/2))</f>
        <v/>
      </c>
      <c r="G634" s="6">
        <f>IF($E634="","", DEGREES(ATAN((INDEX(Calc!$E:$E, MATCH("KminusZ_m", Calc!$C:$C, 0)) - $E634 + $B634) / INDEX(Calc!$E:$E, MATCH("L_ramp_m", Calc!$C:$C, 0)))))</f>
        <v/>
      </c>
      <c r="H634" s="3">
        <f>IF($E634="","", IF(AND($E634&gt;=INDEX(Calc!$E:$E, MATCH("min_fwd_draft_m", Calc!$C:$C, 0)), $E634&lt;=INDEX(Calc!$E:$E, MATCH("max_fwd_draft_m", Calc!$C:$C, 0)), $G634&lt;=INDEX(Calc!$E:$E, MATCH("theta_max_deg", Calc!$C:$C, 0))), "OK", "CHECK"))</f>
        <v/>
      </c>
      <c r="I634" s="6">
        <f>IF($E634="","", INDEX(Calc!$E:$E, MATCH("D_vessel_m", Calc!$C:$C, 0)) - $E634 + $B634)</f>
        <v/>
      </c>
      <c r="J634" s="6">
        <f>IF($F634="","", INDEX(Calc!$E:$E, MATCH("D_vessel_m", Calc!$C:$C, 0)) - $F634 + $B634)</f>
        <v/>
      </c>
      <c r="K634" s="3">
        <f>IF(D634=0, "Even Keel", "")</f>
        <v/>
      </c>
    </row>
    <row r="635">
      <c r="A635" s="3">
        <f>IF(December_Tide_2025!A635="","",December_Tide_2025!A635)</f>
        <v/>
      </c>
      <c r="B635" s="6">
        <f>IF(December_Tide_2025!B635="","",December_Tide_2025!B635)</f>
        <v/>
      </c>
      <c r="C635" s="6">
        <f>IF($A635="","", INDEX(Calc!$E:$E, MATCH("KminusZ_m", Calc!$C:$C, 0)) + $B635 - INDEX(Calc!$E:$E, MATCH("L_ramp_m", Calc!$C:$C, 0)) * TAN(RADIANS(INDEX(Calc!$E:$E, MATCH("theta_max_deg", Calc!$C:$C, 0)))))</f>
        <v/>
      </c>
      <c r="D635" s="6" t="n"/>
      <c r="E635" s="6">
        <f>IF($C635="","", IF($D635="", $C635, $C635 - $D635/2))</f>
        <v/>
      </c>
      <c r="F635" s="6">
        <f>IF($C635="","", IF($D635="", $C635, $C635 + $D635/2))</f>
        <v/>
      </c>
      <c r="G635" s="6">
        <f>IF($E635="","", DEGREES(ATAN((INDEX(Calc!$E:$E, MATCH("KminusZ_m", Calc!$C:$C, 0)) - $E635 + $B635) / INDEX(Calc!$E:$E, MATCH("L_ramp_m", Calc!$C:$C, 0)))))</f>
        <v/>
      </c>
      <c r="H635" s="3">
        <f>IF($E635="","", IF(AND($E635&gt;=INDEX(Calc!$E:$E, MATCH("min_fwd_draft_m", Calc!$C:$C, 0)), $E635&lt;=INDEX(Calc!$E:$E, MATCH("max_fwd_draft_m", Calc!$C:$C, 0)), $G635&lt;=INDEX(Calc!$E:$E, MATCH("theta_max_deg", Calc!$C:$C, 0))), "OK", "CHECK"))</f>
        <v/>
      </c>
      <c r="I635" s="6">
        <f>IF($E635="","", INDEX(Calc!$E:$E, MATCH("D_vessel_m", Calc!$C:$C, 0)) - $E635 + $B635)</f>
        <v/>
      </c>
      <c r="J635" s="6">
        <f>IF($F635="","", INDEX(Calc!$E:$E, MATCH("D_vessel_m", Calc!$C:$C, 0)) - $F635 + $B635)</f>
        <v/>
      </c>
      <c r="K635" s="3">
        <f>IF(D635=0, "Even Keel", "")</f>
        <v/>
      </c>
    </row>
    <row r="636">
      <c r="A636" s="3">
        <f>IF(December_Tide_2025!A636="","",December_Tide_2025!A636)</f>
        <v/>
      </c>
      <c r="B636" s="6">
        <f>IF(December_Tide_2025!B636="","",December_Tide_2025!B636)</f>
        <v/>
      </c>
      <c r="C636" s="6">
        <f>IF($A636="","", INDEX(Calc!$E:$E, MATCH("KminusZ_m", Calc!$C:$C, 0)) + $B636 - INDEX(Calc!$E:$E, MATCH("L_ramp_m", Calc!$C:$C, 0)) * TAN(RADIANS(INDEX(Calc!$E:$E, MATCH("theta_max_deg", Calc!$C:$C, 0)))))</f>
        <v/>
      </c>
      <c r="D636" s="6" t="n"/>
      <c r="E636" s="6">
        <f>IF($C636="","", IF($D636="", $C636, $C636 - $D636/2))</f>
        <v/>
      </c>
      <c r="F636" s="6">
        <f>IF($C636="","", IF($D636="", $C636, $C636 + $D636/2))</f>
        <v/>
      </c>
      <c r="G636" s="6">
        <f>IF($E636="","", DEGREES(ATAN((INDEX(Calc!$E:$E, MATCH("KminusZ_m", Calc!$C:$C, 0)) - $E636 + $B636) / INDEX(Calc!$E:$E, MATCH("L_ramp_m", Calc!$C:$C, 0)))))</f>
        <v/>
      </c>
      <c r="H636" s="3">
        <f>IF($E636="","", IF(AND($E636&gt;=INDEX(Calc!$E:$E, MATCH("min_fwd_draft_m", Calc!$C:$C, 0)), $E636&lt;=INDEX(Calc!$E:$E, MATCH("max_fwd_draft_m", Calc!$C:$C, 0)), $G636&lt;=INDEX(Calc!$E:$E, MATCH("theta_max_deg", Calc!$C:$C, 0))), "OK", "CHECK"))</f>
        <v/>
      </c>
      <c r="I636" s="6">
        <f>IF($E636="","", INDEX(Calc!$E:$E, MATCH("D_vessel_m", Calc!$C:$C, 0)) - $E636 + $B636)</f>
        <v/>
      </c>
      <c r="J636" s="6">
        <f>IF($F636="","", INDEX(Calc!$E:$E, MATCH("D_vessel_m", Calc!$C:$C, 0)) - $F636 + $B636)</f>
        <v/>
      </c>
      <c r="K636" s="3">
        <f>IF(D636=0, "Even Keel", "")</f>
        <v/>
      </c>
    </row>
    <row r="637">
      <c r="A637" s="3">
        <f>IF(December_Tide_2025!A637="","",December_Tide_2025!A637)</f>
        <v/>
      </c>
      <c r="B637" s="6">
        <f>IF(December_Tide_2025!B637="","",December_Tide_2025!B637)</f>
        <v/>
      </c>
      <c r="C637" s="6">
        <f>IF($A637="","", INDEX(Calc!$E:$E, MATCH("KminusZ_m", Calc!$C:$C, 0)) + $B637 - INDEX(Calc!$E:$E, MATCH("L_ramp_m", Calc!$C:$C, 0)) * TAN(RADIANS(INDEX(Calc!$E:$E, MATCH("theta_max_deg", Calc!$C:$C, 0)))))</f>
        <v/>
      </c>
      <c r="D637" s="6" t="n"/>
      <c r="E637" s="6">
        <f>IF($C637="","", IF($D637="", $C637, $C637 - $D637/2))</f>
        <v/>
      </c>
      <c r="F637" s="6">
        <f>IF($C637="","", IF($D637="", $C637, $C637 + $D637/2))</f>
        <v/>
      </c>
      <c r="G637" s="6">
        <f>IF($E637="","", DEGREES(ATAN((INDEX(Calc!$E:$E, MATCH("KminusZ_m", Calc!$C:$C, 0)) - $E637 + $B637) / INDEX(Calc!$E:$E, MATCH("L_ramp_m", Calc!$C:$C, 0)))))</f>
        <v/>
      </c>
      <c r="H637" s="3">
        <f>IF($E637="","", IF(AND($E637&gt;=INDEX(Calc!$E:$E, MATCH("min_fwd_draft_m", Calc!$C:$C, 0)), $E637&lt;=INDEX(Calc!$E:$E, MATCH("max_fwd_draft_m", Calc!$C:$C, 0)), $G637&lt;=INDEX(Calc!$E:$E, MATCH("theta_max_deg", Calc!$C:$C, 0))), "OK", "CHECK"))</f>
        <v/>
      </c>
      <c r="I637" s="6">
        <f>IF($E637="","", INDEX(Calc!$E:$E, MATCH("D_vessel_m", Calc!$C:$C, 0)) - $E637 + $B637)</f>
        <v/>
      </c>
      <c r="J637" s="6">
        <f>IF($F637="","", INDEX(Calc!$E:$E, MATCH("D_vessel_m", Calc!$C:$C, 0)) - $F637 + $B637)</f>
        <v/>
      </c>
      <c r="K637" s="3">
        <f>IF(D637=0, "Even Keel", "")</f>
        <v/>
      </c>
    </row>
    <row r="638">
      <c r="A638" s="3">
        <f>IF(December_Tide_2025!A638="","",December_Tide_2025!A638)</f>
        <v/>
      </c>
      <c r="B638" s="6">
        <f>IF(December_Tide_2025!B638="","",December_Tide_2025!B638)</f>
        <v/>
      </c>
      <c r="C638" s="6">
        <f>IF($A638="","", INDEX(Calc!$E:$E, MATCH("KminusZ_m", Calc!$C:$C, 0)) + $B638 - INDEX(Calc!$E:$E, MATCH("L_ramp_m", Calc!$C:$C, 0)) * TAN(RADIANS(INDEX(Calc!$E:$E, MATCH("theta_max_deg", Calc!$C:$C, 0)))))</f>
        <v/>
      </c>
      <c r="D638" s="6" t="n"/>
      <c r="E638" s="6">
        <f>IF($C638="","", IF($D638="", $C638, $C638 - $D638/2))</f>
        <v/>
      </c>
      <c r="F638" s="6">
        <f>IF($C638="","", IF($D638="", $C638, $C638 + $D638/2))</f>
        <v/>
      </c>
      <c r="G638" s="6">
        <f>IF($E638="","", DEGREES(ATAN((INDEX(Calc!$E:$E, MATCH("KminusZ_m", Calc!$C:$C, 0)) - $E638 + $B638) / INDEX(Calc!$E:$E, MATCH("L_ramp_m", Calc!$C:$C, 0)))))</f>
        <v/>
      </c>
      <c r="H638" s="3">
        <f>IF($E638="","", IF(AND($E638&gt;=INDEX(Calc!$E:$E, MATCH("min_fwd_draft_m", Calc!$C:$C, 0)), $E638&lt;=INDEX(Calc!$E:$E, MATCH("max_fwd_draft_m", Calc!$C:$C, 0)), $G638&lt;=INDEX(Calc!$E:$E, MATCH("theta_max_deg", Calc!$C:$C, 0))), "OK", "CHECK"))</f>
        <v/>
      </c>
      <c r="I638" s="6">
        <f>IF($E638="","", INDEX(Calc!$E:$E, MATCH("D_vessel_m", Calc!$C:$C, 0)) - $E638 + $B638)</f>
        <v/>
      </c>
      <c r="J638" s="6">
        <f>IF($F638="","", INDEX(Calc!$E:$E, MATCH("D_vessel_m", Calc!$C:$C, 0)) - $F638 + $B638)</f>
        <v/>
      </c>
      <c r="K638" s="3">
        <f>IF(D638=0, "Even Keel", "")</f>
        <v/>
      </c>
    </row>
    <row r="639">
      <c r="A639" s="3">
        <f>IF(December_Tide_2025!A639="","",December_Tide_2025!A639)</f>
        <v/>
      </c>
      <c r="B639" s="6">
        <f>IF(December_Tide_2025!B639="","",December_Tide_2025!B639)</f>
        <v/>
      </c>
      <c r="C639" s="6">
        <f>IF($A639="","", INDEX(Calc!$E:$E, MATCH("KminusZ_m", Calc!$C:$C, 0)) + $B639 - INDEX(Calc!$E:$E, MATCH("L_ramp_m", Calc!$C:$C, 0)) * TAN(RADIANS(INDEX(Calc!$E:$E, MATCH("theta_max_deg", Calc!$C:$C, 0)))))</f>
        <v/>
      </c>
      <c r="D639" s="6" t="n"/>
      <c r="E639" s="6">
        <f>IF($C639="","", IF($D639="", $C639, $C639 - $D639/2))</f>
        <v/>
      </c>
      <c r="F639" s="6">
        <f>IF($C639="","", IF($D639="", $C639, $C639 + $D639/2))</f>
        <v/>
      </c>
      <c r="G639" s="6">
        <f>IF($E639="","", DEGREES(ATAN((INDEX(Calc!$E:$E, MATCH("KminusZ_m", Calc!$C:$C, 0)) - $E639 + $B639) / INDEX(Calc!$E:$E, MATCH("L_ramp_m", Calc!$C:$C, 0)))))</f>
        <v/>
      </c>
      <c r="H639" s="3">
        <f>IF($E639="","", IF(AND($E639&gt;=INDEX(Calc!$E:$E, MATCH("min_fwd_draft_m", Calc!$C:$C, 0)), $E639&lt;=INDEX(Calc!$E:$E, MATCH("max_fwd_draft_m", Calc!$C:$C, 0)), $G639&lt;=INDEX(Calc!$E:$E, MATCH("theta_max_deg", Calc!$C:$C, 0))), "OK", "CHECK"))</f>
        <v/>
      </c>
      <c r="I639" s="6">
        <f>IF($E639="","", INDEX(Calc!$E:$E, MATCH("D_vessel_m", Calc!$C:$C, 0)) - $E639 + $B639)</f>
        <v/>
      </c>
      <c r="J639" s="6">
        <f>IF($F639="","", INDEX(Calc!$E:$E, MATCH("D_vessel_m", Calc!$C:$C, 0)) - $F639 + $B639)</f>
        <v/>
      </c>
      <c r="K639" s="3">
        <f>IF(D639=0, "Even Keel", "")</f>
        <v/>
      </c>
    </row>
    <row r="640">
      <c r="A640" s="3">
        <f>IF(December_Tide_2025!A640="","",December_Tide_2025!A640)</f>
        <v/>
      </c>
      <c r="B640" s="6">
        <f>IF(December_Tide_2025!B640="","",December_Tide_2025!B640)</f>
        <v/>
      </c>
      <c r="C640" s="6">
        <f>IF($A640="","", INDEX(Calc!$E:$E, MATCH("KminusZ_m", Calc!$C:$C, 0)) + $B640 - INDEX(Calc!$E:$E, MATCH("L_ramp_m", Calc!$C:$C, 0)) * TAN(RADIANS(INDEX(Calc!$E:$E, MATCH("theta_max_deg", Calc!$C:$C, 0)))))</f>
        <v/>
      </c>
      <c r="D640" s="6" t="n"/>
      <c r="E640" s="6">
        <f>IF($C640="","", IF($D640="", $C640, $C640 - $D640/2))</f>
        <v/>
      </c>
      <c r="F640" s="6">
        <f>IF($C640="","", IF($D640="", $C640, $C640 + $D640/2))</f>
        <v/>
      </c>
      <c r="G640" s="6">
        <f>IF($E640="","", DEGREES(ATAN((INDEX(Calc!$E:$E, MATCH("KminusZ_m", Calc!$C:$C, 0)) - $E640 + $B640) / INDEX(Calc!$E:$E, MATCH("L_ramp_m", Calc!$C:$C, 0)))))</f>
        <v/>
      </c>
      <c r="H640" s="3">
        <f>IF($E640="","", IF(AND($E640&gt;=INDEX(Calc!$E:$E, MATCH("min_fwd_draft_m", Calc!$C:$C, 0)), $E640&lt;=INDEX(Calc!$E:$E, MATCH("max_fwd_draft_m", Calc!$C:$C, 0)), $G640&lt;=INDEX(Calc!$E:$E, MATCH("theta_max_deg", Calc!$C:$C, 0))), "OK", "CHECK"))</f>
        <v/>
      </c>
      <c r="I640" s="6">
        <f>IF($E640="","", INDEX(Calc!$E:$E, MATCH("D_vessel_m", Calc!$C:$C, 0)) - $E640 + $B640)</f>
        <v/>
      </c>
      <c r="J640" s="6">
        <f>IF($F640="","", INDEX(Calc!$E:$E, MATCH("D_vessel_m", Calc!$C:$C, 0)) - $F640 + $B640)</f>
        <v/>
      </c>
      <c r="K640" s="3">
        <f>IF(D640=0, "Even Keel", "")</f>
        <v/>
      </c>
    </row>
    <row r="641">
      <c r="A641" s="3">
        <f>IF(December_Tide_2025!A641="","",December_Tide_2025!A641)</f>
        <v/>
      </c>
      <c r="B641" s="6">
        <f>IF(December_Tide_2025!B641="","",December_Tide_2025!B641)</f>
        <v/>
      </c>
      <c r="C641" s="6">
        <f>IF($A641="","", INDEX(Calc!$E:$E, MATCH("KminusZ_m", Calc!$C:$C, 0)) + $B641 - INDEX(Calc!$E:$E, MATCH("L_ramp_m", Calc!$C:$C, 0)) * TAN(RADIANS(INDEX(Calc!$E:$E, MATCH("theta_max_deg", Calc!$C:$C, 0)))))</f>
        <v/>
      </c>
      <c r="D641" s="6" t="n"/>
      <c r="E641" s="6">
        <f>IF($C641="","", IF($D641="", $C641, $C641 - $D641/2))</f>
        <v/>
      </c>
      <c r="F641" s="6">
        <f>IF($C641="","", IF($D641="", $C641, $C641 + $D641/2))</f>
        <v/>
      </c>
      <c r="G641" s="6">
        <f>IF($E641="","", DEGREES(ATAN((INDEX(Calc!$E:$E, MATCH("KminusZ_m", Calc!$C:$C, 0)) - $E641 + $B641) / INDEX(Calc!$E:$E, MATCH("L_ramp_m", Calc!$C:$C, 0)))))</f>
        <v/>
      </c>
      <c r="H641" s="3">
        <f>IF($E641="","", IF(AND($E641&gt;=INDEX(Calc!$E:$E, MATCH("min_fwd_draft_m", Calc!$C:$C, 0)), $E641&lt;=INDEX(Calc!$E:$E, MATCH("max_fwd_draft_m", Calc!$C:$C, 0)), $G641&lt;=INDEX(Calc!$E:$E, MATCH("theta_max_deg", Calc!$C:$C, 0))), "OK", "CHECK"))</f>
        <v/>
      </c>
      <c r="I641" s="6">
        <f>IF($E641="","", INDEX(Calc!$E:$E, MATCH("D_vessel_m", Calc!$C:$C, 0)) - $E641 + $B641)</f>
        <v/>
      </c>
      <c r="J641" s="6">
        <f>IF($F641="","", INDEX(Calc!$E:$E, MATCH("D_vessel_m", Calc!$C:$C, 0)) - $F641 + $B641)</f>
        <v/>
      </c>
      <c r="K641" s="3">
        <f>IF(D641=0, "Even Keel", "")</f>
        <v/>
      </c>
    </row>
    <row r="642">
      <c r="A642" s="3">
        <f>IF(December_Tide_2025!A642="","",December_Tide_2025!A642)</f>
        <v/>
      </c>
      <c r="B642" s="6">
        <f>IF(December_Tide_2025!B642="","",December_Tide_2025!B642)</f>
        <v/>
      </c>
      <c r="C642" s="6">
        <f>IF($A642="","", INDEX(Calc!$E:$E, MATCH("KminusZ_m", Calc!$C:$C, 0)) + $B642 - INDEX(Calc!$E:$E, MATCH("L_ramp_m", Calc!$C:$C, 0)) * TAN(RADIANS(INDEX(Calc!$E:$E, MATCH("theta_max_deg", Calc!$C:$C, 0)))))</f>
        <v/>
      </c>
      <c r="D642" s="6" t="n"/>
      <c r="E642" s="6">
        <f>IF($C642="","", IF($D642="", $C642, $C642 - $D642/2))</f>
        <v/>
      </c>
      <c r="F642" s="6">
        <f>IF($C642="","", IF($D642="", $C642, $C642 + $D642/2))</f>
        <v/>
      </c>
      <c r="G642" s="6">
        <f>IF($E642="","", DEGREES(ATAN((INDEX(Calc!$E:$E, MATCH("KminusZ_m", Calc!$C:$C, 0)) - $E642 + $B642) / INDEX(Calc!$E:$E, MATCH("L_ramp_m", Calc!$C:$C, 0)))))</f>
        <v/>
      </c>
      <c r="H642" s="3">
        <f>IF($E642="","", IF(AND($E642&gt;=INDEX(Calc!$E:$E, MATCH("min_fwd_draft_m", Calc!$C:$C, 0)), $E642&lt;=INDEX(Calc!$E:$E, MATCH("max_fwd_draft_m", Calc!$C:$C, 0)), $G642&lt;=INDEX(Calc!$E:$E, MATCH("theta_max_deg", Calc!$C:$C, 0))), "OK", "CHECK"))</f>
        <v/>
      </c>
      <c r="I642" s="6">
        <f>IF($E642="","", INDEX(Calc!$E:$E, MATCH("D_vessel_m", Calc!$C:$C, 0)) - $E642 + $B642)</f>
        <v/>
      </c>
      <c r="J642" s="6">
        <f>IF($F642="","", INDEX(Calc!$E:$E, MATCH("D_vessel_m", Calc!$C:$C, 0)) - $F642 + $B642)</f>
        <v/>
      </c>
      <c r="K642" s="3">
        <f>IF(D642=0, "Even Keel", "")</f>
        <v/>
      </c>
    </row>
    <row r="643">
      <c r="A643" s="3">
        <f>IF(December_Tide_2025!A643="","",December_Tide_2025!A643)</f>
        <v/>
      </c>
      <c r="B643" s="6">
        <f>IF(December_Tide_2025!B643="","",December_Tide_2025!B643)</f>
        <v/>
      </c>
      <c r="C643" s="6">
        <f>IF($A643="","", INDEX(Calc!$E:$E, MATCH("KminusZ_m", Calc!$C:$C, 0)) + $B643 - INDEX(Calc!$E:$E, MATCH("L_ramp_m", Calc!$C:$C, 0)) * TAN(RADIANS(INDEX(Calc!$E:$E, MATCH("theta_max_deg", Calc!$C:$C, 0)))))</f>
        <v/>
      </c>
      <c r="D643" s="6" t="n"/>
      <c r="E643" s="6">
        <f>IF($C643="","", IF($D643="", $C643, $C643 - $D643/2))</f>
        <v/>
      </c>
      <c r="F643" s="6">
        <f>IF($C643="","", IF($D643="", $C643, $C643 + $D643/2))</f>
        <v/>
      </c>
      <c r="G643" s="6">
        <f>IF($E643="","", DEGREES(ATAN((INDEX(Calc!$E:$E, MATCH("KminusZ_m", Calc!$C:$C, 0)) - $E643 + $B643) / INDEX(Calc!$E:$E, MATCH("L_ramp_m", Calc!$C:$C, 0)))))</f>
        <v/>
      </c>
      <c r="H643" s="3">
        <f>IF($E643="","", IF(AND($E643&gt;=INDEX(Calc!$E:$E, MATCH("min_fwd_draft_m", Calc!$C:$C, 0)), $E643&lt;=INDEX(Calc!$E:$E, MATCH("max_fwd_draft_m", Calc!$C:$C, 0)), $G643&lt;=INDEX(Calc!$E:$E, MATCH("theta_max_deg", Calc!$C:$C, 0))), "OK", "CHECK"))</f>
        <v/>
      </c>
      <c r="I643" s="6">
        <f>IF($E643="","", INDEX(Calc!$E:$E, MATCH("D_vessel_m", Calc!$C:$C, 0)) - $E643 + $B643)</f>
        <v/>
      </c>
      <c r="J643" s="6">
        <f>IF($F643="","", INDEX(Calc!$E:$E, MATCH("D_vessel_m", Calc!$C:$C, 0)) - $F643 + $B643)</f>
        <v/>
      </c>
      <c r="K643" s="3">
        <f>IF(D643=0, "Even Keel", "")</f>
        <v/>
      </c>
    </row>
    <row r="644">
      <c r="A644" s="3">
        <f>IF(December_Tide_2025!A644="","",December_Tide_2025!A644)</f>
        <v/>
      </c>
      <c r="B644" s="6">
        <f>IF(December_Tide_2025!B644="","",December_Tide_2025!B644)</f>
        <v/>
      </c>
      <c r="C644" s="6">
        <f>IF($A644="","", INDEX(Calc!$E:$E, MATCH("KminusZ_m", Calc!$C:$C, 0)) + $B644 - INDEX(Calc!$E:$E, MATCH("L_ramp_m", Calc!$C:$C, 0)) * TAN(RADIANS(INDEX(Calc!$E:$E, MATCH("theta_max_deg", Calc!$C:$C, 0)))))</f>
        <v/>
      </c>
      <c r="D644" s="6" t="n"/>
      <c r="E644" s="6">
        <f>IF($C644="","", IF($D644="", $C644, $C644 - $D644/2))</f>
        <v/>
      </c>
      <c r="F644" s="6">
        <f>IF($C644="","", IF($D644="", $C644, $C644 + $D644/2))</f>
        <v/>
      </c>
      <c r="G644" s="6">
        <f>IF($E644="","", DEGREES(ATAN((INDEX(Calc!$E:$E, MATCH("KminusZ_m", Calc!$C:$C, 0)) - $E644 + $B644) / INDEX(Calc!$E:$E, MATCH("L_ramp_m", Calc!$C:$C, 0)))))</f>
        <v/>
      </c>
      <c r="H644" s="3">
        <f>IF($E644="","", IF(AND($E644&gt;=INDEX(Calc!$E:$E, MATCH("min_fwd_draft_m", Calc!$C:$C, 0)), $E644&lt;=INDEX(Calc!$E:$E, MATCH("max_fwd_draft_m", Calc!$C:$C, 0)), $G644&lt;=INDEX(Calc!$E:$E, MATCH("theta_max_deg", Calc!$C:$C, 0))), "OK", "CHECK"))</f>
        <v/>
      </c>
      <c r="I644" s="6">
        <f>IF($E644="","", INDEX(Calc!$E:$E, MATCH("D_vessel_m", Calc!$C:$C, 0)) - $E644 + $B644)</f>
        <v/>
      </c>
      <c r="J644" s="6">
        <f>IF($F644="","", INDEX(Calc!$E:$E, MATCH("D_vessel_m", Calc!$C:$C, 0)) - $F644 + $B644)</f>
        <v/>
      </c>
      <c r="K644" s="3">
        <f>IF(D644=0, "Even Keel", "")</f>
        <v/>
      </c>
    </row>
    <row r="645">
      <c r="A645" s="3">
        <f>IF(December_Tide_2025!A645="","",December_Tide_2025!A645)</f>
        <v/>
      </c>
      <c r="B645" s="6">
        <f>IF(December_Tide_2025!B645="","",December_Tide_2025!B645)</f>
        <v/>
      </c>
      <c r="C645" s="6">
        <f>IF($A645="","", INDEX(Calc!$E:$E, MATCH("KminusZ_m", Calc!$C:$C, 0)) + $B645 - INDEX(Calc!$E:$E, MATCH("L_ramp_m", Calc!$C:$C, 0)) * TAN(RADIANS(INDEX(Calc!$E:$E, MATCH("theta_max_deg", Calc!$C:$C, 0)))))</f>
        <v/>
      </c>
      <c r="D645" s="6" t="n"/>
      <c r="E645" s="6">
        <f>IF($C645="","", IF($D645="", $C645, $C645 - $D645/2))</f>
        <v/>
      </c>
      <c r="F645" s="6">
        <f>IF($C645="","", IF($D645="", $C645, $C645 + $D645/2))</f>
        <v/>
      </c>
      <c r="G645" s="6">
        <f>IF($E645="","", DEGREES(ATAN((INDEX(Calc!$E:$E, MATCH("KminusZ_m", Calc!$C:$C, 0)) - $E645 + $B645) / INDEX(Calc!$E:$E, MATCH("L_ramp_m", Calc!$C:$C, 0)))))</f>
        <v/>
      </c>
      <c r="H645" s="3">
        <f>IF($E645="","", IF(AND($E645&gt;=INDEX(Calc!$E:$E, MATCH("min_fwd_draft_m", Calc!$C:$C, 0)), $E645&lt;=INDEX(Calc!$E:$E, MATCH("max_fwd_draft_m", Calc!$C:$C, 0)), $G645&lt;=INDEX(Calc!$E:$E, MATCH("theta_max_deg", Calc!$C:$C, 0))), "OK", "CHECK"))</f>
        <v/>
      </c>
      <c r="I645" s="6">
        <f>IF($E645="","", INDEX(Calc!$E:$E, MATCH("D_vessel_m", Calc!$C:$C, 0)) - $E645 + $B645)</f>
        <v/>
      </c>
      <c r="J645" s="6">
        <f>IF($F645="","", INDEX(Calc!$E:$E, MATCH("D_vessel_m", Calc!$C:$C, 0)) - $F645 + $B645)</f>
        <v/>
      </c>
      <c r="K645" s="3">
        <f>IF(D645=0, "Even Keel", "")</f>
        <v/>
      </c>
    </row>
    <row r="646">
      <c r="A646" s="3">
        <f>IF(December_Tide_2025!A646="","",December_Tide_2025!A646)</f>
        <v/>
      </c>
      <c r="B646" s="6">
        <f>IF(December_Tide_2025!B646="","",December_Tide_2025!B646)</f>
        <v/>
      </c>
      <c r="C646" s="6">
        <f>IF($A646="","", INDEX(Calc!$E:$E, MATCH("KminusZ_m", Calc!$C:$C, 0)) + $B646 - INDEX(Calc!$E:$E, MATCH("L_ramp_m", Calc!$C:$C, 0)) * TAN(RADIANS(INDEX(Calc!$E:$E, MATCH("theta_max_deg", Calc!$C:$C, 0)))))</f>
        <v/>
      </c>
      <c r="D646" s="6" t="n"/>
      <c r="E646" s="6">
        <f>IF($C646="","", IF($D646="", $C646, $C646 - $D646/2))</f>
        <v/>
      </c>
      <c r="F646" s="6">
        <f>IF($C646="","", IF($D646="", $C646, $C646 + $D646/2))</f>
        <v/>
      </c>
      <c r="G646" s="6">
        <f>IF($E646="","", DEGREES(ATAN((INDEX(Calc!$E:$E, MATCH("KminusZ_m", Calc!$C:$C, 0)) - $E646 + $B646) / INDEX(Calc!$E:$E, MATCH("L_ramp_m", Calc!$C:$C, 0)))))</f>
        <v/>
      </c>
      <c r="H646" s="3">
        <f>IF($E646="","", IF(AND($E646&gt;=INDEX(Calc!$E:$E, MATCH("min_fwd_draft_m", Calc!$C:$C, 0)), $E646&lt;=INDEX(Calc!$E:$E, MATCH("max_fwd_draft_m", Calc!$C:$C, 0)), $G646&lt;=INDEX(Calc!$E:$E, MATCH("theta_max_deg", Calc!$C:$C, 0))), "OK", "CHECK"))</f>
        <v/>
      </c>
      <c r="I646" s="6">
        <f>IF($E646="","", INDEX(Calc!$E:$E, MATCH("D_vessel_m", Calc!$C:$C, 0)) - $E646 + $B646)</f>
        <v/>
      </c>
      <c r="J646" s="6">
        <f>IF($F646="","", INDEX(Calc!$E:$E, MATCH("D_vessel_m", Calc!$C:$C, 0)) - $F646 + $B646)</f>
        <v/>
      </c>
      <c r="K646" s="3">
        <f>IF(D646=0, "Even Keel", "")</f>
        <v/>
      </c>
    </row>
    <row r="647">
      <c r="A647" s="3">
        <f>IF(December_Tide_2025!A647="","",December_Tide_2025!A647)</f>
        <v/>
      </c>
      <c r="B647" s="6">
        <f>IF(December_Tide_2025!B647="","",December_Tide_2025!B647)</f>
        <v/>
      </c>
      <c r="C647" s="6">
        <f>IF($A647="","", INDEX(Calc!$E:$E, MATCH("KminusZ_m", Calc!$C:$C, 0)) + $B647 - INDEX(Calc!$E:$E, MATCH("L_ramp_m", Calc!$C:$C, 0)) * TAN(RADIANS(INDEX(Calc!$E:$E, MATCH("theta_max_deg", Calc!$C:$C, 0)))))</f>
        <v/>
      </c>
      <c r="D647" s="6" t="n"/>
      <c r="E647" s="6">
        <f>IF($C647="","", IF($D647="", $C647, $C647 - $D647/2))</f>
        <v/>
      </c>
      <c r="F647" s="6">
        <f>IF($C647="","", IF($D647="", $C647, $C647 + $D647/2))</f>
        <v/>
      </c>
      <c r="G647" s="6">
        <f>IF($E647="","", DEGREES(ATAN((INDEX(Calc!$E:$E, MATCH("KminusZ_m", Calc!$C:$C, 0)) - $E647 + $B647) / INDEX(Calc!$E:$E, MATCH("L_ramp_m", Calc!$C:$C, 0)))))</f>
        <v/>
      </c>
      <c r="H647" s="3">
        <f>IF($E647="","", IF(AND($E647&gt;=INDEX(Calc!$E:$E, MATCH("min_fwd_draft_m", Calc!$C:$C, 0)), $E647&lt;=INDEX(Calc!$E:$E, MATCH("max_fwd_draft_m", Calc!$C:$C, 0)), $G647&lt;=INDEX(Calc!$E:$E, MATCH("theta_max_deg", Calc!$C:$C, 0))), "OK", "CHECK"))</f>
        <v/>
      </c>
      <c r="I647" s="6">
        <f>IF($E647="","", INDEX(Calc!$E:$E, MATCH("D_vessel_m", Calc!$C:$C, 0)) - $E647 + $B647)</f>
        <v/>
      </c>
      <c r="J647" s="6">
        <f>IF($F647="","", INDEX(Calc!$E:$E, MATCH("D_vessel_m", Calc!$C:$C, 0)) - $F647 + $B647)</f>
        <v/>
      </c>
      <c r="K647" s="3">
        <f>IF(D647=0, "Even Keel", "")</f>
        <v/>
      </c>
    </row>
    <row r="648">
      <c r="A648" s="3">
        <f>IF(December_Tide_2025!A648="","",December_Tide_2025!A648)</f>
        <v/>
      </c>
      <c r="B648" s="6">
        <f>IF(December_Tide_2025!B648="","",December_Tide_2025!B648)</f>
        <v/>
      </c>
      <c r="C648" s="6">
        <f>IF($A648="","", INDEX(Calc!$E:$E, MATCH("KminusZ_m", Calc!$C:$C, 0)) + $B648 - INDEX(Calc!$E:$E, MATCH("L_ramp_m", Calc!$C:$C, 0)) * TAN(RADIANS(INDEX(Calc!$E:$E, MATCH("theta_max_deg", Calc!$C:$C, 0)))))</f>
        <v/>
      </c>
      <c r="D648" s="6" t="n"/>
      <c r="E648" s="6">
        <f>IF($C648="","", IF($D648="", $C648, $C648 - $D648/2))</f>
        <v/>
      </c>
      <c r="F648" s="6">
        <f>IF($C648="","", IF($D648="", $C648, $C648 + $D648/2))</f>
        <v/>
      </c>
      <c r="G648" s="6">
        <f>IF($E648="","", DEGREES(ATAN((INDEX(Calc!$E:$E, MATCH("KminusZ_m", Calc!$C:$C, 0)) - $E648 + $B648) / INDEX(Calc!$E:$E, MATCH("L_ramp_m", Calc!$C:$C, 0)))))</f>
        <v/>
      </c>
      <c r="H648" s="3">
        <f>IF($E648="","", IF(AND($E648&gt;=INDEX(Calc!$E:$E, MATCH("min_fwd_draft_m", Calc!$C:$C, 0)), $E648&lt;=INDEX(Calc!$E:$E, MATCH("max_fwd_draft_m", Calc!$C:$C, 0)), $G648&lt;=INDEX(Calc!$E:$E, MATCH("theta_max_deg", Calc!$C:$C, 0))), "OK", "CHECK"))</f>
        <v/>
      </c>
      <c r="I648" s="6">
        <f>IF($E648="","", INDEX(Calc!$E:$E, MATCH("D_vessel_m", Calc!$C:$C, 0)) - $E648 + $B648)</f>
        <v/>
      </c>
      <c r="J648" s="6">
        <f>IF($F648="","", INDEX(Calc!$E:$E, MATCH("D_vessel_m", Calc!$C:$C, 0)) - $F648 + $B648)</f>
        <v/>
      </c>
      <c r="K648" s="3">
        <f>IF(D648=0, "Even Keel", "")</f>
        <v/>
      </c>
    </row>
    <row r="649">
      <c r="A649" s="3">
        <f>IF(December_Tide_2025!A649="","",December_Tide_2025!A649)</f>
        <v/>
      </c>
      <c r="B649" s="6">
        <f>IF(December_Tide_2025!B649="","",December_Tide_2025!B649)</f>
        <v/>
      </c>
      <c r="C649" s="6">
        <f>IF($A649="","", INDEX(Calc!$E:$E, MATCH("KminusZ_m", Calc!$C:$C, 0)) + $B649 - INDEX(Calc!$E:$E, MATCH("L_ramp_m", Calc!$C:$C, 0)) * TAN(RADIANS(INDEX(Calc!$E:$E, MATCH("theta_max_deg", Calc!$C:$C, 0)))))</f>
        <v/>
      </c>
      <c r="D649" s="6" t="n"/>
      <c r="E649" s="6">
        <f>IF($C649="","", IF($D649="", $C649, $C649 - $D649/2))</f>
        <v/>
      </c>
      <c r="F649" s="6">
        <f>IF($C649="","", IF($D649="", $C649, $C649 + $D649/2))</f>
        <v/>
      </c>
      <c r="G649" s="6">
        <f>IF($E649="","", DEGREES(ATAN((INDEX(Calc!$E:$E, MATCH("KminusZ_m", Calc!$C:$C, 0)) - $E649 + $B649) / INDEX(Calc!$E:$E, MATCH("L_ramp_m", Calc!$C:$C, 0)))))</f>
        <v/>
      </c>
      <c r="H649" s="3">
        <f>IF($E649="","", IF(AND($E649&gt;=INDEX(Calc!$E:$E, MATCH("min_fwd_draft_m", Calc!$C:$C, 0)), $E649&lt;=INDEX(Calc!$E:$E, MATCH("max_fwd_draft_m", Calc!$C:$C, 0)), $G649&lt;=INDEX(Calc!$E:$E, MATCH("theta_max_deg", Calc!$C:$C, 0))), "OK", "CHECK"))</f>
        <v/>
      </c>
      <c r="I649" s="6">
        <f>IF($E649="","", INDEX(Calc!$E:$E, MATCH("D_vessel_m", Calc!$C:$C, 0)) - $E649 + $B649)</f>
        <v/>
      </c>
      <c r="J649" s="6">
        <f>IF($F649="","", INDEX(Calc!$E:$E, MATCH("D_vessel_m", Calc!$C:$C, 0)) - $F649 + $B649)</f>
        <v/>
      </c>
      <c r="K649" s="3">
        <f>IF(D649=0, "Even Keel", "")</f>
        <v/>
      </c>
    </row>
    <row r="650">
      <c r="A650" s="3">
        <f>IF(December_Tide_2025!A650="","",December_Tide_2025!A650)</f>
        <v/>
      </c>
      <c r="B650" s="6">
        <f>IF(December_Tide_2025!B650="","",December_Tide_2025!B650)</f>
        <v/>
      </c>
      <c r="C650" s="6">
        <f>IF($A650="","", INDEX(Calc!$E:$E, MATCH("KminusZ_m", Calc!$C:$C, 0)) + $B650 - INDEX(Calc!$E:$E, MATCH("L_ramp_m", Calc!$C:$C, 0)) * TAN(RADIANS(INDEX(Calc!$E:$E, MATCH("theta_max_deg", Calc!$C:$C, 0)))))</f>
        <v/>
      </c>
      <c r="D650" s="6" t="n"/>
      <c r="E650" s="6">
        <f>IF($C650="","", IF($D650="", $C650, $C650 - $D650/2))</f>
        <v/>
      </c>
      <c r="F650" s="6">
        <f>IF($C650="","", IF($D650="", $C650, $C650 + $D650/2))</f>
        <v/>
      </c>
      <c r="G650" s="6">
        <f>IF($E650="","", DEGREES(ATAN((INDEX(Calc!$E:$E, MATCH("KminusZ_m", Calc!$C:$C, 0)) - $E650 + $B650) / INDEX(Calc!$E:$E, MATCH("L_ramp_m", Calc!$C:$C, 0)))))</f>
        <v/>
      </c>
      <c r="H650" s="3">
        <f>IF($E650="","", IF(AND($E650&gt;=INDEX(Calc!$E:$E, MATCH("min_fwd_draft_m", Calc!$C:$C, 0)), $E650&lt;=INDEX(Calc!$E:$E, MATCH("max_fwd_draft_m", Calc!$C:$C, 0)), $G650&lt;=INDEX(Calc!$E:$E, MATCH("theta_max_deg", Calc!$C:$C, 0))), "OK", "CHECK"))</f>
        <v/>
      </c>
      <c r="I650" s="6">
        <f>IF($E650="","", INDEX(Calc!$E:$E, MATCH("D_vessel_m", Calc!$C:$C, 0)) - $E650 + $B650)</f>
        <v/>
      </c>
      <c r="J650" s="6">
        <f>IF($F650="","", INDEX(Calc!$E:$E, MATCH("D_vessel_m", Calc!$C:$C, 0)) - $F650 + $B650)</f>
        <v/>
      </c>
      <c r="K650" s="3">
        <f>IF(D650=0, "Even Keel", "")</f>
        <v/>
      </c>
    </row>
    <row r="651">
      <c r="A651" s="3">
        <f>IF(December_Tide_2025!A651="","",December_Tide_2025!A651)</f>
        <v/>
      </c>
      <c r="B651" s="6">
        <f>IF(December_Tide_2025!B651="","",December_Tide_2025!B651)</f>
        <v/>
      </c>
      <c r="C651" s="6">
        <f>IF($A651="","", INDEX(Calc!$E:$E, MATCH("KminusZ_m", Calc!$C:$C, 0)) + $B651 - INDEX(Calc!$E:$E, MATCH("L_ramp_m", Calc!$C:$C, 0)) * TAN(RADIANS(INDEX(Calc!$E:$E, MATCH("theta_max_deg", Calc!$C:$C, 0)))))</f>
        <v/>
      </c>
      <c r="D651" s="6" t="n"/>
      <c r="E651" s="6">
        <f>IF($C651="","", IF($D651="", $C651, $C651 - $D651/2))</f>
        <v/>
      </c>
      <c r="F651" s="6">
        <f>IF($C651="","", IF($D651="", $C651, $C651 + $D651/2))</f>
        <v/>
      </c>
      <c r="G651" s="6">
        <f>IF($E651="","", DEGREES(ATAN((INDEX(Calc!$E:$E, MATCH("KminusZ_m", Calc!$C:$C, 0)) - $E651 + $B651) / INDEX(Calc!$E:$E, MATCH("L_ramp_m", Calc!$C:$C, 0)))))</f>
        <v/>
      </c>
      <c r="H651" s="3">
        <f>IF($E651="","", IF(AND($E651&gt;=INDEX(Calc!$E:$E, MATCH("min_fwd_draft_m", Calc!$C:$C, 0)), $E651&lt;=INDEX(Calc!$E:$E, MATCH("max_fwd_draft_m", Calc!$C:$C, 0)), $G651&lt;=INDEX(Calc!$E:$E, MATCH("theta_max_deg", Calc!$C:$C, 0))), "OK", "CHECK"))</f>
        <v/>
      </c>
      <c r="I651" s="6">
        <f>IF($E651="","", INDEX(Calc!$E:$E, MATCH("D_vessel_m", Calc!$C:$C, 0)) - $E651 + $B651)</f>
        <v/>
      </c>
      <c r="J651" s="6">
        <f>IF($F651="","", INDEX(Calc!$E:$E, MATCH("D_vessel_m", Calc!$C:$C, 0)) - $F651 + $B651)</f>
        <v/>
      </c>
      <c r="K651" s="3">
        <f>IF(D651=0, "Even Keel", "")</f>
        <v/>
      </c>
    </row>
    <row r="652">
      <c r="A652" s="3">
        <f>IF(December_Tide_2025!A652="","",December_Tide_2025!A652)</f>
        <v/>
      </c>
      <c r="B652" s="6">
        <f>IF(December_Tide_2025!B652="","",December_Tide_2025!B652)</f>
        <v/>
      </c>
      <c r="C652" s="6">
        <f>IF($A652="","", INDEX(Calc!$E:$E, MATCH("KminusZ_m", Calc!$C:$C, 0)) + $B652 - INDEX(Calc!$E:$E, MATCH("L_ramp_m", Calc!$C:$C, 0)) * TAN(RADIANS(INDEX(Calc!$E:$E, MATCH("theta_max_deg", Calc!$C:$C, 0)))))</f>
        <v/>
      </c>
      <c r="D652" s="6" t="n"/>
      <c r="E652" s="6">
        <f>IF($C652="","", IF($D652="", $C652, $C652 - $D652/2))</f>
        <v/>
      </c>
      <c r="F652" s="6">
        <f>IF($C652="","", IF($D652="", $C652, $C652 + $D652/2))</f>
        <v/>
      </c>
      <c r="G652" s="6">
        <f>IF($E652="","", DEGREES(ATAN((INDEX(Calc!$E:$E, MATCH("KminusZ_m", Calc!$C:$C, 0)) - $E652 + $B652) / INDEX(Calc!$E:$E, MATCH("L_ramp_m", Calc!$C:$C, 0)))))</f>
        <v/>
      </c>
      <c r="H652" s="3">
        <f>IF($E652="","", IF(AND($E652&gt;=INDEX(Calc!$E:$E, MATCH("min_fwd_draft_m", Calc!$C:$C, 0)), $E652&lt;=INDEX(Calc!$E:$E, MATCH("max_fwd_draft_m", Calc!$C:$C, 0)), $G652&lt;=INDEX(Calc!$E:$E, MATCH("theta_max_deg", Calc!$C:$C, 0))), "OK", "CHECK"))</f>
        <v/>
      </c>
      <c r="I652" s="6">
        <f>IF($E652="","", INDEX(Calc!$E:$E, MATCH("D_vessel_m", Calc!$C:$C, 0)) - $E652 + $B652)</f>
        <v/>
      </c>
      <c r="J652" s="6">
        <f>IF($F652="","", INDEX(Calc!$E:$E, MATCH("D_vessel_m", Calc!$C:$C, 0)) - $F652 + $B652)</f>
        <v/>
      </c>
      <c r="K652" s="3">
        <f>IF(D652=0, "Even Keel", "")</f>
        <v/>
      </c>
    </row>
    <row r="653">
      <c r="A653" s="3">
        <f>IF(December_Tide_2025!A653="","",December_Tide_2025!A653)</f>
        <v/>
      </c>
      <c r="B653" s="6">
        <f>IF(December_Tide_2025!B653="","",December_Tide_2025!B653)</f>
        <v/>
      </c>
      <c r="C653" s="6">
        <f>IF($A653="","", INDEX(Calc!$E:$E, MATCH("KminusZ_m", Calc!$C:$C, 0)) + $B653 - INDEX(Calc!$E:$E, MATCH("L_ramp_m", Calc!$C:$C, 0)) * TAN(RADIANS(INDEX(Calc!$E:$E, MATCH("theta_max_deg", Calc!$C:$C, 0)))))</f>
        <v/>
      </c>
      <c r="D653" s="6" t="n"/>
      <c r="E653" s="6">
        <f>IF($C653="","", IF($D653="", $C653, $C653 - $D653/2))</f>
        <v/>
      </c>
      <c r="F653" s="6">
        <f>IF($C653="","", IF($D653="", $C653, $C653 + $D653/2))</f>
        <v/>
      </c>
      <c r="G653" s="6">
        <f>IF($E653="","", DEGREES(ATAN((INDEX(Calc!$E:$E, MATCH("KminusZ_m", Calc!$C:$C, 0)) - $E653 + $B653) / INDEX(Calc!$E:$E, MATCH("L_ramp_m", Calc!$C:$C, 0)))))</f>
        <v/>
      </c>
      <c r="H653" s="3">
        <f>IF($E653="","", IF(AND($E653&gt;=INDEX(Calc!$E:$E, MATCH("min_fwd_draft_m", Calc!$C:$C, 0)), $E653&lt;=INDEX(Calc!$E:$E, MATCH("max_fwd_draft_m", Calc!$C:$C, 0)), $G653&lt;=INDEX(Calc!$E:$E, MATCH("theta_max_deg", Calc!$C:$C, 0))), "OK", "CHECK"))</f>
        <v/>
      </c>
      <c r="I653" s="6">
        <f>IF($E653="","", INDEX(Calc!$E:$E, MATCH("D_vessel_m", Calc!$C:$C, 0)) - $E653 + $B653)</f>
        <v/>
      </c>
      <c r="J653" s="6">
        <f>IF($F653="","", INDEX(Calc!$E:$E, MATCH("D_vessel_m", Calc!$C:$C, 0)) - $F653 + $B653)</f>
        <v/>
      </c>
      <c r="K653" s="3">
        <f>IF(D653=0, "Even Keel", "")</f>
        <v/>
      </c>
    </row>
    <row r="654">
      <c r="A654" s="3">
        <f>IF(December_Tide_2025!A654="","",December_Tide_2025!A654)</f>
        <v/>
      </c>
      <c r="B654" s="6">
        <f>IF(December_Tide_2025!B654="","",December_Tide_2025!B654)</f>
        <v/>
      </c>
      <c r="C654" s="6">
        <f>IF($A654="","", INDEX(Calc!$E:$E, MATCH("KminusZ_m", Calc!$C:$C, 0)) + $B654 - INDEX(Calc!$E:$E, MATCH("L_ramp_m", Calc!$C:$C, 0)) * TAN(RADIANS(INDEX(Calc!$E:$E, MATCH("theta_max_deg", Calc!$C:$C, 0)))))</f>
        <v/>
      </c>
      <c r="D654" s="6" t="n"/>
      <c r="E654" s="6">
        <f>IF($C654="","", IF($D654="", $C654, $C654 - $D654/2))</f>
        <v/>
      </c>
      <c r="F654" s="6">
        <f>IF($C654="","", IF($D654="", $C654, $C654 + $D654/2))</f>
        <v/>
      </c>
      <c r="G654" s="6">
        <f>IF($E654="","", DEGREES(ATAN((INDEX(Calc!$E:$E, MATCH("KminusZ_m", Calc!$C:$C, 0)) - $E654 + $B654) / INDEX(Calc!$E:$E, MATCH("L_ramp_m", Calc!$C:$C, 0)))))</f>
        <v/>
      </c>
      <c r="H654" s="3">
        <f>IF($E654="","", IF(AND($E654&gt;=INDEX(Calc!$E:$E, MATCH("min_fwd_draft_m", Calc!$C:$C, 0)), $E654&lt;=INDEX(Calc!$E:$E, MATCH("max_fwd_draft_m", Calc!$C:$C, 0)), $G654&lt;=INDEX(Calc!$E:$E, MATCH("theta_max_deg", Calc!$C:$C, 0))), "OK", "CHECK"))</f>
        <v/>
      </c>
      <c r="I654" s="6">
        <f>IF($E654="","", INDEX(Calc!$E:$E, MATCH("D_vessel_m", Calc!$C:$C, 0)) - $E654 + $B654)</f>
        <v/>
      </c>
      <c r="J654" s="6">
        <f>IF($F654="","", INDEX(Calc!$E:$E, MATCH("D_vessel_m", Calc!$C:$C, 0)) - $F654 + $B654)</f>
        <v/>
      </c>
      <c r="K654" s="3">
        <f>IF(D654=0, "Even Keel", "")</f>
        <v/>
      </c>
    </row>
    <row r="655">
      <c r="A655" s="3">
        <f>IF(December_Tide_2025!A655="","",December_Tide_2025!A655)</f>
        <v/>
      </c>
      <c r="B655" s="6">
        <f>IF(December_Tide_2025!B655="","",December_Tide_2025!B655)</f>
        <v/>
      </c>
      <c r="C655" s="6">
        <f>IF($A655="","", INDEX(Calc!$E:$E, MATCH("KminusZ_m", Calc!$C:$C, 0)) + $B655 - INDEX(Calc!$E:$E, MATCH("L_ramp_m", Calc!$C:$C, 0)) * TAN(RADIANS(INDEX(Calc!$E:$E, MATCH("theta_max_deg", Calc!$C:$C, 0)))))</f>
        <v/>
      </c>
      <c r="D655" s="6" t="n"/>
      <c r="E655" s="6">
        <f>IF($C655="","", IF($D655="", $C655, $C655 - $D655/2))</f>
        <v/>
      </c>
      <c r="F655" s="6">
        <f>IF($C655="","", IF($D655="", $C655, $C655 + $D655/2))</f>
        <v/>
      </c>
      <c r="G655" s="6">
        <f>IF($E655="","", DEGREES(ATAN((INDEX(Calc!$E:$E, MATCH("KminusZ_m", Calc!$C:$C, 0)) - $E655 + $B655) / INDEX(Calc!$E:$E, MATCH("L_ramp_m", Calc!$C:$C, 0)))))</f>
        <v/>
      </c>
      <c r="H655" s="3">
        <f>IF($E655="","", IF(AND($E655&gt;=INDEX(Calc!$E:$E, MATCH("min_fwd_draft_m", Calc!$C:$C, 0)), $E655&lt;=INDEX(Calc!$E:$E, MATCH("max_fwd_draft_m", Calc!$C:$C, 0)), $G655&lt;=INDEX(Calc!$E:$E, MATCH("theta_max_deg", Calc!$C:$C, 0))), "OK", "CHECK"))</f>
        <v/>
      </c>
      <c r="I655" s="6">
        <f>IF($E655="","", INDEX(Calc!$E:$E, MATCH("D_vessel_m", Calc!$C:$C, 0)) - $E655 + $B655)</f>
        <v/>
      </c>
      <c r="J655" s="6">
        <f>IF($F655="","", INDEX(Calc!$E:$E, MATCH("D_vessel_m", Calc!$C:$C, 0)) - $F655 + $B655)</f>
        <v/>
      </c>
      <c r="K655" s="3">
        <f>IF(D655=0, "Even Keel", "")</f>
        <v/>
      </c>
    </row>
    <row r="656">
      <c r="A656" s="3">
        <f>IF(December_Tide_2025!A656="","",December_Tide_2025!A656)</f>
        <v/>
      </c>
      <c r="B656" s="6">
        <f>IF(December_Tide_2025!B656="","",December_Tide_2025!B656)</f>
        <v/>
      </c>
      <c r="C656" s="6">
        <f>IF($A656="","", INDEX(Calc!$E:$E, MATCH("KminusZ_m", Calc!$C:$C, 0)) + $B656 - INDEX(Calc!$E:$E, MATCH("L_ramp_m", Calc!$C:$C, 0)) * TAN(RADIANS(INDEX(Calc!$E:$E, MATCH("theta_max_deg", Calc!$C:$C, 0)))))</f>
        <v/>
      </c>
      <c r="D656" s="6" t="n"/>
      <c r="E656" s="6">
        <f>IF($C656="","", IF($D656="", $C656, $C656 - $D656/2))</f>
        <v/>
      </c>
      <c r="F656" s="6">
        <f>IF($C656="","", IF($D656="", $C656, $C656 + $D656/2))</f>
        <v/>
      </c>
      <c r="G656" s="6">
        <f>IF($E656="","", DEGREES(ATAN((INDEX(Calc!$E:$E, MATCH("KminusZ_m", Calc!$C:$C, 0)) - $E656 + $B656) / INDEX(Calc!$E:$E, MATCH("L_ramp_m", Calc!$C:$C, 0)))))</f>
        <v/>
      </c>
      <c r="H656" s="3">
        <f>IF($E656="","", IF(AND($E656&gt;=INDEX(Calc!$E:$E, MATCH("min_fwd_draft_m", Calc!$C:$C, 0)), $E656&lt;=INDEX(Calc!$E:$E, MATCH("max_fwd_draft_m", Calc!$C:$C, 0)), $G656&lt;=INDEX(Calc!$E:$E, MATCH("theta_max_deg", Calc!$C:$C, 0))), "OK", "CHECK"))</f>
        <v/>
      </c>
      <c r="I656" s="6">
        <f>IF($E656="","", INDEX(Calc!$E:$E, MATCH("D_vessel_m", Calc!$C:$C, 0)) - $E656 + $B656)</f>
        <v/>
      </c>
      <c r="J656" s="6">
        <f>IF($F656="","", INDEX(Calc!$E:$E, MATCH("D_vessel_m", Calc!$C:$C, 0)) - $F656 + $B656)</f>
        <v/>
      </c>
      <c r="K656" s="3">
        <f>IF(D656=0, "Even Keel", "")</f>
        <v/>
      </c>
    </row>
    <row r="657">
      <c r="A657" s="3">
        <f>IF(December_Tide_2025!A657="","",December_Tide_2025!A657)</f>
        <v/>
      </c>
      <c r="B657" s="6">
        <f>IF(December_Tide_2025!B657="","",December_Tide_2025!B657)</f>
        <v/>
      </c>
      <c r="C657" s="6">
        <f>IF($A657="","", INDEX(Calc!$E:$E, MATCH("KminusZ_m", Calc!$C:$C, 0)) + $B657 - INDEX(Calc!$E:$E, MATCH("L_ramp_m", Calc!$C:$C, 0)) * TAN(RADIANS(INDEX(Calc!$E:$E, MATCH("theta_max_deg", Calc!$C:$C, 0)))))</f>
        <v/>
      </c>
      <c r="D657" s="6" t="n"/>
      <c r="E657" s="6">
        <f>IF($C657="","", IF($D657="", $C657, $C657 - $D657/2))</f>
        <v/>
      </c>
      <c r="F657" s="6">
        <f>IF($C657="","", IF($D657="", $C657, $C657 + $D657/2))</f>
        <v/>
      </c>
      <c r="G657" s="6">
        <f>IF($E657="","", DEGREES(ATAN((INDEX(Calc!$E:$E, MATCH("KminusZ_m", Calc!$C:$C, 0)) - $E657 + $B657) / INDEX(Calc!$E:$E, MATCH("L_ramp_m", Calc!$C:$C, 0)))))</f>
        <v/>
      </c>
      <c r="H657" s="3">
        <f>IF($E657="","", IF(AND($E657&gt;=INDEX(Calc!$E:$E, MATCH("min_fwd_draft_m", Calc!$C:$C, 0)), $E657&lt;=INDEX(Calc!$E:$E, MATCH("max_fwd_draft_m", Calc!$C:$C, 0)), $G657&lt;=INDEX(Calc!$E:$E, MATCH("theta_max_deg", Calc!$C:$C, 0))), "OK", "CHECK"))</f>
        <v/>
      </c>
      <c r="I657" s="6">
        <f>IF($E657="","", INDEX(Calc!$E:$E, MATCH("D_vessel_m", Calc!$C:$C, 0)) - $E657 + $B657)</f>
        <v/>
      </c>
      <c r="J657" s="6">
        <f>IF($F657="","", INDEX(Calc!$E:$E, MATCH("D_vessel_m", Calc!$C:$C, 0)) - $F657 + $B657)</f>
        <v/>
      </c>
      <c r="K657" s="3">
        <f>IF(D657=0, "Even Keel", "")</f>
        <v/>
      </c>
    </row>
    <row r="658">
      <c r="A658" s="3">
        <f>IF(December_Tide_2025!A658="","",December_Tide_2025!A658)</f>
        <v/>
      </c>
      <c r="B658" s="6">
        <f>IF(December_Tide_2025!B658="","",December_Tide_2025!B658)</f>
        <v/>
      </c>
      <c r="C658" s="6">
        <f>IF($A658="","", INDEX(Calc!$E:$E, MATCH("KminusZ_m", Calc!$C:$C, 0)) + $B658 - INDEX(Calc!$E:$E, MATCH("L_ramp_m", Calc!$C:$C, 0)) * TAN(RADIANS(INDEX(Calc!$E:$E, MATCH("theta_max_deg", Calc!$C:$C, 0)))))</f>
        <v/>
      </c>
      <c r="D658" s="6" t="n"/>
      <c r="E658" s="6">
        <f>IF($C658="","", IF($D658="", $C658, $C658 - $D658/2))</f>
        <v/>
      </c>
      <c r="F658" s="6">
        <f>IF($C658="","", IF($D658="", $C658, $C658 + $D658/2))</f>
        <v/>
      </c>
      <c r="G658" s="6">
        <f>IF($E658="","", DEGREES(ATAN((INDEX(Calc!$E:$E, MATCH("KminusZ_m", Calc!$C:$C, 0)) - $E658 + $B658) / INDEX(Calc!$E:$E, MATCH("L_ramp_m", Calc!$C:$C, 0)))))</f>
        <v/>
      </c>
      <c r="H658" s="3">
        <f>IF($E658="","", IF(AND($E658&gt;=INDEX(Calc!$E:$E, MATCH("min_fwd_draft_m", Calc!$C:$C, 0)), $E658&lt;=INDEX(Calc!$E:$E, MATCH("max_fwd_draft_m", Calc!$C:$C, 0)), $G658&lt;=INDEX(Calc!$E:$E, MATCH("theta_max_deg", Calc!$C:$C, 0))), "OK", "CHECK"))</f>
        <v/>
      </c>
      <c r="I658" s="6">
        <f>IF($E658="","", INDEX(Calc!$E:$E, MATCH("D_vessel_m", Calc!$C:$C, 0)) - $E658 + $B658)</f>
        <v/>
      </c>
      <c r="J658" s="6">
        <f>IF($F658="","", INDEX(Calc!$E:$E, MATCH("D_vessel_m", Calc!$C:$C, 0)) - $F658 + $B658)</f>
        <v/>
      </c>
      <c r="K658" s="3">
        <f>IF(D658=0, "Even Keel", "")</f>
        <v/>
      </c>
    </row>
    <row r="659">
      <c r="A659" s="3">
        <f>IF(December_Tide_2025!A659="","",December_Tide_2025!A659)</f>
        <v/>
      </c>
      <c r="B659" s="6">
        <f>IF(December_Tide_2025!B659="","",December_Tide_2025!B659)</f>
        <v/>
      </c>
      <c r="C659" s="6">
        <f>IF($A659="","", INDEX(Calc!$E:$E, MATCH("KminusZ_m", Calc!$C:$C, 0)) + $B659 - INDEX(Calc!$E:$E, MATCH("L_ramp_m", Calc!$C:$C, 0)) * TAN(RADIANS(INDEX(Calc!$E:$E, MATCH("theta_max_deg", Calc!$C:$C, 0)))))</f>
        <v/>
      </c>
      <c r="D659" s="6" t="n"/>
      <c r="E659" s="6">
        <f>IF($C659="","", IF($D659="", $C659, $C659 - $D659/2))</f>
        <v/>
      </c>
      <c r="F659" s="6">
        <f>IF($C659="","", IF($D659="", $C659, $C659 + $D659/2))</f>
        <v/>
      </c>
      <c r="G659" s="6">
        <f>IF($E659="","", DEGREES(ATAN((INDEX(Calc!$E:$E, MATCH("KminusZ_m", Calc!$C:$C, 0)) - $E659 + $B659) / INDEX(Calc!$E:$E, MATCH("L_ramp_m", Calc!$C:$C, 0)))))</f>
        <v/>
      </c>
      <c r="H659" s="3">
        <f>IF($E659="","", IF(AND($E659&gt;=INDEX(Calc!$E:$E, MATCH("min_fwd_draft_m", Calc!$C:$C, 0)), $E659&lt;=INDEX(Calc!$E:$E, MATCH("max_fwd_draft_m", Calc!$C:$C, 0)), $G659&lt;=INDEX(Calc!$E:$E, MATCH("theta_max_deg", Calc!$C:$C, 0))), "OK", "CHECK"))</f>
        <v/>
      </c>
      <c r="I659" s="6">
        <f>IF($E659="","", INDEX(Calc!$E:$E, MATCH("D_vessel_m", Calc!$C:$C, 0)) - $E659 + $B659)</f>
        <v/>
      </c>
      <c r="J659" s="6">
        <f>IF($F659="","", INDEX(Calc!$E:$E, MATCH("D_vessel_m", Calc!$C:$C, 0)) - $F659 + $B659)</f>
        <v/>
      </c>
      <c r="K659" s="3">
        <f>IF(D659=0, "Even Keel", "")</f>
        <v/>
      </c>
    </row>
    <row r="660">
      <c r="A660" s="3">
        <f>IF(December_Tide_2025!A660="","",December_Tide_2025!A660)</f>
        <v/>
      </c>
      <c r="B660" s="6">
        <f>IF(December_Tide_2025!B660="","",December_Tide_2025!B660)</f>
        <v/>
      </c>
      <c r="C660" s="6">
        <f>IF($A660="","", INDEX(Calc!$E:$E, MATCH("KminusZ_m", Calc!$C:$C, 0)) + $B660 - INDEX(Calc!$E:$E, MATCH("L_ramp_m", Calc!$C:$C, 0)) * TAN(RADIANS(INDEX(Calc!$E:$E, MATCH("theta_max_deg", Calc!$C:$C, 0)))))</f>
        <v/>
      </c>
      <c r="D660" s="6" t="n"/>
      <c r="E660" s="6">
        <f>IF($C660="","", IF($D660="", $C660, $C660 - $D660/2))</f>
        <v/>
      </c>
      <c r="F660" s="6">
        <f>IF($C660="","", IF($D660="", $C660, $C660 + $D660/2))</f>
        <v/>
      </c>
      <c r="G660" s="6">
        <f>IF($E660="","", DEGREES(ATAN((INDEX(Calc!$E:$E, MATCH("KminusZ_m", Calc!$C:$C, 0)) - $E660 + $B660) / INDEX(Calc!$E:$E, MATCH("L_ramp_m", Calc!$C:$C, 0)))))</f>
        <v/>
      </c>
      <c r="H660" s="3">
        <f>IF($E660="","", IF(AND($E660&gt;=INDEX(Calc!$E:$E, MATCH("min_fwd_draft_m", Calc!$C:$C, 0)), $E660&lt;=INDEX(Calc!$E:$E, MATCH("max_fwd_draft_m", Calc!$C:$C, 0)), $G660&lt;=INDEX(Calc!$E:$E, MATCH("theta_max_deg", Calc!$C:$C, 0))), "OK", "CHECK"))</f>
        <v/>
      </c>
      <c r="I660" s="6">
        <f>IF($E660="","", INDEX(Calc!$E:$E, MATCH("D_vessel_m", Calc!$C:$C, 0)) - $E660 + $B660)</f>
        <v/>
      </c>
      <c r="J660" s="6">
        <f>IF($F660="","", INDEX(Calc!$E:$E, MATCH("D_vessel_m", Calc!$C:$C, 0)) - $F660 + $B660)</f>
        <v/>
      </c>
      <c r="K660" s="3">
        <f>IF(D660=0, "Even Keel", "")</f>
        <v/>
      </c>
    </row>
    <row r="661">
      <c r="A661" s="3">
        <f>IF(December_Tide_2025!A661="","",December_Tide_2025!A661)</f>
        <v/>
      </c>
      <c r="B661" s="6">
        <f>IF(December_Tide_2025!B661="","",December_Tide_2025!B661)</f>
        <v/>
      </c>
      <c r="C661" s="6">
        <f>IF($A661="","", INDEX(Calc!$E:$E, MATCH("KminusZ_m", Calc!$C:$C, 0)) + $B661 - INDEX(Calc!$E:$E, MATCH("L_ramp_m", Calc!$C:$C, 0)) * TAN(RADIANS(INDEX(Calc!$E:$E, MATCH("theta_max_deg", Calc!$C:$C, 0)))))</f>
        <v/>
      </c>
      <c r="D661" s="6" t="n"/>
      <c r="E661" s="6">
        <f>IF($C661="","", IF($D661="", $C661, $C661 - $D661/2))</f>
        <v/>
      </c>
      <c r="F661" s="6">
        <f>IF($C661="","", IF($D661="", $C661, $C661 + $D661/2))</f>
        <v/>
      </c>
      <c r="G661" s="6">
        <f>IF($E661="","", DEGREES(ATAN((INDEX(Calc!$E:$E, MATCH("KminusZ_m", Calc!$C:$C, 0)) - $E661 + $B661) / INDEX(Calc!$E:$E, MATCH("L_ramp_m", Calc!$C:$C, 0)))))</f>
        <v/>
      </c>
      <c r="H661" s="3">
        <f>IF($E661="","", IF(AND($E661&gt;=INDEX(Calc!$E:$E, MATCH("min_fwd_draft_m", Calc!$C:$C, 0)), $E661&lt;=INDEX(Calc!$E:$E, MATCH("max_fwd_draft_m", Calc!$C:$C, 0)), $G661&lt;=INDEX(Calc!$E:$E, MATCH("theta_max_deg", Calc!$C:$C, 0))), "OK", "CHECK"))</f>
        <v/>
      </c>
      <c r="I661" s="6">
        <f>IF($E661="","", INDEX(Calc!$E:$E, MATCH("D_vessel_m", Calc!$C:$C, 0)) - $E661 + $B661)</f>
        <v/>
      </c>
      <c r="J661" s="6">
        <f>IF($F661="","", INDEX(Calc!$E:$E, MATCH("D_vessel_m", Calc!$C:$C, 0)) - $F661 + $B661)</f>
        <v/>
      </c>
      <c r="K661" s="3">
        <f>IF(D661=0, "Even Keel", "")</f>
        <v/>
      </c>
    </row>
    <row r="662">
      <c r="A662" s="3">
        <f>IF(December_Tide_2025!A662="","",December_Tide_2025!A662)</f>
        <v/>
      </c>
      <c r="B662" s="6">
        <f>IF(December_Tide_2025!B662="","",December_Tide_2025!B662)</f>
        <v/>
      </c>
      <c r="C662" s="6">
        <f>IF($A662="","", INDEX(Calc!$E:$E, MATCH("KminusZ_m", Calc!$C:$C, 0)) + $B662 - INDEX(Calc!$E:$E, MATCH("L_ramp_m", Calc!$C:$C, 0)) * TAN(RADIANS(INDEX(Calc!$E:$E, MATCH("theta_max_deg", Calc!$C:$C, 0)))))</f>
        <v/>
      </c>
      <c r="D662" s="6" t="n"/>
      <c r="E662" s="6">
        <f>IF($C662="","", IF($D662="", $C662, $C662 - $D662/2))</f>
        <v/>
      </c>
      <c r="F662" s="6">
        <f>IF($C662="","", IF($D662="", $C662, $C662 + $D662/2))</f>
        <v/>
      </c>
      <c r="G662" s="6">
        <f>IF($E662="","", DEGREES(ATAN((INDEX(Calc!$E:$E, MATCH("KminusZ_m", Calc!$C:$C, 0)) - $E662 + $B662) / INDEX(Calc!$E:$E, MATCH("L_ramp_m", Calc!$C:$C, 0)))))</f>
        <v/>
      </c>
      <c r="H662" s="3">
        <f>IF($E662="","", IF(AND($E662&gt;=INDEX(Calc!$E:$E, MATCH("min_fwd_draft_m", Calc!$C:$C, 0)), $E662&lt;=INDEX(Calc!$E:$E, MATCH("max_fwd_draft_m", Calc!$C:$C, 0)), $G662&lt;=INDEX(Calc!$E:$E, MATCH("theta_max_deg", Calc!$C:$C, 0))), "OK", "CHECK"))</f>
        <v/>
      </c>
      <c r="I662" s="6">
        <f>IF($E662="","", INDEX(Calc!$E:$E, MATCH("D_vessel_m", Calc!$C:$C, 0)) - $E662 + $B662)</f>
        <v/>
      </c>
      <c r="J662" s="6">
        <f>IF($F662="","", INDEX(Calc!$E:$E, MATCH("D_vessel_m", Calc!$C:$C, 0)) - $F662 + $B662)</f>
        <v/>
      </c>
      <c r="K662" s="3">
        <f>IF(D662=0, "Even Keel", "")</f>
        <v/>
      </c>
    </row>
    <row r="663">
      <c r="A663" s="3">
        <f>IF(December_Tide_2025!A663="","",December_Tide_2025!A663)</f>
        <v/>
      </c>
      <c r="B663" s="6">
        <f>IF(December_Tide_2025!B663="","",December_Tide_2025!B663)</f>
        <v/>
      </c>
      <c r="C663" s="6">
        <f>IF($A663="","", INDEX(Calc!$E:$E, MATCH("KminusZ_m", Calc!$C:$C, 0)) + $B663 - INDEX(Calc!$E:$E, MATCH("L_ramp_m", Calc!$C:$C, 0)) * TAN(RADIANS(INDEX(Calc!$E:$E, MATCH("theta_max_deg", Calc!$C:$C, 0)))))</f>
        <v/>
      </c>
      <c r="D663" s="6" t="n"/>
      <c r="E663" s="6">
        <f>IF($C663="","", IF($D663="", $C663, $C663 - $D663/2))</f>
        <v/>
      </c>
      <c r="F663" s="6">
        <f>IF($C663="","", IF($D663="", $C663, $C663 + $D663/2))</f>
        <v/>
      </c>
      <c r="G663" s="6">
        <f>IF($E663="","", DEGREES(ATAN((INDEX(Calc!$E:$E, MATCH("KminusZ_m", Calc!$C:$C, 0)) - $E663 + $B663) / INDEX(Calc!$E:$E, MATCH("L_ramp_m", Calc!$C:$C, 0)))))</f>
        <v/>
      </c>
      <c r="H663" s="3">
        <f>IF($E663="","", IF(AND($E663&gt;=INDEX(Calc!$E:$E, MATCH("min_fwd_draft_m", Calc!$C:$C, 0)), $E663&lt;=INDEX(Calc!$E:$E, MATCH("max_fwd_draft_m", Calc!$C:$C, 0)), $G663&lt;=INDEX(Calc!$E:$E, MATCH("theta_max_deg", Calc!$C:$C, 0))), "OK", "CHECK"))</f>
        <v/>
      </c>
      <c r="I663" s="6">
        <f>IF($E663="","", INDEX(Calc!$E:$E, MATCH("D_vessel_m", Calc!$C:$C, 0)) - $E663 + $B663)</f>
        <v/>
      </c>
      <c r="J663" s="6">
        <f>IF($F663="","", INDEX(Calc!$E:$E, MATCH("D_vessel_m", Calc!$C:$C, 0)) - $F663 + $B663)</f>
        <v/>
      </c>
      <c r="K663" s="3">
        <f>IF(D663=0, "Even Keel", "")</f>
        <v/>
      </c>
    </row>
    <row r="664">
      <c r="A664" s="3">
        <f>IF(December_Tide_2025!A664="","",December_Tide_2025!A664)</f>
        <v/>
      </c>
      <c r="B664" s="6">
        <f>IF(December_Tide_2025!B664="","",December_Tide_2025!B664)</f>
        <v/>
      </c>
      <c r="C664" s="6">
        <f>IF($A664="","", INDEX(Calc!$E:$E, MATCH("KminusZ_m", Calc!$C:$C, 0)) + $B664 - INDEX(Calc!$E:$E, MATCH("L_ramp_m", Calc!$C:$C, 0)) * TAN(RADIANS(INDEX(Calc!$E:$E, MATCH("theta_max_deg", Calc!$C:$C, 0)))))</f>
        <v/>
      </c>
      <c r="D664" s="6" t="n"/>
      <c r="E664" s="6">
        <f>IF($C664="","", IF($D664="", $C664, $C664 - $D664/2))</f>
        <v/>
      </c>
      <c r="F664" s="6">
        <f>IF($C664="","", IF($D664="", $C664, $C664 + $D664/2))</f>
        <v/>
      </c>
      <c r="G664" s="6">
        <f>IF($E664="","", DEGREES(ATAN((INDEX(Calc!$E:$E, MATCH("KminusZ_m", Calc!$C:$C, 0)) - $E664 + $B664) / INDEX(Calc!$E:$E, MATCH("L_ramp_m", Calc!$C:$C, 0)))))</f>
        <v/>
      </c>
      <c r="H664" s="3">
        <f>IF($E664="","", IF(AND($E664&gt;=INDEX(Calc!$E:$E, MATCH("min_fwd_draft_m", Calc!$C:$C, 0)), $E664&lt;=INDEX(Calc!$E:$E, MATCH("max_fwd_draft_m", Calc!$C:$C, 0)), $G664&lt;=INDEX(Calc!$E:$E, MATCH("theta_max_deg", Calc!$C:$C, 0))), "OK", "CHECK"))</f>
        <v/>
      </c>
      <c r="I664" s="6">
        <f>IF($E664="","", INDEX(Calc!$E:$E, MATCH("D_vessel_m", Calc!$C:$C, 0)) - $E664 + $B664)</f>
        <v/>
      </c>
      <c r="J664" s="6">
        <f>IF($F664="","", INDEX(Calc!$E:$E, MATCH("D_vessel_m", Calc!$C:$C, 0)) - $F664 + $B664)</f>
        <v/>
      </c>
      <c r="K664" s="3">
        <f>IF(D664=0, "Even Keel", "")</f>
        <v/>
      </c>
    </row>
    <row r="665">
      <c r="A665" s="3">
        <f>IF(December_Tide_2025!A665="","",December_Tide_2025!A665)</f>
        <v/>
      </c>
      <c r="B665" s="6">
        <f>IF(December_Tide_2025!B665="","",December_Tide_2025!B665)</f>
        <v/>
      </c>
      <c r="C665" s="6">
        <f>IF($A665="","", INDEX(Calc!$E:$E, MATCH("KminusZ_m", Calc!$C:$C, 0)) + $B665 - INDEX(Calc!$E:$E, MATCH("L_ramp_m", Calc!$C:$C, 0)) * TAN(RADIANS(INDEX(Calc!$E:$E, MATCH("theta_max_deg", Calc!$C:$C, 0)))))</f>
        <v/>
      </c>
      <c r="D665" s="6" t="n"/>
      <c r="E665" s="6">
        <f>IF($C665="","", IF($D665="", $C665, $C665 - $D665/2))</f>
        <v/>
      </c>
      <c r="F665" s="6">
        <f>IF($C665="","", IF($D665="", $C665, $C665 + $D665/2))</f>
        <v/>
      </c>
      <c r="G665" s="6">
        <f>IF($E665="","", DEGREES(ATAN((INDEX(Calc!$E:$E, MATCH("KminusZ_m", Calc!$C:$C, 0)) - $E665 + $B665) / INDEX(Calc!$E:$E, MATCH("L_ramp_m", Calc!$C:$C, 0)))))</f>
        <v/>
      </c>
      <c r="H665" s="3">
        <f>IF($E665="","", IF(AND($E665&gt;=INDEX(Calc!$E:$E, MATCH("min_fwd_draft_m", Calc!$C:$C, 0)), $E665&lt;=INDEX(Calc!$E:$E, MATCH("max_fwd_draft_m", Calc!$C:$C, 0)), $G665&lt;=INDEX(Calc!$E:$E, MATCH("theta_max_deg", Calc!$C:$C, 0))), "OK", "CHECK"))</f>
        <v/>
      </c>
      <c r="I665" s="6">
        <f>IF($E665="","", INDEX(Calc!$E:$E, MATCH("D_vessel_m", Calc!$C:$C, 0)) - $E665 + $B665)</f>
        <v/>
      </c>
      <c r="J665" s="6">
        <f>IF($F665="","", INDEX(Calc!$E:$E, MATCH("D_vessel_m", Calc!$C:$C, 0)) - $F665 + $B665)</f>
        <v/>
      </c>
      <c r="K665" s="3">
        <f>IF(D665=0, "Even Keel", "")</f>
        <v/>
      </c>
    </row>
    <row r="666">
      <c r="A666" s="3">
        <f>IF(December_Tide_2025!A666="","",December_Tide_2025!A666)</f>
        <v/>
      </c>
      <c r="B666" s="6">
        <f>IF(December_Tide_2025!B666="","",December_Tide_2025!B666)</f>
        <v/>
      </c>
      <c r="C666" s="6">
        <f>IF($A666="","", INDEX(Calc!$E:$E, MATCH("KminusZ_m", Calc!$C:$C, 0)) + $B666 - INDEX(Calc!$E:$E, MATCH("L_ramp_m", Calc!$C:$C, 0)) * TAN(RADIANS(INDEX(Calc!$E:$E, MATCH("theta_max_deg", Calc!$C:$C, 0)))))</f>
        <v/>
      </c>
      <c r="D666" s="6" t="n"/>
      <c r="E666" s="6">
        <f>IF($C666="","", IF($D666="", $C666, $C666 - $D666/2))</f>
        <v/>
      </c>
      <c r="F666" s="6">
        <f>IF($C666="","", IF($D666="", $C666, $C666 + $D666/2))</f>
        <v/>
      </c>
      <c r="G666" s="6">
        <f>IF($E666="","", DEGREES(ATAN((INDEX(Calc!$E:$E, MATCH("KminusZ_m", Calc!$C:$C, 0)) - $E666 + $B666) / INDEX(Calc!$E:$E, MATCH("L_ramp_m", Calc!$C:$C, 0)))))</f>
        <v/>
      </c>
      <c r="H666" s="3">
        <f>IF($E666="","", IF(AND($E666&gt;=INDEX(Calc!$E:$E, MATCH("min_fwd_draft_m", Calc!$C:$C, 0)), $E666&lt;=INDEX(Calc!$E:$E, MATCH("max_fwd_draft_m", Calc!$C:$C, 0)), $G666&lt;=INDEX(Calc!$E:$E, MATCH("theta_max_deg", Calc!$C:$C, 0))), "OK", "CHECK"))</f>
        <v/>
      </c>
      <c r="I666" s="6">
        <f>IF($E666="","", INDEX(Calc!$E:$E, MATCH("D_vessel_m", Calc!$C:$C, 0)) - $E666 + $B666)</f>
        <v/>
      </c>
      <c r="J666" s="6">
        <f>IF($F666="","", INDEX(Calc!$E:$E, MATCH("D_vessel_m", Calc!$C:$C, 0)) - $F666 + $B666)</f>
        <v/>
      </c>
      <c r="K666" s="3">
        <f>IF(D666=0, "Even Keel", "")</f>
        <v/>
      </c>
    </row>
    <row r="667">
      <c r="A667" s="3">
        <f>IF(December_Tide_2025!A667="","",December_Tide_2025!A667)</f>
        <v/>
      </c>
      <c r="B667" s="6">
        <f>IF(December_Tide_2025!B667="","",December_Tide_2025!B667)</f>
        <v/>
      </c>
      <c r="C667" s="6">
        <f>IF($A667="","", INDEX(Calc!$E:$E, MATCH("KminusZ_m", Calc!$C:$C, 0)) + $B667 - INDEX(Calc!$E:$E, MATCH("L_ramp_m", Calc!$C:$C, 0)) * TAN(RADIANS(INDEX(Calc!$E:$E, MATCH("theta_max_deg", Calc!$C:$C, 0)))))</f>
        <v/>
      </c>
      <c r="D667" s="6" t="n"/>
      <c r="E667" s="6">
        <f>IF($C667="","", IF($D667="", $C667, $C667 - $D667/2))</f>
        <v/>
      </c>
      <c r="F667" s="6">
        <f>IF($C667="","", IF($D667="", $C667, $C667 + $D667/2))</f>
        <v/>
      </c>
      <c r="G667" s="6">
        <f>IF($E667="","", DEGREES(ATAN((INDEX(Calc!$E:$E, MATCH("KminusZ_m", Calc!$C:$C, 0)) - $E667 + $B667) / INDEX(Calc!$E:$E, MATCH("L_ramp_m", Calc!$C:$C, 0)))))</f>
        <v/>
      </c>
      <c r="H667" s="3">
        <f>IF($E667="","", IF(AND($E667&gt;=INDEX(Calc!$E:$E, MATCH("min_fwd_draft_m", Calc!$C:$C, 0)), $E667&lt;=INDEX(Calc!$E:$E, MATCH("max_fwd_draft_m", Calc!$C:$C, 0)), $G667&lt;=INDEX(Calc!$E:$E, MATCH("theta_max_deg", Calc!$C:$C, 0))), "OK", "CHECK"))</f>
        <v/>
      </c>
      <c r="I667" s="6">
        <f>IF($E667="","", INDEX(Calc!$E:$E, MATCH("D_vessel_m", Calc!$C:$C, 0)) - $E667 + $B667)</f>
        <v/>
      </c>
      <c r="J667" s="6">
        <f>IF($F667="","", INDEX(Calc!$E:$E, MATCH("D_vessel_m", Calc!$C:$C, 0)) - $F667 + $B667)</f>
        <v/>
      </c>
      <c r="K667" s="3">
        <f>IF(D667=0, "Even Keel", "")</f>
        <v/>
      </c>
    </row>
    <row r="668">
      <c r="A668" s="3">
        <f>IF(December_Tide_2025!A668="","",December_Tide_2025!A668)</f>
        <v/>
      </c>
      <c r="B668" s="6">
        <f>IF(December_Tide_2025!B668="","",December_Tide_2025!B668)</f>
        <v/>
      </c>
      <c r="C668" s="6">
        <f>IF($A668="","", INDEX(Calc!$E:$E, MATCH("KminusZ_m", Calc!$C:$C, 0)) + $B668 - INDEX(Calc!$E:$E, MATCH("L_ramp_m", Calc!$C:$C, 0)) * TAN(RADIANS(INDEX(Calc!$E:$E, MATCH("theta_max_deg", Calc!$C:$C, 0)))))</f>
        <v/>
      </c>
      <c r="D668" s="6" t="n"/>
      <c r="E668" s="6">
        <f>IF($C668="","", IF($D668="", $C668, $C668 - $D668/2))</f>
        <v/>
      </c>
      <c r="F668" s="6">
        <f>IF($C668="","", IF($D668="", $C668, $C668 + $D668/2))</f>
        <v/>
      </c>
      <c r="G668" s="6">
        <f>IF($E668="","", DEGREES(ATAN((INDEX(Calc!$E:$E, MATCH("KminusZ_m", Calc!$C:$C, 0)) - $E668 + $B668) / INDEX(Calc!$E:$E, MATCH("L_ramp_m", Calc!$C:$C, 0)))))</f>
        <v/>
      </c>
      <c r="H668" s="3">
        <f>IF($E668="","", IF(AND($E668&gt;=INDEX(Calc!$E:$E, MATCH("min_fwd_draft_m", Calc!$C:$C, 0)), $E668&lt;=INDEX(Calc!$E:$E, MATCH("max_fwd_draft_m", Calc!$C:$C, 0)), $G668&lt;=INDEX(Calc!$E:$E, MATCH("theta_max_deg", Calc!$C:$C, 0))), "OK", "CHECK"))</f>
        <v/>
      </c>
      <c r="I668" s="6">
        <f>IF($E668="","", INDEX(Calc!$E:$E, MATCH("D_vessel_m", Calc!$C:$C, 0)) - $E668 + $B668)</f>
        <v/>
      </c>
      <c r="J668" s="6">
        <f>IF($F668="","", INDEX(Calc!$E:$E, MATCH("D_vessel_m", Calc!$C:$C, 0)) - $F668 + $B668)</f>
        <v/>
      </c>
      <c r="K668" s="3">
        <f>IF(D668=0, "Even Keel", "")</f>
        <v/>
      </c>
    </row>
    <row r="669">
      <c r="A669" s="3">
        <f>IF(December_Tide_2025!A669="","",December_Tide_2025!A669)</f>
        <v/>
      </c>
      <c r="B669" s="6">
        <f>IF(December_Tide_2025!B669="","",December_Tide_2025!B669)</f>
        <v/>
      </c>
      <c r="C669" s="6">
        <f>IF($A669="","", INDEX(Calc!$E:$E, MATCH("KminusZ_m", Calc!$C:$C, 0)) + $B669 - INDEX(Calc!$E:$E, MATCH("L_ramp_m", Calc!$C:$C, 0)) * TAN(RADIANS(INDEX(Calc!$E:$E, MATCH("theta_max_deg", Calc!$C:$C, 0)))))</f>
        <v/>
      </c>
      <c r="D669" s="6" t="n"/>
      <c r="E669" s="6">
        <f>IF($C669="","", IF($D669="", $C669, $C669 - $D669/2))</f>
        <v/>
      </c>
      <c r="F669" s="6">
        <f>IF($C669="","", IF($D669="", $C669, $C669 + $D669/2))</f>
        <v/>
      </c>
      <c r="G669" s="6">
        <f>IF($E669="","", DEGREES(ATAN((INDEX(Calc!$E:$E, MATCH("KminusZ_m", Calc!$C:$C, 0)) - $E669 + $B669) / INDEX(Calc!$E:$E, MATCH("L_ramp_m", Calc!$C:$C, 0)))))</f>
        <v/>
      </c>
      <c r="H669" s="3">
        <f>IF($E669="","", IF(AND($E669&gt;=INDEX(Calc!$E:$E, MATCH("min_fwd_draft_m", Calc!$C:$C, 0)), $E669&lt;=INDEX(Calc!$E:$E, MATCH("max_fwd_draft_m", Calc!$C:$C, 0)), $G669&lt;=INDEX(Calc!$E:$E, MATCH("theta_max_deg", Calc!$C:$C, 0))), "OK", "CHECK"))</f>
        <v/>
      </c>
      <c r="I669" s="6">
        <f>IF($E669="","", INDEX(Calc!$E:$E, MATCH("D_vessel_m", Calc!$C:$C, 0)) - $E669 + $B669)</f>
        <v/>
      </c>
      <c r="J669" s="6">
        <f>IF($F669="","", INDEX(Calc!$E:$E, MATCH("D_vessel_m", Calc!$C:$C, 0)) - $F669 + $B669)</f>
        <v/>
      </c>
      <c r="K669" s="3">
        <f>IF(D669=0, "Even Keel", "")</f>
        <v/>
      </c>
    </row>
    <row r="670">
      <c r="A670" s="3">
        <f>IF(December_Tide_2025!A670="","",December_Tide_2025!A670)</f>
        <v/>
      </c>
      <c r="B670" s="6">
        <f>IF(December_Tide_2025!B670="","",December_Tide_2025!B670)</f>
        <v/>
      </c>
      <c r="C670" s="6">
        <f>IF($A670="","", INDEX(Calc!$E:$E, MATCH("KminusZ_m", Calc!$C:$C, 0)) + $B670 - INDEX(Calc!$E:$E, MATCH("L_ramp_m", Calc!$C:$C, 0)) * TAN(RADIANS(INDEX(Calc!$E:$E, MATCH("theta_max_deg", Calc!$C:$C, 0)))))</f>
        <v/>
      </c>
      <c r="D670" s="6" t="n"/>
      <c r="E670" s="6">
        <f>IF($C670="","", IF($D670="", $C670, $C670 - $D670/2))</f>
        <v/>
      </c>
      <c r="F670" s="6">
        <f>IF($C670="","", IF($D670="", $C670, $C670 + $D670/2))</f>
        <v/>
      </c>
      <c r="G670" s="6">
        <f>IF($E670="","", DEGREES(ATAN((INDEX(Calc!$E:$E, MATCH("KminusZ_m", Calc!$C:$C, 0)) - $E670 + $B670) / INDEX(Calc!$E:$E, MATCH("L_ramp_m", Calc!$C:$C, 0)))))</f>
        <v/>
      </c>
      <c r="H670" s="3">
        <f>IF($E670="","", IF(AND($E670&gt;=INDEX(Calc!$E:$E, MATCH("min_fwd_draft_m", Calc!$C:$C, 0)), $E670&lt;=INDEX(Calc!$E:$E, MATCH("max_fwd_draft_m", Calc!$C:$C, 0)), $G670&lt;=INDEX(Calc!$E:$E, MATCH("theta_max_deg", Calc!$C:$C, 0))), "OK", "CHECK"))</f>
        <v/>
      </c>
      <c r="I670" s="6">
        <f>IF($E670="","", INDEX(Calc!$E:$E, MATCH("D_vessel_m", Calc!$C:$C, 0)) - $E670 + $B670)</f>
        <v/>
      </c>
      <c r="J670" s="6">
        <f>IF($F670="","", INDEX(Calc!$E:$E, MATCH("D_vessel_m", Calc!$C:$C, 0)) - $F670 + $B670)</f>
        <v/>
      </c>
      <c r="K670" s="3">
        <f>IF(D670=0, "Even Keel", "")</f>
        <v/>
      </c>
    </row>
    <row r="671">
      <c r="A671" s="3">
        <f>IF(December_Tide_2025!A671="","",December_Tide_2025!A671)</f>
        <v/>
      </c>
      <c r="B671" s="6">
        <f>IF(December_Tide_2025!B671="","",December_Tide_2025!B671)</f>
        <v/>
      </c>
      <c r="C671" s="6">
        <f>IF($A671="","", INDEX(Calc!$E:$E, MATCH("KminusZ_m", Calc!$C:$C, 0)) + $B671 - INDEX(Calc!$E:$E, MATCH("L_ramp_m", Calc!$C:$C, 0)) * TAN(RADIANS(INDEX(Calc!$E:$E, MATCH("theta_max_deg", Calc!$C:$C, 0)))))</f>
        <v/>
      </c>
      <c r="D671" s="6" t="n"/>
      <c r="E671" s="6">
        <f>IF($C671="","", IF($D671="", $C671, $C671 - $D671/2))</f>
        <v/>
      </c>
      <c r="F671" s="6">
        <f>IF($C671="","", IF($D671="", $C671, $C671 + $D671/2))</f>
        <v/>
      </c>
      <c r="G671" s="6">
        <f>IF($E671="","", DEGREES(ATAN((INDEX(Calc!$E:$E, MATCH("KminusZ_m", Calc!$C:$C, 0)) - $E671 + $B671) / INDEX(Calc!$E:$E, MATCH("L_ramp_m", Calc!$C:$C, 0)))))</f>
        <v/>
      </c>
      <c r="H671" s="3">
        <f>IF($E671="","", IF(AND($E671&gt;=INDEX(Calc!$E:$E, MATCH("min_fwd_draft_m", Calc!$C:$C, 0)), $E671&lt;=INDEX(Calc!$E:$E, MATCH("max_fwd_draft_m", Calc!$C:$C, 0)), $G671&lt;=INDEX(Calc!$E:$E, MATCH("theta_max_deg", Calc!$C:$C, 0))), "OK", "CHECK"))</f>
        <v/>
      </c>
      <c r="I671" s="6">
        <f>IF($E671="","", INDEX(Calc!$E:$E, MATCH("D_vessel_m", Calc!$C:$C, 0)) - $E671 + $B671)</f>
        <v/>
      </c>
      <c r="J671" s="6">
        <f>IF($F671="","", INDEX(Calc!$E:$E, MATCH("D_vessel_m", Calc!$C:$C, 0)) - $F671 + $B671)</f>
        <v/>
      </c>
      <c r="K671" s="3">
        <f>IF(D671=0, "Even Keel", "")</f>
        <v/>
      </c>
    </row>
    <row r="672">
      <c r="A672" s="3">
        <f>IF(December_Tide_2025!A672="","",December_Tide_2025!A672)</f>
        <v/>
      </c>
      <c r="B672" s="6">
        <f>IF(December_Tide_2025!B672="","",December_Tide_2025!B672)</f>
        <v/>
      </c>
      <c r="C672" s="6">
        <f>IF($A672="","", INDEX(Calc!$E:$E, MATCH("KminusZ_m", Calc!$C:$C, 0)) + $B672 - INDEX(Calc!$E:$E, MATCH("L_ramp_m", Calc!$C:$C, 0)) * TAN(RADIANS(INDEX(Calc!$E:$E, MATCH("theta_max_deg", Calc!$C:$C, 0)))))</f>
        <v/>
      </c>
      <c r="D672" s="6" t="n"/>
      <c r="E672" s="6">
        <f>IF($C672="","", IF($D672="", $C672, $C672 - $D672/2))</f>
        <v/>
      </c>
      <c r="F672" s="6">
        <f>IF($C672="","", IF($D672="", $C672, $C672 + $D672/2))</f>
        <v/>
      </c>
      <c r="G672" s="6">
        <f>IF($E672="","", DEGREES(ATAN((INDEX(Calc!$E:$E, MATCH("KminusZ_m", Calc!$C:$C, 0)) - $E672 + $B672) / INDEX(Calc!$E:$E, MATCH("L_ramp_m", Calc!$C:$C, 0)))))</f>
        <v/>
      </c>
      <c r="H672" s="3">
        <f>IF($E672="","", IF(AND($E672&gt;=INDEX(Calc!$E:$E, MATCH("min_fwd_draft_m", Calc!$C:$C, 0)), $E672&lt;=INDEX(Calc!$E:$E, MATCH("max_fwd_draft_m", Calc!$C:$C, 0)), $G672&lt;=INDEX(Calc!$E:$E, MATCH("theta_max_deg", Calc!$C:$C, 0))), "OK", "CHECK"))</f>
        <v/>
      </c>
      <c r="I672" s="6">
        <f>IF($E672="","", INDEX(Calc!$E:$E, MATCH("D_vessel_m", Calc!$C:$C, 0)) - $E672 + $B672)</f>
        <v/>
      </c>
      <c r="J672" s="6">
        <f>IF($F672="","", INDEX(Calc!$E:$E, MATCH("D_vessel_m", Calc!$C:$C, 0)) - $F672 + $B672)</f>
        <v/>
      </c>
      <c r="K672" s="3">
        <f>IF(D672=0, "Even Keel", "")</f>
        <v/>
      </c>
    </row>
    <row r="673">
      <c r="A673" s="3">
        <f>IF(December_Tide_2025!A673="","",December_Tide_2025!A673)</f>
        <v/>
      </c>
      <c r="B673" s="6">
        <f>IF(December_Tide_2025!B673="","",December_Tide_2025!B673)</f>
        <v/>
      </c>
      <c r="C673" s="6">
        <f>IF($A673="","", INDEX(Calc!$E:$E, MATCH("KminusZ_m", Calc!$C:$C, 0)) + $B673 - INDEX(Calc!$E:$E, MATCH("L_ramp_m", Calc!$C:$C, 0)) * TAN(RADIANS(INDEX(Calc!$E:$E, MATCH("theta_max_deg", Calc!$C:$C, 0)))))</f>
        <v/>
      </c>
      <c r="D673" s="6" t="n"/>
      <c r="E673" s="6">
        <f>IF($C673="","", IF($D673="", $C673, $C673 - $D673/2))</f>
        <v/>
      </c>
      <c r="F673" s="6">
        <f>IF($C673="","", IF($D673="", $C673, $C673 + $D673/2))</f>
        <v/>
      </c>
      <c r="G673" s="6">
        <f>IF($E673="","", DEGREES(ATAN((INDEX(Calc!$E:$E, MATCH("KminusZ_m", Calc!$C:$C, 0)) - $E673 + $B673) / INDEX(Calc!$E:$E, MATCH("L_ramp_m", Calc!$C:$C, 0)))))</f>
        <v/>
      </c>
      <c r="H673" s="3">
        <f>IF($E673="","", IF(AND($E673&gt;=INDEX(Calc!$E:$E, MATCH("min_fwd_draft_m", Calc!$C:$C, 0)), $E673&lt;=INDEX(Calc!$E:$E, MATCH("max_fwd_draft_m", Calc!$C:$C, 0)), $G673&lt;=INDEX(Calc!$E:$E, MATCH("theta_max_deg", Calc!$C:$C, 0))), "OK", "CHECK"))</f>
        <v/>
      </c>
      <c r="I673" s="6">
        <f>IF($E673="","", INDEX(Calc!$E:$E, MATCH("D_vessel_m", Calc!$C:$C, 0)) - $E673 + $B673)</f>
        <v/>
      </c>
      <c r="J673" s="6">
        <f>IF($F673="","", INDEX(Calc!$E:$E, MATCH("D_vessel_m", Calc!$C:$C, 0)) - $F673 + $B673)</f>
        <v/>
      </c>
      <c r="K673" s="3">
        <f>IF(D673=0, "Even Keel", "")</f>
        <v/>
      </c>
    </row>
    <row r="674">
      <c r="A674" s="3">
        <f>IF(December_Tide_2025!A674="","",December_Tide_2025!A674)</f>
        <v/>
      </c>
      <c r="B674" s="6">
        <f>IF(December_Tide_2025!B674="","",December_Tide_2025!B674)</f>
        <v/>
      </c>
      <c r="C674" s="6">
        <f>IF($A674="","", INDEX(Calc!$E:$E, MATCH("KminusZ_m", Calc!$C:$C, 0)) + $B674 - INDEX(Calc!$E:$E, MATCH("L_ramp_m", Calc!$C:$C, 0)) * TAN(RADIANS(INDEX(Calc!$E:$E, MATCH("theta_max_deg", Calc!$C:$C, 0)))))</f>
        <v/>
      </c>
      <c r="D674" s="6" t="n"/>
      <c r="E674" s="6">
        <f>IF($C674="","", IF($D674="", $C674, $C674 - $D674/2))</f>
        <v/>
      </c>
      <c r="F674" s="6">
        <f>IF($C674="","", IF($D674="", $C674, $C674 + $D674/2))</f>
        <v/>
      </c>
      <c r="G674" s="6">
        <f>IF($E674="","", DEGREES(ATAN((INDEX(Calc!$E:$E, MATCH("KminusZ_m", Calc!$C:$C, 0)) - $E674 + $B674) / INDEX(Calc!$E:$E, MATCH("L_ramp_m", Calc!$C:$C, 0)))))</f>
        <v/>
      </c>
      <c r="H674" s="3">
        <f>IF($E674="","", IF(AND($E674&gt;=INDEX(Calc!$E:$E, MATCH("min_fwd_draft_m", Calc!$C:$C, 0)), $E674&lt;=INDEX(Calc!$E:$E, MATCH("max_fwd_draft_m", Calc!$C:$C, 0)), $G674&lt;=INDEX(Calc!$E:$E, MATCH("theta_max_deg", Calc!$C:$C, 0))), "OK", "CHECK"))</f>
        <v/>
      </c>
      <c r="I674" s="6">
        <f>IF($E674="","", INDEX(Calc!$E:$E, MATCH("D_vessel_m", Calc!$C:$C, 0)) - $E674 + $B674)</f>
        <v/>
      </c>
      <c r="J674" s="6">
        <f>IF($F674="","", INDEX(Calc!$E:$E, MATCH("D_vessel_m", Calc!$C:$C, 0)) - $F674 + $B674)</f>
        <v/>
      </c>
      <c r="K674" s="3">
        <f>IF(D674=0, "Even Keel", "")</f>
        <v/>
      </c>
    </row>
    <row r="675">
      <c r="A675" s="3">
        <f>IF(December_Tide_2025!A675="","",December_Tide_2025!A675)</f>
        <v/>
      </c>
      <c r="B675" s="6">
        <f>IF(December_Tide_2025!B675="","",December_Tide_2025!B675)</f>
        <v/>
      </c>
      <c r="C675" s="6">
        <f>IF($A675="","", INDEX(Calc!$E:$E, MATCH("KminusZ_m", Calc!$C:$C, 0)) + $B675 - INDEX(Calc!$E:$E, MATCH("L_ramp_m", Calc!$C:$C, 0)) * TAN(RADIANS(INDEX(Calc!$E:$E, MATCH("theta_max_deg", Calc!$C:$C, 0)))))</f>
        <v/>
      </c>
      <c r="D675" s="6" t="n"/>
      <c r="E675" s="6">
        <f>IF($C675="","", IF($D675="", $C675, $C675 - $D675/2))</f>
        <v/>
      </c>
      <c r="F675" s="6">
        <f>IF($C675="","", IF($D675="", $C675, $C675 + $D675/2))</f>
        <v/>
      </c>
      <c r="G675" s="6">
        <f>IF($E675="","", DEGREES(ATAN((INDEX(Calc!$E:$E, MATCH("KminusZ_m", Calc!$C:$C, 0)) - $E675 + $B675) / INDEX(Calc!$E:$E, MATCH("L_ramp_m", Calc!$C:$C, 0)))))</f>
        <v/>
      </c>
      <c r="H675" s="3">
        <f>IF($E675="","", IF(AND($E675&gt;=INDEX(Calc!$E:$E, MATCH("min_fwd_draft_m", Calc!$C:$C, 0)), $E675&lt;=INDEX(Calc!$E:$E, MATCH("max_fwd_draft_m", Calc!$C:$C, 0)), $G675&lt;=INDEX(Calc!$E:$E, MATCH("theta_max_deg", Calc!$C:$C, 0))), "OK", "CHECK"))</f>
        <v/>
      </c>
      <c r="I675" s="6">
        <f>IF($E675="","", INDEX(Calc!$E:$E, MATCH("D_vessel_m", Calc!$C:$C, 0)) - $E675 + $B675)</f>
        <v/>
      </c>
      <c r="J675" s="6">
        <f>IF($F675="","", INDEX(Calc!$E:$E, MATCH("D_vessel_m", Calc!$C:$C, 0)) - $F675 + $B675)</f>
        <v/>
      </c>
      <c r="K675" s="3">
        <f>IF(D675=0, "Even Keel", "")</f>
        <v/>
      </c>
    </row>
    <row r="676">
      <c r="A676" s="3">
        <f>IF(December_Tide_2025!A676="","",December_Tide_2025!A676)</f>
        <v/>
      </c>
      <c r="B676" s="6">
        <f>IF(December_Tide_2025!B676="","",December_Tide_2025!B676)</f>
        <v/>
      </c>
      <c r="C676" s="6">
        <f>IF($A676="","", INDEX(Calc!$E:$E, MATCH("KminusZ_m", Calc!$C:$C, 0)) + $B676 - INDEX(Calc!$E:$E, MATCH("L_ramp_m", Calc!$C:$C, 0)) * TAN(RADIANS(INDEX(Calc!$E:$E, MATCH("theta_max_deg", Calc!$C:$C, 0)))))</f>
        <v/>
      </c>
      <c r="D676" s="6" t="n"/>
      <c r="E676" s="6">
        <f>IF($C676="","", IF($D676="", $C676, $C676 - $D676/2))</f>
        <v/>
      </c>
      <c r="F676" s="6">
        <f>IF($C676="","", IF($D676="", $C676, $C676 + $D676/2))</f>
        <v/>
      </c>
      <c r="G676" s="6">
        <f>IF($E676="","", DEGREES(ATAN((INDEX(Calc!$E:$E, MATCH("KminusZ_m", Calc!$C:$C, 0)) - $E676 + $B676) / INDEX(Calc!$E:$E, MATCH("L_ramp_m", Calc!$C:$C, 0)))))</f>
        <v/>
      </c>
      <c r="H676" s="3">
        <f>IF($E676="","", IF(AND($E676&gt;=INDEX(Calc!$E:$E, MATCH("min_fwd_draft_m", Calc!$C:$C, 0)), $E676&lt;=INDEX(Calc!$E:$E, MATCH("max_fwd_draft_m", Calc!$C:$C, 0)), $G676&lt;=INDEX(Calc!$E:$E, MATCH("theta_max_deg", Calc!$C:$C, 0))), "OK", "CHECK"))</f>
        <v/>
      </c>
      <c r="I676" s="6">
        <f>IF($E676="","", INDEX(Calc!$E:$E, MATCH("D_vessel_m", Calc!$C:$C, 0)) - $E676 + $B676)</f>
        <v/>
      </c>
      <c r="J676" s="6">
        <f>IF($F676="","", INDEX(Calc!$E:$E, MATCH("D_vessel_m", Calc!$C:$C, 0)) - $F676 + $B676)</f>
        <v/>
      </c>
      <c r="K676" s="3">
        <f>IF(D676=0, "Even Keel", "")</f>
        <v/>
      </c>
    </row>
    <row r="677">
      <c r="A677" s="3">
        <f>IF(December_Tide_2025!A677="","",December_Tide_2025!A677)</f>
        <v/>
      </c>
      <c r="B677" s="6">
        <f>IF(December_Tide_2025!B677="","",December_Tide_2025!B677)</f>
        <v/>
      </c>
      <c r="C677" s="6">
        <f>IF($A677="","", INDEX(Calc!$E:$E, MATCH("KminusZ_m", Calc!$C:$C, 0)) + $B677 - INDEX(Calc!$E:$E, MATCH("L_ramp_m", Calc!$C:$C, 0)) * TAN(RADIANS(INDEX(Calc!$E:$E, MATCH("theta_max_deg", Calc!$C:$C, 0)))))</f>
        <v/>
      </c>
      <c r="D677" s="6" t="n"/>
      <c r="E677" s="6">
        <f>IF($C677="","", IF($D677="", $C677, $C677 - $D677/2))</f>
        <v/>
      </c>
      <c r="F677" s="6">
        <f>IF($C677="","", IF($D677="", $C677, $C677 + $D677/2))</f>
        <v/>
      </c>
      <c r="G677" s="6">
        <f>IF($E677="","", DEGREES(ATAN((INDEX(Calc!$E:$E, MATCH("KminusZ_m", Calc!$C:$C, 0)) - $E677 + $B677) / INDEX(Calc!$E:$E, MATCH("L_ramp_m", Calc!$C:$C, 0)))))</f>
        <v/>
      </c>
      <c r="H677" s="3">
        <f>IF($E677="","", IF(AND($E677&gt;=INDEX(Calc!$E:$E, MATCH("min_fwd_draft_m", Calc!$C:$C, 0)), $E677&lt;=INDEX(Calc!$E:$E, MATCH("max_fwd_draft_m", Calc!$C:$C, 0)), $G677&lt;=INDEX(Calc!$E:$E, MATCH("theta_max_deg", Calc!$C:$C, 0))), "OK", "CHECK"))</f>
        <v/>
      </c>
      <c r="I677" s="6">
        <f>IF($E677="","", INDEX(Calc!$E:$E, MATCH("D_vessel_m", Calc!$C:$C, 0)) - $E677 + $B677)</f>
        <v/>
      </c>
      <c r="J677" s="6">
        <f>IF($F677="","", INDEX(Calc!$E:$E, MATCH("D_vessel_m", Calc!$C:$C, 0)) - $F677 + $B677)</f>
        <v/>
      </c>
      <c r="K677" s="3">
        <f>IF(D677=0, "Even Keel", "")</f>
        <v/>
      </c>
    </row>
    <row r="678">
      <c r="A678" s="3">
        <f>IF(December_Tide_2025!A678="","",December_Tide_2025!A678)</f>
        <v/>
      </c>
      <c r="B678" s="6">
        <f>IF(December_Tide_2025!B678="","",December_Tide_2025!B678)</f>
        <v/>
      </c>
      <c r="C678" s="6">
        <f>IF($A678="","", INDEX(Calc!$E:$E, MATCH("KminusZ_m", Calc!$C:$C, 0)) + $B678 - INDEX(Calc!$E:$E, MATCH("L_ramp_m", Calc!$C:$C, 0)) * TAN(RADIANS(INDEX(Calc!$E:$E, MATCH("theta_max_deg", Calc!$C:$C, 0)))))</f>
        <v/>
      </c>
      <c r="D678" s="6" t="n"/>
      <c r="E678" s="6">
        <f>IF($C678="","", IF($D678="", $C678, $C678 - $D678/2))</f>
        <v/>
      </c>
      <c r="F678" s="6">
        <f>IF($C678="","", IF($D678="", $C678, $C678 + $D678/2))</f>
        <v/>
      </c>
      <c r="G678" s="6">
        <f>IF($E678="","", DEGREES(ATAN((INDEX(Calc!$E:$E, MATCH("KminusZ_m", Calc!$C:$C, 0)) - $E678 + $B678) / INDEX(Calc!$E:$E, MATCH("L_ramp_m", Calc!$C:$C, 0)))))</f>
        <v/>
      </c>
      <c r="H678" s="3">
        <f>IF($E678="","", IF(AND($E678&gt;=INDEX(Calc!$E:$E, MATCH("min_fwd_draft_m", Calc!$C:$C, 0)), $E678&lt;=INDEX(Calc!$E:$E, MATCH("max_fwd_draft_m", Calc!$C:$C, 0)), $G678&lt;=INDEX(Calc!$E:$E, MATCH("theta_max_deg", Calc!$C:$C, 0))), "OK", "CHECK"))</f>
        <v/>
      </c>
      <c r="I678" s="6">
        <f>IF($E678="","", INDEX(Calc!$E:$E, MATCH("D_vessel_m", Calc!$C:$C, 0)) - $E678 + $B678)</f>
        <v/>
      </c>
      <c r="J678" s="6">
        <f>IF($F678="","", INDEX(Calc!$E:$E, MATCH("D_vessel_m", Calc!$C:$C, 0)) - $F678 + $B678)</f>
        <v/>
      </c>
      <c r="K678" s="3">
        <f>IF(D678=0, "Even Keel", "")</f>
        <v/>
      </c>
    </row>
    <row r="679">
      <c r="A679" s="3">
        <f>IF(December_Tide_2025!A679="","",December_Tide_2025!A679)</f>
        <v/>
      </c>
      <c r="B679" s="6">
        <f>IF(December_Tide_2025!B679="","",December_Tide_2025!B679)</f>
        <v/>
      </c>
      <c r="C679" s="6">
        <f>IF($A679="","", INDEX(Calc!$E:$E, MATCH("KminusZ_m", Calc!$C:$C, 0)) + $B679 - INDEX(Calc!$E:$E, MATCH("L_ramp_m", Calc!$C:$C, 0)) * TAN(RADIANS(INDEX(Calc!$E:$E, MATCH("theta_max_deg", Calc!$C:$C, 0)))))</f>
        <v/>
      </c>
      <c r="D679" s="6" t="n"/>
      <c r="E679" s="6">
        <f>IF($C679="","", IF($D679="", $C679, $C679 - $D679/2))</f>
        <v/>
      </c>
      <c r="F679" s="6">
        <f>IF($C679="","", IF($D679="", $C679, $C679 + $D679/2))</f>
        <v/>
      </c>
      <c r="G679" s="6">
        <f>IF($E679="","", DEGREES(ATAN((INDEX(Calc!$E:$E, MATCH("KminusZ_m", Calc!$C:$C, 0)) - $E679 + $B679) / INDEX(Calc!$E:$E, MATCH("L_ramp_m", Calc!$C:$C, 0)))))</f>
        <v/>
      </c>
      <c r="H679" s="3">
        <f>IF($E679="","", IF(AND($E679&gt;=INDEX(Calc!$E:$E, MATCH("min_fwd_draft_m", Calc!$C:$C, 0)), $E679&lt;=INDEX(Calc!$E:$E, MATCH("max_fwd_draft_m", Calc!$C:$C, 0)), $G679&lt;=INDEX(Calc!$E:$E, MATCH("theta_max_deg", Calc!$C:$C, 0))), "OK", "CHECK"))</f>
        <v/>
      </c>
      <c r="I679" s="6">
        <f>IF($E679="","", INDEX(Calc!$E:$E, MATCH("D_vessel_m", Calc!$C:$C, 0)) - $E679 + $B679)</f>
        <v/>
      </c>
      <c r="J679" s="6">
        <f>IF($F679="","", INDEX(Calc!$E:$E, MATCH("D_vessel_m", Calc!$C:$C, 0)) - $F679 + $B679)</f>
        <v/>
      </c>
      <c r="K679" s="3">
        <f>IF(D679=0, "Even Keel", "")</f>
        <v/>
      </c>
    </row>
    <row r="680">
      <c r="A680" s="3">
        <f>IF(December_Tide_2025!A680="","",December_Tide_2025!A680)</f>
        <v/>
      </c>
      <c r="B680" s="6">
        <f>IF(December_Tide_2025!B680="","",December_Tide_2025!B680)</f>
        <v/>
      </c>
      <c r="C680" s="6">
        <f>IF($A680="","", INDEX(Calc!$E:$E, MATCH("KminusZ_m", Calc!$C:$C, 0)) + $B680 - INDEX(Calc!$E:$E, MATCH("L_ramp_m", Calc!$C:$C, 0)) * TAN(RADIANS(INDEX(Calc!$E:$E, MATCH("theta_max_deg", Calc!$C:$C, 0)))))</f>
        <v/>
      </c>
      <c r="D680" s="6" t="n"/>
      <c r="E680" s="6">
        <f>IF($C680="","", IF($D680="", $C680, $C680 - $D680/2))</f>
        <v/>
      </c>
      <c r="F680" s="6">
        <f>IF($C680="","", IF($D680="", $C680, $C680 + $D680/2))</f>
        <v/>
      </c>
      <c r="G680" s="6">
        <f>IF($E680="","", DEGREES(ATAN((INDEX(Calc!$E:$E, MATCH("KminusZ_m", Calc!$C:$C, 0)) - $E680 + $B680) / INDEX(Calc!$E:$E, MATCH("L_ramp_m", Calc!$C:$C, 0)))))</f>
        <v/>
      </c>
      <c r="H680" s="3">
        <f>IF($E680="","", IF(AND($E680&gt;=INDEX(Calc!$E:$E, MATCH("min_fwd_draft_m", Calc!$C:$C, 0)), $E680&lt;=INDEX(Calc!$E:$E, MATCH("max_fwd_draft_m", Calc!$C:$C, 0)), $G680&lt;=INDEX(Calc!$E:$E, MATCH("theta_max_deg", Calc!$C:$C, 0))), "OK", "CHECK"))</f>
        <v/>
      </c>
      <c r="I680" s="6">
        <f>IF($E680="","", INDEX(Calc!$E:$E, MATCH("D_vessel_m", Calc!$C:$C, 0)) - $E680 + $B680)</f>
        <v/>
      </c>
      <c r="J680" s="6">
        <f>IF($F680="","", INDEX(Calc!$E:$E, MATCH("D_vessel_m", Calc!$C:$C, 0)) - $F680 + $B680)</f>
        <v/>
      </c>
      <c r="K680" s="3">
        <f>IF(D680=0, "Even Keel", "")</f>
        <v/>
      </c>
    </row>
    <row r="681">
      <c r="A681" s="3">
        <f>IF(December_Tide_2025!A681="","",December_Tide_2025!A681)</f>
        <v/>
      </c>
      <c r="B681" s="6">
        <f>IF(December_Tide_2025!B681="","",December_Tide_2025!B681)</f>
        <v/>
      </c>
      <c r="C681" s="6">
        <f>IF($A681="","", INDEX(Calc!$E:$E, MATCH("KminusZ_m", Calc!$C:$C, 0)) + $B681 - INDEX(Calc!$E:$E, MATCH("L_ramp_m", Calc!$C:$C, 0)) * TAN(RADIANS(INDEX(Calc!$E:$E, MATCH("theta_max_deg", Calc!$C:$C, 0)))))</f>
        <v/>
      </c>
      <c r="D681" s="6" t="n"/>
      <c r="E681" s="6">
        <f>IF($C681="","", IF($D681="", $C681, $C681 - $D681/2))</f>
        <v/>
      </c>
      <c r="F681" s="6">
        <f>IF($C681="","", IF($D681="", $C681, $C681 + $D681/2))</f>
        <v/>
      </c>
      <c r="G681" s="6">
        <f>IF($E681="","", DEGREES(ATAN((INDEX(Calc!$E:$E, MATCH("KminusZ_m", Calc!$C:$C, 0)) - $E681 + $B681) / INDEX(Calc!$E:$E, MATCH("L_ramp_m", Calc!$C:$C, 0)))))</f>
        <v/>
      </c>
      <c r="H681" s="3">
        <f>IF($E681="","", IF(AND($E681&gt;=INDEX(Calc!$E:$E, MATCH("min_fwd_draft_m", Calc!$C:$C, 0)), $E681&lt;=INDEX(Calc!$E:$E, MATCH("max_fwd_draft_m", Calc!$C:$C, 0)), $G681&lt;=INDEX(Calc!$E:$E, MATCH("theta_max_deg", Calc!$C:$C, 0))), "OK", "CHECK"))</f>
        <v/>
      </c>
      <c r="I681" s="6">
        <f>IF($E681="","", INDEX(Calc!$E:$E, MATCH("D_vessel_m", Calc!$C:$C, 0)) - $E681 + $B681)</f>
        <v/>
      </c>
      <c r="J681" s="6">
        <f>IF($F681="","", INDEX(Calc!$E:$E, MATCH("D_vessel_m", Calc!$C:$C, 0)) - $F681 + $B681)</f>
        <v/>
      </c>
      <c r="K681" s="3">
        <f>IF(D681=0, "Even Keel", "")</f>
        <v/>
      </c>
    </row>
    <row r="682">
      <c r="A682" s="3">
        <f>IF(December_Tide_2025!A682="","",December_Tide_2025!A682)</f>
        <v/>
      </c>
      <c r="B682" s="6">
        <f>IF(December_Tide_2025!B682="","",December_Tide_2025!B682)</f>
        <v/>
      </c>
      <c r="C682" s="6">
        <f>IF($A682="","", INDEX(Calc!$E:$E, MATCH("KminusZ_m", Calc!$C:$C, 0)) + $B682 - INDEX(Calc!$E:$E, MATCH("L_ramp_m", Calc!$C:$C, 0)) * TAN(RADIANS(INDEX(Calc!$E:$E, MATCH("theta_max_deg", Calc!$C:$C, 0)))))</f>
        <v/>
      </c>
      <c r="D682" s="6" t="n"/>
      <c r="E682" s="6">
        <f>IF($C682="","", IF($D682="", $C682, $C682 - $D682/2))</f>
        <v/>
      </c>
      <c r="F682" s="6">
        <f>IF($C682="","", IF($D682="", $C682, $C682 + $D682/2))</f>
        <v/>
      </c>
      <c r="G682" s="6">
        <f>IF($E682="","", DEGREES(ATAN((INDEX(Calc!$E:$E, MATCH("KminusZ_m", Calc!$C:$C, 0)) - $E682 + $B682) / INDEX(Calc!$E:$E, MATCH("L_ramp_m", Calc!$C:$C, 0)))))</f>
        <v/>
      </c>
      <c r="H682" s="3">
        <f>IF($E682="","", IF(AND($E682&gt;=INDEX(Calc!$E:$E, MATCH("min_fwd_draft_m", Calc!$C:$C, 0)), $E682&lt;=INDEX(Calc!$E:$E, MATCH("max_fwd_draft_m", Calc!$C:$C, 0)), $G682&lt;=INDEX(Calc!$E:$E, MATCH("theta_max_deg", Calc!$C:$C, 0))), "OK", "CHECK"))</f>
        <v/>
      </c>
      <c r="I682" s="6">
        <f>IF($E682="","", INDEX(Calc!$E:$E, MATCH("D_vessel_m", Calc!$C:$C, 0)) - $E682 + $B682)</f>
        <v/>
      </c>
      <c r="J682" s="6">
        <f>IF($F682="","", INDEX(Calc!$E:$E, MATCH("D_vessel_m", Calc!$C:$C, 0)) - $F682 + $B682)</f>
        <v/>
      </c>
      <c r="K682" s="3">
        <f>IF(D682=0, "Even Keel", "")</f>
        <v/>
      </c>
    </row>
    <row r="683">
      <c r="A683" s="3">
        <f>IF(December_Tide_2025!A683="","",December_Tide_2025!A683)</f>
        <v/>
      </c>
      <c r="B683" s="6">
        <f>IF(December_Tide_2025!B683="","",December_Tide_2025!B683)</f>
        <v/>
      </c>
      <c r="C683" s="6">
        <f>IF($A683="","", INDEX(Calc!$E:$E, MATCH("KminusZ_m", Calc!$C:$C, 0)) + $B683 - INDEX(Calc!$E:$E, MATCH("L_ramp_m", Calc!$C:$C, 0)) * TAN(RADIANS(INDEX(Calc!$E:$E, MATCH("theta_max_deg", Calc!$C:$C, 0)))))</f>
        <v/>
      </c>
      <c r="D683" s="6" t="n"/>
      <c r="E683" s="6">
        <f>IF($C683="","", IF($D683="", $C683, $C683 - $D683/2))</f>
        <v/>
      </c>
      <c r="F683" s="6">
        <f>IF($C683="","", IF($D683="", $C683, $C683 + $D683/2))</f>
        <v/>
      </c>
      <c r="G683" s="6">
        <f>IF($E683="","", DEGREES(ATAN((INDEX(Calc!$E:$E, MATCH("KminusZ_m", Calc!$C:$C, 0)) - $E683 + $B683) / INDEX(Calc!$E:$E, MATCH("L_ramp_m", Calc!$C:$C, 0)))))</f>
        <v/>
      </c>
      <c r="H683" s="3">
        <f>IF($E683="","", IF(AND($E683&gt;=INDEX(Calc!$E:$E, MATCH("min_fwd_draft_m", Calc!$C:$C, 0)), $E683&lt;=INDEX(Calc!$E:$E, MATCH("max_fwd_draft_m", Calc!$C:$C, 0)), $G683&lt;=INDEX(Calc!$E:$E, MATCH("theta_max_deg", Calc!$C:$C, 0))), "OK", "CHECK"))</f>
        <v/>
      </c>
      <c r="I683" s="6">
        <f>IF($E683="","", INDEX(Calc!$E:$E, MATCH("D_vessel_m", Calc!$C:$C, 0)) - $E683 + $B683)</f>
        <v/>
      </c>
      <c r="J683" s="6">
        <f>IF($F683="","", INDEX(Calc!$E:$E, MATCH("D_vessel_m", Calc!$C:$C, 0)) - $F683 + $B683)</f>
        <v/>
      </c>
      <c r="K683" s="3">
        <f>IF(D683=0, "Even Keel", "")</f>
        <v/>
      </c>
    </row>
    <row r="684">
      <c r="A684" s="3">
        <f>IF(December_Tide_2025!A684="","",December_Tide_2025!A684)</f>
        <v/>
      </c>
      <c r="B684" s="6">
        <f>IF(December_Tide_2025!B684="","",December_Tide_2025!B684)</f>
        <v/>
      </c>
      <c r="C684" s="6">
        <f>IF($A684="","", INDEX(Calc!$E:$E, MATCH("KminusZ_m", Calc!$C:$C, 0)) + $B684 - INDEX(Calc!$E:$E, MATCH("L_ramp_m", Calc!$C:$C, 0)) * TAN(RADIANS(INDEX(Calc!$E:$E, MATCH("theta_max_deg", Calc!$C:$C, 0)))))</f>
        <v/>
      </c>
      <c r="D684" s="6" t="n"/>
      <c r="E684" s="6">
        <f>IF($C684="","", IF($D684="", $C684, $C684 - $D684/2))</f>
        <v/>
      </c>
      <c r="F684" s="6">
        <f>IF($C684="","", IF($D684="", $C684, $C684 + $D684/2))</f>
        <v/>
      </c>
      <c r="G684" s="6">
        <f>IF($E684="","", DEGREES(ATAN((INDEX(Calc!$E:$E, MATCH("KminusZ_m", Calc!$C:$C, 0)) - $E684 + $B684) / INDEX(Calc!$E:$E, MATCH("L_ramp_m", Calc!$C:$C, 0)))))</f>
        <v/>
      </c>
      <c r="H684" s="3">
        <f>IF($E684="","", IF(AND($E684&gt;=INDEX(Calc!$E:$E, MATCH("min_fwd_draft_m", Calc!$C:$C, 0)), $E684&lt;=INDEX(Calc!$E:$E, MATCH("max_fwd_draft_m", Calc!$C:$C, 0)), $G684&lt;=INDEX(Calc!$E:$E, MATCH("theta_max_deg", Calc!$C:$C, 0))), "OK", "CHECK"))</f>
        <v/>
      </c>
      <c r="I684" s="6">
        <f>IF($E684="","", INDEX(Calc!$E:$E, MATCH("D_vessel_m", Calc!$C:$C, 0)) - $E684 + $B684)</f>
        <v/>
      </c>
      <c r="J684" s="6">
        <f>IF($F684="","", INDEX(Calc!$E:$E, MATCH("D_vessel_m", Calc!$C:$C, 0)) - $F684 + $B684)</f>
        <v/>
      </c>
      <c r="K684" s="3">
        <f>IF(D684=0, "Even Keel", "")</f>
        <v/>
      </c>
    </row>
    <row r="685">
      <c r="A685" s="3">
        <f>IF(December_Tide_2025!A685="","",December_Tide_2025!A685)</f>
        <v/>
      </c>
      <c r="B685" s="6">
        <f>IF(December_Tide_2025!B685="","",December_Tide_2025!B685)</f>
        <v/>
      </c>
      <c r="C685" s="6">
        <f>IF($A685="","", INDEX(Calc!$E:$E, MATCH("KminusZ_m", Calc!$C:$C, 0)) + $B685 - INDEX(Calc!$E:$E, MATCH("L_ramp_m", Calc!$C:$C, 0)) * TAN(RADIANS(INDEX(Calc!$E:$E, MATCH("theta_max_deg", Calc!$C:$C, 0)))))</f>
        <v/>
      </c>
      <c r="D685" s="6" t="n"/>
      <c r="E685" s="6">
        <f>IF($C685="","", IF($D685="", $C685, $C685 - $D685/2))</f>
        <v/>
      </c>
      <c r="F685" s="6">
        <f>IF($C685="","", IF($D685="", $C685, $C685 + $D685/2))</f>
        <v/>
      </c>
      <c r="G685" s="6">
        <f>IF($E685="","", DEGREES(ATAN((INDEX(Calc!$E:$E, MATCH("KminusZ_m", Calc!$C:$C, 0)) - $E685 + $B685) / INDEX(Calc!$E:$E, MATCH("L_ramp_m", Calc!$C:$C, 0)))))</f>
        <v/>
      </c>
      <c r="H685" s="3">
        <f>IF($E685="","", IF(AND($E685&gt;=INDEX(Calc!$E:$E, MATCH("min_fwd_draft_m", Calc!$C:$C, 0)), $E685&lt;=INDEX(Calc!$E:$E, MATCH("max_fwd_draft_m", Calc!$C:$C, 0)), $G685&lt;=INDEX(Calc!$E:$E, MATCH("theta_max_deg", Calc!$C:$C, 0))), "OK", "CHECK"))</f>
        <v/>
      </c>
      <c r="I685" s="6">
        <f>IF($E685="","", INDEX(Calc!$E:$E, MATCH("D_vessel_m", Calc!$C:$C, 0)) - $E685 + $B685)</f>
        <v/>
      </c>
      <c r="J685" s="6">
        <f>IF($F685="","", INDEX(Calc!$E:$E, MATCH("D_vessel_m", Calc!$C:$C, 0)) - $F685 + $B685)</f>
        <v/>
      </c>
      <c r="K685" s="3">
        <f>IF(D685=0, "Even Keel", "")</f>
        <v/>
      </c>
    </row>
    <row r="686">
      <c r="A686" s="3">
        <f>IF(December_Tide_2025!A686="","",December_Tide_2025!A686)</f>
        <v/>
      </c>
      <c r="B686" s="6">
        <f>IF(December_Tide_2025!B686="","",December_Tide_2025!B686)</f>
        <v/>
      </c>
      <c r="C686" s="6">
        <f>IF($A686="","", INDEX(Calc!$E:$E, MATCH("KminusZ_m", Calc!$C:$C, 0)) + $B686 - INDEX(Calc!$E:$E, MATCH("L_ramp_m", Calc!$C:$C, 0)) * TAN(RADIANS(INDEX(Calc!$E:$E, MATCH("theta_max_deg", Calc!$C:$C, 0)))))</f>
        <v/>
      </c>
      <c r="D686" s="6" t="n"/>
      <c r="E686" s="6">
        <f>IF($C686="","", IF($D686="", $C686, $C686 - $D686/2))</f>
        <v/>
      </c>
      <c r="F686" s="6">
        <f>IF($C686="","", IF($D686="", $C686, $C686 + $D686/2))</f>
        <v/>
      </c>
      <c r="G686" s="6">
        <f>IF($E686="","", DEGREES(ATAN((INDEX(Calc!$E:$E, MATCH("KminusZ_m", Calc!$C:$C, 0)) - $E686 + $B686) / INDEX(Calc!$E:$E, MATCH("L_ramp_m", Calc!$C:$C, 0)))))</f>
        <v/>
      </c>
      <c r="H686" s="3">
        <f>IF($E686="","", IF(AND($E686&gt;=INDEX(Calc!$E:$E, MATCH("min_fwd_draft_m", Calc!$C:$C, 0)), $E686&lt;=INDEX(Calc!$E:$E, MATCH("max_fwd_draft_m", Calc!$C:$C, 0)), $G686&lt;=INDEX(Calc!$E:$E, MATCH("theta_max_deg", Calc!$C:$C, 0))), "OK", "CHECK"))</f>
        <v/>
      </c>
      <c r="I686" s="6">
        <f>IF($E686="","", INDEX(Calc!$E:$E, MATCH("D_vessel_m", Calc!$C:$C, 0)) - $E686 + $B686)</f>
        <v/>
      </c>
      <c r="J686" s="6">
        <f>IF($F686="","", INDEX(Calc!$E:$E, MATCH("D_vessel_m", Calc!$C:$C, 0)) - $F686 + $B686)</f>
        <v/>
      </c>
      <c r="K686" s="3">
        <f>IF(D686=0, "Even Keel", "")</f>
        <v/>
      </c>
    </row>
    <row r="687">
      <c r="A687" s="3">
        <f>IF(December_Tide_2025!A687="","",December_Tide_2025!A687)</f>
        <v/>
      </c>
      <c r="B687" s="6">
        <f>IF(December_Tide_2025!B687="","",December_Tide_2025!B687)</f>
        <v/>
      </c>
      <c r="C687" s="6">
        <f>IF($A687="","", INDEX(Calc!$E:$E, MATCH("KminusZ_m", Calc!$C:$C, 0)) + $B687 - INDEX(Calc!$E:$E, MATCH("L_ramp_m", Calc!$C:$C, 0)) * TAN(RADIANS(INDEX(Calc!$E:$E, MATCH("theta_max_deg", Calc!$C:$C, 0)))))</f>
        <v/>
      </c>
      <c r="D687" s="6" t="n"/>
      <c r="E687" s="6">
        <f>IF($C687="","", IF($D687="", $C687, $C687 - $D687/2))</f>
        <v/>
      </c>
      <c r="F687" s="6">
        <f>IF($C687="","", IF($D687="", $C687, $C687 + $D687/2))</f>
        <v/>
      </c>
      <c r="G687" s="6">
        <f>IF($E687="","", DEGREES(ATAN((INDEX(Calc!$E:$E, MATCH("KminusZ_m", Calc!$C:$C, 0)) - $E687 + $B687) / INDEX(Calc!$E:$E, MATCH("L_ramp_m", Calc!$C:$C, 0)))))</f>
        <v/>
      </c>
      <c r="H687" s="3">
        <f>IF($E687="","", IF(AND($E687&gt;=INDEX(Calc!$E:$E, MATCH("min_fwd_draft_m", Calc!$C:$C, 0)), $E687&lt;=INDEX(Calc!$E:$E, MATCH("max_fwd_draft_m", Calc!$C:$C, 0)), $G687&lt;=INDEX(Calc!$E:$E, MATCH("theta_max_deg", Calc!$C:$C, 0))), "OK", "CHECK"))</f>
        <v/>
      </c>
      <c r="I687" s="6">
        <f>IF($E687="","", INDEX(Calc!$E:$E, MATCH("D_vessel_m", Calc!$C:$C, 0)) - $E687 + $B687)</f>
        <v/>
      </c>
      <c r="J687" s="6">
        <f>IF($F687="","", INDEX(Calc!$E:$E, MATCH("D_vessel_m", Calc!$C:$C, 0)) - $F687 + $B687)</f>
        <v/>
      </c>
      <c r="K687" s="3">
        <f>IF(D687=0, "Even Keel", "")</f>
        <v/>
      </c>
    </row>
    <row r="688">
      <c r="A688" s="3">
        <f>IF(December_Tide_2025!A688="","",December_Tide_2025!A688)</f>
        <v/>
      </c>
      <c r="B688" s="6">
        <f>IF(December_Tide_2025!B688="","",December_Tide_2025!B688)</f>
        <v/>
      </c>
      <c r="C688" s="6">
        <f>IF($A688="","", INDEX(Calc!$E:$E, MATCH("KminusZ_m", Calc!$C:$C, 0)) + $B688 - INDEX(Calc!$E:$E, MATCH("L_ramp_m", Calc!$C:$C, 0)) * TAN(RADIANS(INDEX(Calc!$E:$E, MATCH("theta_max_deg", Calc!$C:$C, 0)))))</f>
        <v/>
      </c>
      <c r="D688" s="6" t="n"/>
      <c r="E688" s="6">
        <f>IF($C688="","", IF($D688="", $C688, $C688 - $D688/2))</f>
        <v/>
      </c>
      <c r="F688" s="6">
        <f>IF($C688="","", IF($D688="", $C688, $C688 + $D688/2))</f>
        <v/>
      </c>
      <c r="G688" s="6">
        <f>IF($E688="","", DEGREES(ATAN((INDEX(Calc!$E:$E, MATCH("KminusZ_m", Calc!$C:$C, 0)) - $E688 + $B688) / INDEX(Calc!$E:$E, MATCH("L_ramp_m", Calc!$C:$C, 0)))))</f>
        <v/>
      </c>
      <c r="H688" s="3">
        <f>IF($E688="","", IF(AND($E688&gt;=INDEX(Calc!$E:$E, MATCH("min_fwd_draft_m", Calc!$C:$C, 0)), $E688&lt;=INDEX(Calc!$E:$E, MATCH("max_fwd_draft_m", Calc!$C:$C, 0)), $G688&lt;=INDEX(Calc!$E:$E, MATCH("theta_max_deg", Calc!$C:$C, 0))), "OK", "CHECK"))</f>
        <v/>
      </c>
      <c r="I688" s="6">
        <f>IF($E688="","", INDEX(Calc!$E:$E, MATCH("D_vessel_m", Calc!$C:$C, 0)) - $E688 + $B688)</f>
        <v/>
      </c>
      <c r="J688" s="6">
        <f>IF($F688="","", INDEX(Calc!$E:$E, MATCH("D_vessel_m", Calc!$C:$C, 0)) - $F688 + $B688)</f>
        <v/>
      </c>
      <c r="K688" s="3">
        <f>IF(D688=0, "Even Keel", "")</f>
        <v/>
      </c>
    </row>
    <row r="689">
      <c r="A689" s="3">
        <f>IF(December_Tide_2025!A689="","",December_Tide_2025!A689)</f>
        <v/>
      </c>
      <c r="B689" s="6">
        <f>IF(December_Tide_2025!B689="","",December_Tide_2025!B689)</f>
        <v/>
      </c>
      <c r="C689" s="6">
        <f>IF($A689="","", INDEX(Calc!$E:$E, MATCH("KminusZ_m", Calc!$C:$C, 0)) + $B689 - INDEX(Calc!$E:$E, MATCH("L_ramp_m", Calc!$C:$C, 0)) * TAN(RADIANS(INDEX(Calc!$E:$E, MATCH("theta_max_deg", Calc!$C:$C, 0)))))</f>
        <v/>
      </c>
      <c r="D689" s="6" t="n"/>
      <c r="E689" s="6">
        <f>IF($C689="","", IF($D689="", $C689, $C689 - $D689/2))</f>
        <v/>
      </c>
      <c r="F689" s="6">
        <f>IF($C689="","", IF($D689="", $C689, $C689 + $D689/2))</f>
        <v/>
      </c>
      <c r="G689" s="6">
        <f>IF($E689="","", DEGREES(ATAN((INDEX(Calc!$E:$E, MATCH("KminusZ_m", Calc!$C:$C, 0)) - $E689 + $B689) / INDEX(Calc!$E:$E, MATCH("L_ramp_m", Calc!$C:$C, 0)))))</f>
        <v/>
      </c>
      <c r="H689" s="3">
        <f>IF($E689="","", IF(AND($E689&gt;=INDEX(Calc!$E:$E, MATCH("min_fwd_draft_m", Calc!$C:$C, 0)), $E689&lt;=INDEX(Calc!$E:$E, MATCH("max_fwd_draft_m", Calc!$C:$C, 0)), $G689&lt;=INDEX(Calc!$E:$E, MATCH("theta_max_deg", Calc!$C:$C, 0))), "OK", "CHECK"))</f>
        <v/>
      </c>
      <c r="I689" s="6">
        <f>IF($E689="","", INDEX(Calc!$E:$E, MATCH("D_vessel_m", Calc!$C:$C, 0)) - $E689 + $B689)</f>
        <v/>
      </c>
      <c r="J689" s="6">
        <f>IF($F689="","", INDEX(Calc!$E:$E, MATCH("D_vessel_m", Calc!$C:$C, 0)) - $F689 + $B689)</f>
        <v/>
      </c>
      <c r="K689" s="3">
        <f>IF(D689=0, "Even Keel", "")</f>
        <v/>
      </c>
    </row>
    <row r="690">
      <c r="A690" s="3">
        <f>IF(December_Tide_2025!A690="","",December_Tide_2025!A690)</f>
        <v/>
      </c>
      <c r="B690" s="6">
        <f>IF(December_Tide_2025!B690="","",December_Tide_2025!B690)</f>
        <v/>
      </c>
      <c r="C690" s="6">
        <f>IF($A690="","", INDEX(Calc!$E:$E, MATCH("KminusZ_m", Calc!$C:$C, 0)) + $B690 - INDEX(Calc!$E:$E, MATCH("L_ramp_m", Calc!$C:$C, 0)) * TAN(RADIANS(INDEX(Calc!$E:$E, MATCH("theta_max_deg", Calc!$C:$C, 0)))))</f>
        <v/>
      </c>
      <c r="D690" s="6" t="n"/>
      <c r="E690" s="6">
        <f>IF($C690="","", IF($D690="", $C690, $C690 - $D690/2))</f>
        <v/>
      </c>
      <c r="F690" s="6">
        <f>IF($C690="","", IF($D690="", $C690, $C690 + $D690/2))</f>
        <v/>
      </c>
      <c r="G690" s="6">
        <f>IF($E690="","", DEGREES(ATAN((INDEX(Calc!$E:$E, MATCH("KminusZ_m", Calc!$C:$C, 0)) - $E690 + $B690) / INDEX(Calc!$E:$E, MATCH("L_ramp_m", Calc!$C:$C, 0)))))</f>
        <v/>
      </c>
      <c r="H690" s="3">
        <f>IF($E690="","", IF(AND($E690&gt;=INDEX(Calc!$E:$E, MATCH("min_fwd_draft_m", Calc!$C:$C, 0)), $E690&lt;=INDEX(Calc!$E:$E, MATCH("max_fwd_draft_m", Calc!$C:$C, 0)), $G690&lt;=INDEX(Calc!$E:$E, MATCH("theta_max_deg", Calc!$C:$C, 0))), "OK", "CHECK"))</f>
        <v/>
      </c>
      <c r="I690" s="6">
        <f>IF($E690="","", INDEX(Calc!$E:$E, MATCH("D_vessel_m", Calc!$C:$C, 0)) - $E690 + $B690)</f>
        <v/>
      </c>
      <c r="J690" s="6">
        <f>IF($F690="","", INDEX(Calc!$E:$E, MATCH("D_vessel_m", Calc!$C:$C, 0)) - $F690 + $B690)</f>
        <v/>
      </c>
      <c r="K690" s="3">
        <f>IF(D690=0, "Even Keel", "")</f>
        <v/>
      </c>
    </row>
    <row r="691">
      <c r="A691" s="3">
        <f>IF(December_Tide_2025!A691="","",December_Tide_2025!A691)</f>
        <v/>
      </c>
      <c r="B691" s="6">
        <f>IF(December_Tide_2025!B691="","",December_Tide_2025!B691)</f>
        <v/>
      </c>
      <c r="C691" s="6">
        <f>IF($A691="","", INDEX(Calc!$E:$E, MATCH("KminusZ_m", Calc!$C:$C, 0)) + $B691 - INDEX(Calc!$E:$E, MATCH("L_ramp_m", Calc!$C:$C, 0)) * TAN(RADIANS(INDEX(Calc!$E:$E, MATCH("theta_max_deg", Calc!$C:$C, 0)))))</f>
        <v/>
      </c>
      <c r="D691" s="6" t="n"/>
      <c r="E691" s="6">
        <f>IF($C691="","", IF($D691="", $C691, $C691 - $D691/2))</f>
        <v/>
      </c>
      <c r="F691" s="6">
        <f>IF($C691="","", IF($D691="", $C691, $C691 + $D691/2))</f>
        <v/>
      </c>
      <c r="G691" s="6">
        <f>IF($E691="","", DEGREES(ATAN((INDEX(Calc!$E:$E, MATCH("KminusZ_m", Calc!$C:$C, 0)) - $E691 + $B691) / INDEX(Calc!$E:$E, MATCH("L_ramp_m", Calc!$C:$C, 0)))))</f>
        <v/>
      </c>
      <c r="H691" s="3">
        <f>IF($E691="","", IF(AND($E691&gt;=INDEX(Calc!$E:$E, MATCH("min_fwd_draft_m", Calc!$C:$C, 0)), $E691&lt;=INDEX(Calc!$E:$E, MATCH("max_fwd_draft_m", Calc!$C:$C, 0)), $G691&lt;=INDEX(Calc!$E:$E, MATCH("theta_max_deg", Calc!$C:$C, 0))), "OK", "CHECK"))</f>
        <v/>
      </c>
      <c r="I691" s="6">
        <f>IF($E691="","", INDEX(Calc!$E:$E, MATCH("D_vessel_m", Calc!$C:$C, 0)) - $E691 + $B691)</f>
        <v/>
      </c>
      <c r="J691" s="6">
        <f>IF($F691="","", INDEX(Calc!$E:$E, MATCH("D_vessel_m", Calc!$C:$C, 0)) - $F691 + $B691)</f>
        <v/>
      </c>
      <c r="K691" s="3">
        <f>IF(D691=0, "Even Keel", "")</f>
        <v/>
      </c>
    </row>
    <row r="692">
      <c r="A692" s="3">
        <f>IF(December_Tide_2025!A692="","",December_Tide_2025!A692)</f>
        <v/>
      </c>
      <c r="B692" s="6">
        <f>IF(December_Tide_2025!B692="","",December_Tide_2025!B692)</f>
        <v/>
      </c>
      <c r="C692" s="6">
        <f>IF($A692="","", INDEX(Calc!$E:$E, MATCH("KminusZ_m", Calc!$C:$C, 0)) + $B692 - INDEX(Calc!$E:$E, MATCH("L_ramp_m", Calc!$C:$C, 0)) * TAN(RADIANS(INDEX(Calc!$E:$E, MATCH("theta_max_deg", Calc!$C:$C, 0)))))</f>
        <v/>
      </c>
      <c r="D692" s="6" t="n"/>
      <c r="E692" s="6">
        <f>IF($C692="","", IF($D692="", $C692, $C692 - $D692/2))</f>
        <v/>
      </c>
      <c r="F692" s="6">
        <f>IF($C692="","", IF($D692="", $C692, $C692 + $D692/2))</f>
        <v/>
      </c>
      <c r="G692" s="6">
        <f>IF($E692="","", DEGREES(ATAN((INDEX(Calc!$E:$E, MATCH("KminusZ_m", Calc!$C:$C, 0)) - $E692 + $B692) / INDEX(Calc!$E:$E, MATCH("L_ramp_m", Calc!$C:$C, 0)))))</f>
        <v/>
      </c>
      <c r="H692" s="3">
        <f>IF($E692="","", IF(AND($E692&gt;=INDEX(Calc!$E:$E, MATCH("min_fwd_draft_m", Calc!$C:$C, 0)), $E692&lt;=INDEX(Calc!$E:$E, MATCH("max_fwd_draft_m", Calc!$C:$C, 0)), $G692&lt;=INDEX(Calc!$E:$E, MATCH("theta_max_deg", Calc!$C:$C, 0))), "OK", "CHECK"))</f>
        <v/>
      </c>
      <c r="I692" s="6">
        <f>IF($E692="","", INDEX(Calc!$E:$E, MATCH("D_vessel_m", Calc!$C:$C, 0)) - $E692 + $B692)</f>
        <v/>
      </c>
      <c r="J692" s="6">
        <f>IF($F692="","", INDEX(Calc!$E:$E, MATCH("D_vessel_m", Calc!$C:$C, 0)) - $F692 + $B692)</f>
        <v/>
      </c>
      <c r="K692" s="3">
        <f>IF(D692=0, "Even Keel", "")</f>
        <v/>
      </c>
    </row>
    <row r="693">
      <c r="A693" s="3">
        <f>IF(December_Tide_2025!A693="","",December_Tide_2025!A693)</f>
        <v/>
      </c>
      <c r="B693" s="6">
        <f>IF(December_Tide_2025!B693="","",December_Tide_2025!B693)</f>
        <v/>
      </c>
      <c r="C693" s="6">
        <f>IF($A693="","", INDEX(Calc!$E:$E, MATCH("KminusZ_m", Calc!$C:$C, 0)) + $B693 - INDEX(Calc!$E:$E, MATCH("L_ramp_m", Calc!$C:$C, 0)) * TAN(RADIANS(INDEX(Calc!$E:$E, MATCH("theta_max_deg", Calc!$C:$C, 0)))))</f>
        <v/>
      </c>
      <c r="D693" s="6" t="n"/>
      <c r="E693" s="6">
        <f>IF($C693="","", IF($D693="", $C693, $C693 - $D693/2))</f>
        <v/>
      </c>
      <c r="F693" s="6">
        <f>IF($C693="","", IF($D693="", $C693, $C693 + $D693/2))</f>
        <v/>
      </c>
      <c r="G693" s="6">
        <f>IF($E693="","", DEGREES(ATAN((INDEX(Calc!$E:$E, MATCH("KminusZ_m", Calc!$C:$C, 0)) - $E693 + $B693) / INDEX(Calc!$E:$E, MATCH("L_ramp_m", Calc!$C:$C, 0)))))</f>
        <v/>
      </c>
      <c r="H693" s="3">
        <f>IF($E693="","", IF(AND($E693&gt;=INDEX(Calc!$E:$E, MATCH("min_fwd_draft_m", Calc!$C:$C, 0)), $E693&lt;=INDEX(Calc!$E:$E, MATCH("max_fwd_draft_m", Calc!$C:$C, 0)), $G693&lt;=INDEX(Calc!$E:$E, MATCH("theta_max_deg", Calc!$C:$C, 0))), "OK", "CHECK"))</f>
        <v/>
      </c>
      <c r="I693" s="6">
        <f>IF($E693="","", INDEX(Calc!$E:$E, MATCH("D_vessel_m", Calc!$C:$C, 0)) - $E693 + $B693)</f>
        <v/>
      </c>
      <c r="J693" s="6">
        <f>IF($F693="","", INDEX(Calc!$E:$E, MATCH("D_vessel_m", Calc!$C:$C, 0)) - $F693 + $B693)</f>
        <v/>
      </c>
      <c r="K693" s="3">
        <f>IF(D693=0, "Even Keel", "")</f>
        <v/>
      </c>
    </row>
    <row r="694">
      <c r="A694" s="3">
        <f>IF(December_Tide_2025!A694="","",December_Tide_2025!A694)</f>
        <v/>
      </c>
      <c r="B694" s="6">
        <f>IF(December_Tide_2025!B694="","",December_Tide_2025!B694)</f>
        <v/>
      </c>
      <c r="C694" s="6">
        <f>IF($A694="","", INDEX(Calc!$E:$E, MATCH("KminusZ_m", Calc!$C:$C, 0)) + $B694 - INDEX(Calc!$E:$E, MATCH("L_ramp_m", Calc!$C:$C, 0)) * TAN(RADIANS(INDEX(Calc!$E:$E, MATCH("theta_max_deg", Calc!$C:$C, 0)))))</f>
        <v/>
      </c>
      <c r="D694" s="6" t="n"/>
      <c r="E694" s="6">
        <f>IF($C694="","", IF($D694="", $C694, $C694 - $D694/2))</f>
        <v/>
      </c>
      <c r="F694" s="6">
        <f>IF($C694="","", IF($D694="", $C694, $C694 + $D694/2))</f>
        <v/>
      </c>
      <c r="G694" s="6">
        <f>IF($E694="","", DEGREES(ATAN((INDEX(Calc!$E:$E, MATCH("KminusZ_m", Calc!$C:$C, 0)) - $E694 + $B694) / INDEX(Calc!$E:$E, MATCH("L_ramp_m", Calc!$C:$C, 0)))))</f>
        <v/>
      </c>
      <c r="H694" s="3">
        <f>IF($E694="","", IF(AND($E694&gt;=INDEX(Calc!$E:$E, MATCH("min_fwd_draft_m", Calc!$C:$C, 0)), $E694&lt;=INDEX(Calc!$E:$E, MATCH("max_fwd_draft_m", Calc!$C:$C, 0)), $G694&lt;=INDEX(Calc!$E:$E, MATCH("theta_max_deg", Calc!$C:$C, 0))), "OK", "CHECK"))</f>
        <v/>
      </c>
      <c r="I694" s="6">
        <f>IF($E694="","", INDEX(Calc!$E:$E, MATCH("D_vessel_m", Calc!$C:$C, 0)) - $E694 + $B694)</f>
        <v/>
      </c>
      <c r="J694" s="6">
        <f>IF($F694="","", INDEX(Calc!$E:$E, MATCH("D_vessel_m", Calc!$C:$C, 0)) - $F694 + $B694)</f>
        <v/>
      </c>
      <c r="K694" s="3">
        <f>IF(D694=0, "Even Keel", "")</f>
        <v/>
      </c>
    </row>
    <row r="695">
      <c r="A695" s="3">
        <f>IF(December_Tide_2025!A695="","",December_Tide_2025!A695)</f>
        <v/>
      </c>
      <c r="B695" s="6">
        <f>IF(December_Tide_2025!B695="","",December_Tide_2025!B695)</f>
        <v/>
      </c>
      <c r="C695" s="6">
        <f>IF($A695="","", INDEX(Calc!$E:$E, MATCH("KminusZ_m", Calc!$C:$C, 0)) + $B695 - INDEX(Calc!$E:$E, MATCH("L_ramp_m", Calc!$C:$C, 0)) * TAN(RADIANS(INDEX(Calc!$E:$E, MATCH("theta_max_deg", Calc!$C:$C, 0)))))</f>
        <v/>
      </c>
      <c r="D695" s="6" t="n"/>
      <c r="E695" s="6">
        <f>IF($C695="","", IF($D695="", $C695, $C695 - $D695/2))</f>
        <v/>
      </c>
      <c r="F695" s="6">
        <f>IF($C695="","", IF($D695="", $C695, $C695 + $D695/2))</f>
        <v/>
      </c>
      <c r="G695" s="6">
        <f>IF($E695="","", DEGREES(ATAN((INDEX(Calc!$E:$E, MATCH("KminusZ_m", Calc!$C:$C, 0)) - $E695 + $B695) / INDEX(Calc!$E:$E, MATCH("L_ramp_m", Calc!$C:$C, 0)))))</f>
        <v/>
      </c>
      <c r="H695" s="3">
        <f>IF($E695="","", IF(AND($E695&gt;=INDEX(Calc!$E:$E, MATCH("min_fwd_draft_m", Calc!$C:$C, 0)), $E695&lt;=INDEX(Calc!$E:$E, MATCH("max_fwd_draft_m", Calc!$C:$C, 0)), $G695&lt;=INDEX(Calc!$E:$E, MATCH("theta_max_deg", Calc!$C:$C, 0))), "OK", "CHECK"))</f>
        <v/>
      </c>
      <c r="I695" s="6">
        <f>IF($E695="","", INDEX(Calc!$E:$E, MATCH("D_vessel_m", Calc!$C:$C, 0)) - $E695 + $B695)</f>
        <v/>
      </c>
      <c r="J695" s="6">
        <f>IF($F695="","", INDEX(Calc!$E:$E, MATCH("D_vessel_m", Calc!$C:$C, 0)) - $F695 + $B695)</f>
        <v/>
      </c>
      <c r="K695" s="3">
        <f>IF(D695=0, "Even Keel", "")</f>
        <v/>
      </c>
    </row>
    <row r="696">
      <c r="A696" s="3">
        <f>IF(December_Tide_2025!A696="","",December_Tide_2025!A696)</f>
        <v/>
      </c>
      <c r="B696" s="6">
        <f>IF(December_Tide_2025!B696="","",December_Tide_2025!B696)</f>
        <v/>
      </c>
      <c r="C696" s="6">
        <f>IF($A696="","", INDEX(Calc!$E:$E, MATCH("KminusZ_m", Calc!$C:$C, 0)) + $B696 - INDEX(Calc!$E:$E, MATCH("L_ramp_m", Calc!$C:$C, 0)) * TAN(RADIANS(INDEX(Calc!$E:$E, MATCH("theta_max_deg", Calc!$C:$C, 0)))))</f>
        <v/>
      </c>
      <c r="D696" s="6" t="n"/>
      <c r="E696" s="6">
        <f>IF($C696="","", IF($D696="", $C696, $C696 - $D696/2))</f>
        <v/>
      </c>
      <c r="F696" s="6">
        <f>IF($C696="","", IF($D696="", $C696, $C696 + $D696/2))</f>
        <v/>
      </c>
      <c r="G696" s="6">
        <f>IF($E696="","", DEGREES(ATAN((INDEX(Calc!$E:$E, MATCH("KminusZ_m", Calc!$C:$C, 0)) - $E696 + $B696) / INDEX(Calc!$E:$E, MATCH("L_ramp_m", Calc!$C:$C, 0)))))</f>
        <v/>
      </c>
      <c r="H696" s="3">
        <f>IF($E696="","", IF(AND($E696&gt;=INDEX(Calc!$E:$E, MATCH("min_fwd_draft_m", Calc!$C:$C, 0)), $E696&lt;=INDEX(Calc!$E:$E, MATCH("max_fwd_draft_m", Calc!$C:$C, 0)), $G696&lt;=INDEX(Calc!$E:$E, MATCH("theta_max_deg", Calc!$C:$C, 0))), "OK", "CHECK"))</f>
        <v/>
      </c>
      <c r="I696" s="6">
        <f>IF($E696="","", INDEX(Calc!$E:$E, MATCH("D_vessel_m", Calc!$C:$C, 0)) - $E696 + $B696)</f>
        <v/>
      </c>
      <c r="J696" s="6">
        <f>IF($F696="","", INDEX(Calc!$E:$E, MATCH("D_vessel_m", Calc!$C:$C, 0)) - $F696 + $B696)</f>
        <v/>
      </c>
      <c r="K696" s="3">
        <f>IF(D696=0, "Even Keel", "")</f>
        <v/>
      </c>
    </row>
    <row r="697">
      <c r="A697" s="3">
        <f>IF(December_Tide_2025!A697="","",December_Tide_2025!A697)</f>
        <v/>
      </c>
      <c r="B697" s="6">
        <f>IF(December_Tide_2025!B697="","",December_Tide_2025!B697)</f>
        <v/>
      </c>
      <c r="C697" s="6">
        <f>IF($A697="","", INDEX(Calc!$E:$E, MATCH("KminusZ_m", Calc!$C:$C, 0)) + $B697 - INDEX(Calc!$E:$E, MATCH("L_ramp_m", Calc!$C:$C, 0)) * TAN(RADIANS(INDEX(Calc!$E:$E, MATCH("theta_max_deg", Calc!$C:$C, 0)))))</f>
        <v/>
      </c>
      <c r="D697" s="6" t="n"/>
      <c r="E697" s="6">
        <f>IF($C697="","", IF($D697="", $C697, $C697 - $D697/2))</f>
        <v/>
      </c>
      <c r="F697" s="6">
        <f>IF($C697="","", IF($D697="", $C697, $C697 + $D697/2))</f>
        <v/>
      </c>
      <c r="G697" s="6">
        <f>IF($E697="","", DEGREES(ATAN((INDEX(Calc!$E:$E, MATCH("KminusZ_m", Calc!$C:$C, 0)) - $E697 + $B697) / INDEX(Calc!$E:$E, MATCH("L_ramp_m", Calc!$C:$C, 0)))))</f>
        <v/>
      </c>
      <c r="H697" s="3">
        <f>IF($E697="","", IF(AND($E697&gt;=INDEX(Calc!$E:$E, MATCH("min_fwd_draft_m", Calc!$C:$C, 0)), $E697&lt;=INDEX(Calc!$E:$E, MATCH("max_fwd_draft_m", Calc!$C:$C, 0)), $G697&lt;=INDEX(Calc!$E:$E, MATCH("theta_max_deg", Calc!$C:$C, 0))), "OK", "CHECK"))</f>
        <v/>
      </c>
      <c r="I697" s="6">
        <f>IF($E697="","", INDEX(Calc!$E:$E, MATCH("D_vessel_m", Calc!$C:$C, 0)) - $E697 + $B697)</f>
        <v/>
      </c>
      <c r="J697" s="6">
        <f>IF($F697="","", INDEX(Calc!$E:$E, MATCH("D_vessel_m", Calc!$C:$C, 0)) - $F697 + $B697)</f>
        <v/>
      </c>
      <c r="K697" s="3">
        <f>IF(D697=0, "Even Keel", "")</f>
        <v/>
      </c>
    </row>
    <row r="698">
      <c r="A698" s="3">
        <f>IF(December_Tide_2025!A698="","",December_Tide_2025!A698)</f>
        <v/>
      </c>
      <c r="B698" s="6">
        <f>IF(December_Tide_2025!B698="","",December_Tide_2025!B698)</f>
        <v/>
      </c>
      <c r="C698" s="6">
        <f>IF($A698="","", INDEX(Calc!$E:$E, MATCH("KminusZ_m", Calc!$C:$C, 0)) + $B698 - INDEX(Calc!$E:$E, MATCH("L_ramp_m", Calc!$C:$C, 0)) * TAN(RADIANS(INDEX(Calc!$E:$E, MATCH("theta_max_deg", Calc!$C:$C, 0)))))</f>
        <v/>
      </c>
      <c r="D698" s="6" t="n"/>
      <c r="E698" s="6">
        <f>IF($C698="","", IF($D698="", $C698, $C698 - $D698/2))</f>
        <v/>
      </c>
      <c r="F698" s="6">
        <f>IF($C698="","", IF($D698="", $C698, $C698 + $D698/2))</f>
        <v/>
      </c>
      <c r="G698" s="6">
        <f>IF($E698="","", DEGREES(ATAN((INDEX(Calc!$E:$E, MATCH("KminusZ_m", Calc!$C:$C, 0)) - $E698 + $B698) / INDEX(Calc!$E:$E, MATCH("L_ramp_m", Calc!$C:$C, 0)))))</f>
        <v/>
      </c>
      <c r="H698" s="3">
        <f>IF($E698="","", IF(AND($E698&gt;=INDEX(Calc!$E:$E, MATCH("min_fwd_draft_m", Calc!$C:$C, 0)), $E698&lt;=INDEX(Calc!$E:$E, MATCH("max_fwd_draft_m", Calc!$C:$C, 0)), $G698&lt;=INDEX(Calc!$E:$E, MATCH("theta_max_deg", Calc!$C:$C, 0))), "OK", "CHECK"))</f>
        <v/>
      </c>
      <c r="I698" s="6">
        <f>IF($E698="","", INDEX(Calc!$E:$E, MATCH("D_vessel_m", Calc!$C:$C, 0)) - $E698 + $B698)</f>
        <v/>
      </c>
      <c r="J698" s="6">
        <f>IF($F698="","", INDEX(Calc!$E:$E, MATCH("D_vessel_m", Calc!$C:$C, 0)) - $F698 + $B698)</f>
        <v/>
      </c>
      <c r="K698" s="3">
        <f>IF(D698=0, "Even Keel", "")</f>
        <v/>
      </c>
    </row>
    <row r="699">
      <c r="A699" s="3">
        <f>IF(December_Tide_2025!A699="","",December_Tide_2025!A699)</f>
        <v/>
      </c>
      <c r="B699" s="6">
        <f>IF(December_Tide_2025!B699="","",December_Tide_2025!B699)</f>
        <v/>
      </c>
      <c r="C699" s="6">
        <f>IF($A699="","", INDEX(Calc!$E:$E, MATCH("KminusZ_m", Calc!$C:$C, 0)) + $B699 - INDEX(Calc!$E:$E, MATCH("L_ramp_m", Calc!$C:$C, 0)) * TAN(RADIANS(INDEX(Calc!$E:$E, MATCH("theta_max_deg", Calc!$C:$C, 0)))))</f>
        <v/>
      </c>
      <c r="D699" s="6" t="n"/>
      <c r="E699" s="6">
        <f>IF($C699="","", IF($D699="", $C699, $C699 - $D699/2))</f>
        <v/>
      </c>
      <c r="F699" s="6">
        <f>IF($C699="","", IF($D699="", $C699, $C699 + $D699/2))</f>
        <v/>
      </c>
      <c r="G699" s="6">
        <f>IF($E699="","", DEGREES(ATAN((INDEX(Calc!$E:$E, MATCH("KminusZ_m", Calc!$C:$C, 0)) - $E699 + $B699) / INDEX(Calc!$E:$E, MATCH("L_ramp_m", Calc!$C:$C, 0)))))</f>
        <v/>
      </c>
      <c r="H699" s="3">
        <f>IF($E699="","", IF(AND($E699&gt;=INDEX(Calc!$E:$E, MATCH("min_fwd_draft_m", Calc!$C:$C, 0)), $E699&lt;=INDEX(Calc!$E:$E, MATCH("max_fwd_draft_m", Calc!$C:$C, 0)), $G699&lt;=INDEX(Calc!$E:$E, MATCH("theta_max_deg", Calc!$C:$C, 0))), "OK", "CHECK"))</f>
        <v/>
      </c>
      <c r="I699" s="6">
        <f>IF($E699="","", INDEX(Calc!$E:$E, MATCH("D_vessel_m", Calc!$C:$C, 0)) - $E699 + $B699)</f>
        <v/>
      </c>
      <c r="J699" s="6">
        <f>IF($F699="","", INDEX(Calc!$E:$E, MATCH("D_vessel_m", Calc!$C:$C, 0)) - $F699 + $B699)</f>
        <v/>
      </c>
      <c r="K699" s="3">
        <f>IF(D699=0, "Even Keel", "")</f>
        <v/>
      </c>
    </row>
    <row r="700">
      <c r="A700" s="3">
        <f>IF(December_Tide_2025!A700="","",December_Tide_2025!A700)</f>
        <v/>
      </c>
      <c r="B700" s="6">
        <f>IF(December_Tide_2025!B700="","",December_Tide_2025!B700)</f>
        <v/>
      </c>
      <c r="C700" s="6">
        <f>IF($A700="","", INDEX(Calc!$E:$E, MATCH("KminusZ_m", Calc!$C:$C, 0)) + $B700 - INDEX(Calc!$E:$E, MATCH("L_ramp_m", Calc!$C:$C, 0)) * TAN(RADIANS(INDEX(Calc!$E:$E, MATCH("theta_max_deg", Calc!$C:$C, 0)))))</f>
        <v/>
      </c>
      <c r="D700" s="6" t="n"/>
      <c r="E700" s="6">
        <f>IF($C700="","", IF($D700="", $C700, $C700 - $D700/2))</f>
        <v/>
      </c>
      <c r="F700" s="6">
        <f>IF($C700="","", IF($D700="", $C700, $C700 + $D700/2))</f>
        <v/>
      </c>
      <c r="G700" s="6">
        <f>IF($E700="","", DEGREES(ATAN((INDEX(Calc!$E:$E, MATCH("KminusZ_m", Calc!$C:$C, 0)) - $E700 + $B700) / INDEX(Calc!$E:$E, MATCH("L_ramp_m", Calc!$C:$C, 0)))))</f>
        <v/>
      </c>
      <c r="H700" s="3">
        <f>IF($E700="","", IF(AND($E700&gt;=INDEX(Calc!$E:$E, MATCH("min_fwd_draft_m", Calc!$C:$C, 0)), $E700&lt;=INDEX(Calc!$E:$E, MATCH("max_fwd_draft_m", Calc!$C:$C, 0)), $G700&lt;=INDEX(Calc!$E:$E, MATCH("theta_max_deg", Calc!$C:$C, 0))), "OK", "CHECK"))</f>
        <v/>
      </c>
      <c r="I700" s="6">
        <f>IF($E700="","", INDEX(Calc!$E:$E, MATCH("D_vessel_m", Calc!$C:$C, 0)) - $E700 + $B700)</f>
        <v/>
      </c>
      <c r="J700" s="6">
        <f>IF($F700="","", INDEX(Calc!$E:$E, MATCH("D_vessel_m", Calc!$C:$C, 0)) - $F700 + $B700)</f>
        <v/>
      </c>
      <c r="K700" s="3">
        <f>IF(D700=0, "Even Keel", "")</f>
        <v/>
      </c>
    </row>
    <row r="701">
      <c r="A701" s="3">
        <f>IF(December_Tide_2025!A701="","",December_Tide_2025!A701)</f>
        <v/>
      </c>
      <c r="B701" s="6">
        <f>IF(December_Tide_2025!B701="","",December_Tide_2025!B701)</f>
        <v/>
      </c>
      <c r="C701" s="6">
        <f>IF($A701="","", INDEX(Calc!$E:$E, MATCH("KminusZ_m", Calc!$C:$C, 0)) + $B701 - INDEX(Calc!$E:$E, MATCH("L_ramp_m", Calc!$C:$C, 0)) * TAN(RADIANS(INDEX(Calc!$E:$E, MATCH("theta_max_deg", Calc!$C:$C, 0)))))</f>
        <v/>
      </c>
      <c r="D701" s="6" t="n"/>
      <c r="E701" s="6">
        <f>IF($C701="","", IF($D701="", $C701, $C701 - $D701/2))</f>
        <v/>
      </c>
      <c r="F701" s="6">
        <f>IF($C701="","", IF($D701="", $C701, $C701 + $D701/2))</f>
        <v/>
      </c>
      <c r="G701" s="6">
        <f>IF($E701="","", DEGREES(ATAN((INDEX(Calc!$E:$E, MATCH("KminusZ_m", Calc!$C:$C, 0)) - $E701 + $B701) / INDEX(Calc!$E:$E, MATCH("L_ramp_m", Calc!$C:$C, 0)))))</f>
        <v/>
      </c>
      <c r="H701" s="3">
        <f>IF($E701="","", IF(AND($E701&gt;=INDEX(Calc!$E:$E, MATCH("min_fwd_draft_m", Calc!$C:$C, 0)), $E701&lt;=INDEX(Calc!$E:$E, MATCH("max_fwd_draft_m", Calc!$C:$C, 0)), $G701&lt;=INDEX(Calc!$E:$E, MATCH("theta_max_deg", Calc!$C:$C, 0))), "OK", "CHECK"))</f>
        <v/>
      </c>
      <c r="I701" s="6">
        <f>IF($E701="","", INDEX(Calc!$E:$E, MATCH("D_vessel_m", Calc!$C:$C, 0)) - $E701 + $B701)</f>
        <v/>
      </c>
      <c r="J701" s="6">
        <f>IF($F701="","", INDEX(Calc!$E:$E, MATCH("D_vessel_m", Calc!$C:$C, 0)) - $F701 + $B701)</f>
        <v/>
      </c>
      <c r="K701" s="3">
        <f>IF(D701=0, "Even Keel", "")</f>
        <v/>
      </c>
    </row>
    <row r="702">
      <c r="A702" s="3">
        <f>IF(December_Tide_2025!A702="","",December_Tide_2025!A702)</f>
        <v/>
      </c>
      <c r="B702" s="6">
        <f>IF(December_Tide_2025!B702="","",December_Tide_2025!B702)</f>
        <v/>
      </c>
      <c r="C702" s="6">
        <f>IF($A702="","", INDEX(Calc!$E:$E, MATCH("KminusZ_m", Calc!$C:$C, 0)) + $B702 - INDEX(Calc!$E:$E, MATCH("L_ramp_m", Calc!$C:$C, 0)) * TAN(RADIANS(INDEX(Calc!$E:$E, MATCH("theta_max_deg", Calc!$C:$C, 0)))))</f>
        <v/>
      </c>
      <c r="D702" s="6" t="n"/>
      <c r="E702" s="6">
        <f>IF($C702="","", IF($D702="", $C702, $C702 - $D702/2))</f>
        <v/>
      </c>
      <c r="F702" s="6">
        <f>IF($C702="","", IF($D702="", $C702, $C702 + $D702/2))</f>
        <v/>
      </c>
      <c r="G702" s="6">
        <f>IF($E702="","", DEGREES(ATAN((INDEX(Calc!$E:$E, MATCH("KminusZ_m", Calc!$C:$C, 0)) - $E702 + $B702) / INDEX(Calc!$E:$E, MATCH("L_ramp_m", Calc!$C:$C, 0)))))</f>
        <v/>
      </c>
      <c r="H702" s="3">
        <f>IF($E702="","", IF(AND($E702&gt;=INDEX(Calc!$E:$E, MATCH("min_fwd_draft_m", Calc!$C:$C, 0)), $E702&lt;=INDEX(Calc!$E:$E, MATCH("max_fwd_draft_m", Calc!$C:$C, 0)), $G702&lt;=INDEX(Calc!$E:$E, MATCH("theta_max_deg", Calc!$C:$C, 0))), "OK", "CHECK"))</f>
        <v/>
      </c>
      <c r="I702" s="6">
        <f>IF($E702="","", INDEX(Calc!$E:$E, MATCH("D_vessel_m", Calc!$C:$C, 0)) - $E702 + $B702)</f>
        <v/>
      </c>
      <c r="J702" s="6">
        <f>IF($F702="","", INDEX(Calc!$E:$E, MATCH("D_vessel_m", Calc!$C:$C, 0)) - $F702 + $B702)</f>
        <v/>
      </c>
      <c r="K702" s="3">
        <f>IF(D702=0, "Even Keel", "")</f>
        <v/>
      </c>
    </row>
    <row r="703">
      <c r="A703" s="3">
        <f>IF(December_Tide_2025!A703="","",December_Tide_2025!A703)</f>
        <v/>
      </c>
      <c r="B703" s="6">
        <f>IF(December_Tide_2025!B703="","",December_Tide_2025!B703)</f>
        <v/>
      </c>
      <c r="C703" s="6">
        <f>IF($A703="","", INDEX(Calc!$E:$E, MATCH("KminusZ_m", Calc!$C:$C, 0)) + $B703 - INDEX(Calc!$E:$E, MATCH("L_ramp_m", Calc!$C:$C, 0)) * TAN(RADIANS(INDEX(Calc!$E:$E, MATCH("theta_max_deg", Calc!$C:$C, 0)))))</f>
        <v/>
      </c>
      <c r="D703" s="6" t="n"/>
      <c r="E703" s="6">
        <f>IF($C703="","", IF($D703="", $C703, $C703 - $D703/2))</f>
        <v/>
      </c>
      <c r="F703" s="6">
        <f>IF($C703="","", IF($D703="", $C703, $C703 + $D703/2))</f>
        <v/>
      </c>
      <c r="G703" s="6">
        <f>IF($E703="","", DEGREES(ATAN((INDEX(Calc!$E:$E, MATCH("KminusZ_m", Calc!$C:$C, 0)) - $E703 + $B703) / INDEX(Calc!$E:$E, MATCH("L_ramp_m", Calc!$C:$C, 0)))))</f>
        <v/>
      </c>
      <c r="H703" s="3">
        <f>IF($E703="","", IF(AND($E703&gt;=INDEX(Calc!$E:$E, MATCH("min_fwd_draft_m", Calc!$C:$C, 0)), $E703&lt;=INDEX(Calc!$E:$E, MATCH("max_fwd_draft_m", Calc!$C:$C, 0)), $G703&lt;=INDEX(Calc!$E:$E, MATCH("theta_max_deg", Calc!$C:$C, 0))), "OK", "CHECK"))</f>
        <v/>
      </c>
      <c r="I703" s="6">
        <f>IF($E703="","", INDEX(Calc!$E:$E, MATCH("D_vessel_m", Calc!$C:$C, 0)) - $E703 + $B703)</f>
        <v/>
      </c>
      <c r="J703" s="6">
        <f>IF($F703="","", INDEX(Calc!$E:$E, MATCH("D_vessel_m", Calc!$C:$C, 0)) - $F703 + $B703)</f>
        <v/>
      </c>
      <c r="K703" s="3">
        <f>IF(D703=0, "Even Keel", "")</f>
        <v/>
      </c>
    </row>
    <row r="704">
      <c r="A704" s="3">
        <f>IF(December_Tide_2025!A704="","",December_Tide_2025!A704)</f>
        <v/>
      </c>
      <c r="B704" s="6">
        <f>IF(December_Tide_2025!B704="","",December_Tide_2025!B704)</f>
        <v/>
      </c>
      <c r="C704" s="6">
        <f>IF($A704="","", INDEX(Calc!$E:$E, MATCH("KminusZ_m", Calc!$C:$C, 0)) + $B704 - INDEX(Calc!$E:$E, MATCH("L_ramp_m", Calc!$C:$C, 0)) * TAN(RADIANS(INDEX(Calc!$E:$E, MATCH("theta_max_deg", Calc!$C:$C, 0)))))</f>
        <v/>
      </c>
      <c r="D704" s="6" t="n"/>
      <c r="E704" s="6">
        <f>IF($C704="","", IF($D704="", $C704, $C704 - $D704/2))</f>
        <v/>
      </c>
      <c r="F704" s="6">
        <f>IF($C704="","", IF($D704="", $C704, $C704 + $D704/2))</f>
        <v/>
      </c>
      <c r="G704" s="6">
        <f>IF($E704="","", DEGREES(ATAN((INDEX(Calc!$E:$E, MATCH("KminusZ_m", Calc!$C:$C, 0)) - $E704 + $B704) / INDEX(Calc!$E:$E, MATCH("L_ramp_m", Calc!$C:$C, 0)))))</f>
        <v/>
      </c>
      <c r="H704" s="3">
        <f>IF($E704="","", IF(AND($E704&gt;=INDEX(Calc!$E:$E, MATCH("min_fwd_draft_m", Calc!$C:$C, 0)), $E704&lt;=INDEX(Calc!$E:$E, MATCH("max_fwd_draft_m", Calc!$C:$C, 0)), $G704&lt;=INDEX(Calc!$E:$E, MATCH("theta_max_deg", Calc!$C:$C, 0))), "OK", "CHECK"))</f>
        <v/>
      </c>
      <c r="I704" s="6">
        <f>IF($E704="","", INDEX(Calc!$E:$E, MATCH("D_vessel_m", Calc!$C:$C, 0)) - $E704 + $B704)</f>
        <v/>
      </c>
      <c r="J704" s="6">
        <f>IF($F704="","", INDEX(Calc!$E:$E, MATCH("D_vessel_m", Calc!$C:$C, 0)) - $F704 + $B704)</f>
        <v/>
      </c>
      <c r="K704" s="3">
        <f>IF(D704=0, "Even Keel", "")</f>
        <v/>
      </c>
    </row>
    <row r="705">
      <c r="A705" s="3">
        <f>IF(December_Tide_2025!A705="","",December_Tide_2025!A705)</f>
        <v/>
      </c>
      <c r="B705" s="6">
        <f>IF(December_Tide_2025!B705="","",December_Tide_2025!B705)</f>
        <v/>
      </c>
      <c r="C705" s="6">
        <f>IF($A705="","", INDEX(Calc!$E:$E, MATCH("KminusZ_m", Calc!$C:$C, 0)) + $B705 - INDEX(Calc!$E:$E, MATCH("L_ramp_m", Calc!$C:$C, 0)) * TAN(RADIANS(INDEX(Calc!$E:$E, MATCH("theta_max_deg", Calc!$C:$C, 0)))))</f>
        <v/>
      </c>
      <c r="D705" s="6" t="n"/>
      <c r="E705" s="6">
        <f>IF($C705="","", IF($D705="", $C705, $C705 - $D705/2))</f>
        <v/>
      </c>
      <c r="F705" s="6">
        <f>IF($C705="","", IF($D705="", $C705, $C705 + $D705/2))</f>
        <v/>
      </c>
      <c r="G705" s="6">
        <f>IF($E705="","", DEGREES(ATAN((INDEX(Calc!$E:$E, MATCH("KminusZ_m", Calc!$C:$C, 0)) - $E705 + $B705) / INDEX(Calc!$E:$E, MATCH("L_ramp_m", Calc!$C:$C, 0)))))</f>
        <v/>
      </c>
      <c r="H705" s="3">
        <f>IF($E705="","", IF(AND($E705&gt;=INDEX(Calc!$E:$E, MATCH("min_fwd_draft_m", Calc!$C:$C, 0)), $E705&lt;=INDEX(Calc!$E:$E, MATCH("max_fwd_draft_m", Calc!$C:$C, 0)), $G705&lt;=INDEX(Calc!$E:$E, MATCH("theta_max_deg", Calc!$C:$C, 0))), "OK", "CHECK"))</f>
        <v/>
      </c>
      <c r="I705" s="6">
        <f>IF($E705="","", INDEX(Calc!$E:$E, MATCH("D_vessel_m", Calc!$C:$C, 0)) - $E705 + $B705)</f>
        <v/>
      </c>
      <c r="J705" s="6">
        <f>IF($F705="","", INDEX(Calc!$E:$E, MATCH("D_vessel_m", Calc!$C:$C, 0)) - $F705 + $B705)</f>
        <v/>
      </c>
      <c r="K705" s="3">
        <f>IF(D705=0, "Even Keel", "")</f>
        <v/>
      </c>
    </row>
    <row r="706">
      <c r="A706" s="3">
        <f>IF(December_Tide_2025!A706="","",December_Tide_2025!A706)</f>
        <v/>
      </c>
      <c r="B706" s="6">
        <f>IF(December_Tide_2025!B706="","",December_Tide_2025!B706)</f>
        <v/>
      </c>
      <c r="C706" s="6">
        <f>IF($A706="","", INDEX(Calc!$E:$E, MATCH("KminusZ_m", Calc!$C:$C, 0)) + $B706 - INDEX(Calc!$E:$E, MATCH("L_ramp_m", Calc!$C:$C, 0)) * TAN(RADIANS(INDEX(Calc!$E:$E, MATCH("theta_max_deg", Calc!$C:$C, 0)))))</f>
        <v/>
      </c>
      <c r="D706" s="6" t="n"/>
      <c r="E706" s="6">
        <f>IF($C706="","", IF($D706="", $C706, $C706 - $D706/2))</f>
        <v/>
      </c>
      <c r="F706" s="6">
        <f>IF($C706="","", IF($D706="", $C706, $C706 + $D706/2))</f>
        <v/>
      </c>
      <c r="G706" s="6">
        <f>IF($E706="","", DEGREES(ATAN((INDEX(Calc!$E:$E, MATCH("KminusZ_m", Calc!$C:$C, 0)) - $E706 + $B706) / INDEX(Calc!$E:$E, MATCH("L_ramp_m", Calc!$C:$C, 0)))))</f>
        <v/>
      </c>
      <c r="H706" s="3">
        <f>IF($E706="","", IF(AND($E706&gt;=INDEX(Calc!$E:$E, MATCH("min_fwd_draft_m", Calc!$C:$C, 0)), $E706&lt;=INDEX(Calc!$E:$E, MATCH("max_fwd_draft_m", Calc!$C:$C, 0)), $G706&lt;=INDEX(Calc!$E:$E, MATCH("theta_max_deg", Calc!$C:$C, 0))), "OK", "CHECK"))</f>
        <v/>
      </c>
      <c r="I706" s="6">
        <f>IF($E706="","", INDEX(Calc!$E:$E, MATCH("D_vessel_m", Calc!$C:$C, 0)) - $E706 + $B706)</f>
        <v/>
      </c>
      <c r="J706" s="6">
        <f>IF($F706="","", INDEX(Calc!$E:$E, MATCH("D_vessel_m", Calc!$C:$C, 0)) - $F706 + $B706)</f>
        <v/>
      </c>
      <c r="K706" s="3">
        <f>IF(D706=0, "Even Keel", "")</f>
        <v/>
      </c>
    </row>
    <row r="707">
      <c r="A707" s="3">
        <f>IF(December_Tide_2025!A707="","",December_Tide_2025!A707)</f>
        <v/>
      </c>
      <c r="B707" s="6">
        <f>IF(December_Tide_2025!B707="","",December_Tide_2025!B707)</f>
        <v/>
      </c>
      <c r="C707" s="6">
        <f>IF($A707="","", INDEX(Calc!$E:$E, MATCH("KminusZ_m", Calc!$C:$C, 0)) + $B707 - INDEX(Calc!$E:$E, MATCH("L_ramp_m", Calc!$C:$C, 0)) * TAN(RADIANS(INDEX(Calc!$E:$E, MATCH("theta_max_deg", Calc!$C:$C, 0)))))</f>
        <v/>
      </c>
      <c r="D707" s="6" t="n"/>
      <c r="E707" s="6">
        <f>IF($C707="","", IF($D707="", $C707, $C707 - $D707/2))</f>
        <v/>
      </c>
      <c r="F707" s="6">
        <f>IF($C707="","", IF($D707="", $C707, $C707 + $D707/2))</f>
        <v/>
      </c>
      <c r="G707" s="6">
        <f>IF($E707="","", DEGREES(ATAN((INDEX(Calc!$E:$E, MATCH("KminusZ_m", Calc!$C:$C, 0)) - $E707 + $B707) / INDEX(Calc!$E:$E, MATCH("L_ramp_m", Calc!$C:$C, 0)))))</f>
        <v/>
      </c>
      <c r="H707" s="3">
        <f>IF($E707="","", IF(AND($E707&gt;=INDEX(Calc!$E:$E, MATCH("min_fwd_draft_m", Calc!$C:$C, 0)), $E707&lt;=INDEX(Calc!$E:$E, MATCH("max_fwd_draft_m", Calc!$C:$C, 0)), $G707&lt;=INDEX(Calc!$E:$E, MATCH("theta_max_deg", Calc!$C:$C, 0))), "OK", "CHECK"))</f>
        <v/>
      </c>
      <c r="I707" s="6">
        <f>IF($E707="","", INDEX(Calc!$E:$E, MATCH("D_vessel_m", Calc!$C:$C, 0)) - $E707 + $B707)</f>
        <v/>
      </c>
      <c r="J707" s="6">
        <f>IF($F707="","", INDEX(Calc!$E:$E, MATCH("D_vessel_m", Calc!$C:$C, 0)) - $F707 + $B707)</f>
        <v/>
      </c>
      <c r="K707" s="3">
        <f>IF(D707=0, "Even Keel", "")</f>
        <v/>
      </c>
    </row>
    <row r="708">
      <c r="A708" s="3">
        <f>IF(December_Tide_2025!A708="","",December_Tide_2025!A708)</f>
        <v/>
      </c>
      <c r="B708" s="6">
        <f>IF(December_Tide_2025!B708="","",December_Tide_2025!B708)</f>
        <v/>
      </c>
      <c r="C708" s="6">
        <f>IF($A708="","", INDEX(Calc!$E:$E, MATCH("KminusZ_m", Calc!$C:$C, 0)) + $B708 - INDEX(Calc!$E:$E, MATCH("L_ramp_m", Calc!$C:$C, 0)) * TAN(RADIANS(INDEX(Calc!$E:$E, MATCH("theta_max_deg", Calc!$C:$C, 0)))))</f>
        <v/>
      </c>
      <c r="D708" s="6" t="n"/>
      <c r="E708" s="6">
        <f>IF($C708="","", IF($D708="", $C708, $C708 - $D708/2))</f>
        <v/>
      </c>
      <c r="F708" s="6">
        <f>IF($C708="","", IF($D708="", $C708, $C708 + $D708/2))</f>
        <v/>
      </c>
      <c r="G708" s="6">
        <f>IF($E708="","", DEGREES(ATAN((INDEX(Calc!$E:$E, MATCH("KminusZ_m", Calc!$C:$C, 0)) - $E708 + $B708) / INDEX(Calc!$E:$E, MATCH("L_ramp_m", Calc!$C:$C, 0)))))</f>
        <v/>
      </c>
      <c r="H708" s="3">
        <f>IF($E708="","", IF(AND($E708&gt;=INDEX(Calc!$E:$E, MATCH("min_fwd_draft_m", Calc!$C:$C, 0)), $E708&lt;=INDEX(Calc!$E:$E, MATCH("max_fwd_draft_m", Calc!$C:$C, 0)), $G708&lt;=INDEX(Calc!$E:$E, MATCH("theta_max_deg", Calc!$C:$C, 0))), "OK", "CHECK"))</f>
        <v/>
      </c>
      <c r="I708" s="6">
        <f>IF($E708="","", INDEX(Calc!$E:$E, MATCH("D_vessel_m", Calc!$C:$C, 0)) - $E708 + $B708)</f>
        <v/>
      </c>
      <c r="J708" s="6">
        <f>IF($F708="","", INDEX(Calc!$E:$E, MATCH("D_vessel_m", Calc!$C:$C, 0)) - $F708 + $B708)</f>
        <v/>
      </c>
      <c r="K708" s="3">
        <f>IF(D708=0, "Even Keel", "")</f>
        <v/>
      </c>
    </row>
    <row r="709">
      <c r="A709" s="3">
        <f>IF(December_Tide_2025!A709="","",December_Tide_2025!A709)</f>
        <v/>
      </c>
      <c r="B709" s="6">
        <f>IF(December_Tide_2025!B709="","",December_Tide_2025!B709)</f>
        <v/>
      </c>
      <c r="C709" s="6">
        <f>IF($A709="","", INDEX(Calc!$E:$E, MATCH("KminusZ_m", Calc!$C:$C, 0)) + $B709 - INDEX(Calc!$E:$E, MATCH("L_ramp_m", Calc!$C:$C, 0)) * TAN(RADIANS(INDEX(Calc!$E:$E, MATCH("theta_max_deg", Calc!$C:$C, 0)))))</f>
        <v/>
      </c>
      <c r="D709" s="6" t="n"/>
      <c r="E709" s="6">
        <f>IF($C709="","", IF($D709="", $C709, $C709 - $D709/2))</f>
        <v/>
      </c>
      <c r="F709" s="6">
        <f>IF($C709="","", IF($D709="", $C709, $C709 + $D709/2))</f>
        <v/>
      </c>
      <c r="G709" s="6">
        <f>IF($E709="","", DEGREES(ATAN((INDEX(Calc!$E:$E, MATCH("KminusZ_m", Calc!$C:$C, 0)) - $E709 + $B709) / INDEX(Calc!$E:$E, MATCH("L_ramp_m", Calc!$C:$C, 0)))))</f>
        <v/>
      </c>
      <c r="H709" s="3">
        <f>IF($E709="","", IF(AND($E709&gt;=INDEX(Calc!$E:$E, MATCH("min_fwd_draft_m", Calc!$C:$C, 0)), $E709&lt;=INDEX(Calc!$E:$E, MATCH("max_fwd_draft_m", Calc!$C:$C, 0)), $G709&lt;=INDEX(Calc!$E:$E, MATCH("theta_max_deg", Calc!$C:$C, 0))), "OK", "CHECK"))</f>
        <v/>
      </c>
      <c r="I709" s="6">
        <f>IF($E709="","", INDEX(Calc!$E:$E, MATCH("D_vessel_m", Calc!$C:$C, 0)) - $E709 + $B709)</f>
        <v/>
      </c>
      <c r="J709" s="6">
        <f>IF($F709="","", INDEX(Calc!$E:$E, MATCH("D_vessel_m", Calc!$C:$C, 0)) - $F709 + $B709)</f>
        <v/>
      </c>
      <c r="K709" s="3">
        <f>IF(D709=0, "Even Keel", "")</f>
        <v/>
      </c>
    </row>
    <row r="710">
      <c r="A710" s="3">
        <f>IF(December_Tide_2025!A710="","",December_Tide_2025!A710)</f>
        <v/>
      </c>
      <c r="B710" s="6">
        <f>IF(December_Tide_2025!B710="","",December_Tide_2025!B710)</f>
        <v/>
      </c>
      <c r="C710" s="6">
        <f>IF($A710="","", INDEX(Calc!$E:$E, MATCH("KminusZ_m", Calc!$C:$C, 0)) + $B710 - INDEX(Calc!$E:$E, MATCH("L_ramp_m", Calc!$C:$C, 0)) * TAN(RADIANS(INDEX(Calc!$E:$E, MATCH("theta_max_deg", Calc!$C:$C, 0)))))</f>
        <v/>
      </c>
      <c r="D710" s="6" t="n"/>
      <c r="E710" s="6">
        <f>IF($C710="","", IF($D710="", $C710, $C710 - $D710/2))</f>
        <v/>
      </c>
      <c r="F710" s="6">
        <f>IF($C710="","", IF($D710="", $C710, $C710 + $D710/2))</f>
        <v/>
      </c>
      <c r="G710" s="6">
        <f>IF($E710="","", DEGREES(ATAN((INDEX(Calc!$E:$E, MATCH("KminusZ_m", Calc!$C:$C, 0)) - $E710 + $B710) / INDEX(Calc!$E:$E, MATCH("L_ramp_m", Calc!$C:$C, 0)))))</f>
        <v/>
      </c>
      <c r="H710" s="3">
        <f>IF($E710="","", IF(AND($E710&gt;=INDEX(Calc!$E:$E, MATCH("min_fwd_draft_m", Calc!$C:$C, 0)), $E710&lt;=INDEX(Calc!$E:$E, MATCH("max_fwd_draft_m", Calc!$C:$C, 0)), $G710&lt;=INDEX(Calc!$E:$E, MATCH("theta_max_deg", Calc!$C:$C, 0))), "OK", "CHECK"))</f>
        <v/>
      </c>
      <c r="I710" s="6">
        <f>IF($E710="","", INDEX(Calc!$E:$E, MATCH("D_vessel_m", Calc!$C:$C, 0)) - $E710 + $B710)</f>
        <v/>
      </c>
      <c r="J710" s="6">
        <f>IF($F710="","", INDEX(Calc!$E:$E, MATCH("D_vessel_m", Calc!$C:$C, 0)) - $F710 + $B710)</f>
        <v/>
      </c>
      <c r="K710" s="3">
        <f>IF(D710=0, "Even Keel", "")</f>
        <v/>
      </c>
    </row>
    <row r="711">
      <c r="A711" s="3">
        <f>IF(December_Tide_2025!A711="","",December_Tide_2025!A711)</f>
        <v/>
      </c>
      <c r="B711" s="6">
        <f>IF(December_Tide_2025!B711="","",December_Tide_2025!B711)</f>
        <v/>
      </c>
      <c r="C711" s="6">
        <f>IF($A711="","", INDEX(Calc!$E:$E, MATCH("KminusZ_m", Calc!$C:$C, 0)) + $B711 - INDEX(Calc!$E:$E, MATCH("L_ramp_m", Calc!$C:$C, 0)) * TAN(RADIANS(INDEX(Calc!$E:$E, MATCH("theta_max_deg", Calc!$C:$C, 0)))))</f>
        <v/>
      </c>
      <c r="D711" s="6" t="n"/>
      <c r="E711" s="6">
        <f>IF($C711="","", IF($D711="", $C711, $C711 - $D711/2))</f>
        <v/>
      </c>
      <c r="F711" s="6">
        <f>IF($C711="","", IF($D711="", $C711, $C711 + $D711/2))</f>
        <v/>
      </c>
      <c r="G711" s="6">
        <f>IF($E711="","", DEGREES(ATAN((INDEX(Calc!$E:$E, MATCH("KminusZ_m", Calc!$C:$C, 0)) - $E711 + $B711) / INDEX(Calc!$E:$E, MATCH("L_ramp_m", Calc!$C:$C, 0)))))</f>
        <v/>
      </c>
      <c r="H711" s="3">
        <f>IF($E711="","", IF(AND($E711&gt;=INDEX(Calc!$E:$E, MATCH("min_fwd_draft_m", Calc!$C:$C, 0)), $E711&lt;=INDEX(Calc!$E:$E, MATCH("max_fwd_draft_m", Calc!$C:$C, 0)), $G711&lt;=INDEX(Calc!$E:$E, MATCH("theta_max_deg", Calc!$C:$C, 0))), "OK", "CHECK"))</f>
        <v/>
      </c>
      <c r="I711" s="6">
        <f>IF($E711="","", INDEX(Calc!$E:$E, MATCH("D_vessel_m", Calc!$C:$C, 0)) - $E711 + $B711)</f>
        <v/>
      </c>
      <c r="J711" s="6">
        <f>IF($F711="","", INDEX(Calc!$E:$E, MATCH("D_vessel_m", Calc!$C:$C, 0)) - $F711 + $B711)</f>
        <v/>
      </c>
      <c r="K711" s="3">
        <f>IF(D711=0, "Even Keel", "")</f>
        <v/>
      </c>
    </row>
    <row r="712">
      <c r="A712" s="3">
        <f>IF(December_Tide_2025!A712="","",December_Tide_2025!A712)</f>
        <v/>
      </c>
      <c r="B712" s="6">
        <f>IF(December_Tide_2025!B712="","",December_Tide_2025!B712)</f>
        <v/>
      </c>
      <c r="C712" s="6">
        <f>IF($A712="","", INDEX(Calc!$E:$E, MATCH("KminusZ_m", Calc!$C:$C, 0)) + $B712 - INDEX(Calc!$E:$E, MATCH("L_ramp_m", Calc!$C:$C, 0)) * TAN(RADIANS(INDEX(Calc!$E:$E, MATCH("theta_max_deg", Calc!$C:$C, 0)))))</f>
        <v/>
      </c>
      <c r="D712" s="6" t="n"/>
      <c r="E712" s="6">
        <f>IF($C712="","", IF($D712="", $C712, $C712 - $D712/2))</f>
        <v/>
      </c>
      <c r="F712" s="6">
        <f>IF($C712="","", IF($D712="", $C712, $C712 + $D712/2))</f>
        <v/>
      </c>
      <c r="G712" s="6">
        <f>IF($E712="","", DEGREES(ATAN((INDEX(Calc!$E:$E, MATCH("KminusZ_m", Calc!$C:$C, 0)) - $E712 + $B712) / INDEX(Calc!$E:$E, MATCH("L_ramp_m", Calc!$C:$C, 0)))))</f>
        <v/>
      </c>
      <c r="H712" s="3">
        <f>IF($E712="","", IF(AND($E712&gt;=INDEX(Calc!$E:$E, MATCH("min_fwd_draft_m", Calc!$C:$C, 0)), $E712&lt;=INDEX(Calc!$E:$E, MATCH("max_fwd_draft_m", Calc!$C:$C, 0)), $G712&lt;=INDEX(Calc!$E:$E, MATCH("theta_max_deg", Calc!$C:$C, 0))), "OK", "CHECK"))</f>
        <v/>
      </c>
      <c r="I712" s="6">
        <f>IF($E712="","", INDEX(Calc!$E:$E, MATCH("D_vessel_m", Calc!$C:$C, 0)) - $E712 + $B712)</f>
        <v/>
      </c>
      <c r="J712" s="6">
        <f>IF($F712="","", INDEX(Calc!$E:$E, MATCH("D_vessel_m", Calc!$C:$C, 0)) - $F712 + $B712)</f>
        <v/>
      </c>
      <c r="K712" s="3">
        <f>IF(D712=0, "Even Keel", "")</f>
        <v/>
      </c>
    </row>
    <row r="713">
      <c r="A713" s="3">
        <f>IF(December_Tide_2025!A713="","",December_Tide_2025!A713)</f>
        <v/>
      </c>
      <c r="B713" s="6">
        <f>IF(December_Tide_2025!B713="","",December_Tide_2025!B713)</f>
        <v/>
      </c>
      <c r="C713" s="6">
        <f>IF($A713="","", INDEX(Calc!$E:$E, MATCH("KminusZ_m", Calc!$C:$C, 0)) + $B713 - INDEX(Calc!$E:$E, MATCH("L_ramp_m", Calc!$C:$C, 0)) * TAN(RADIANS(INDEX(Calc!$E:$E, MATCH("theta_max_deg", Calc!$C:$C, 0)))))</f>
        <v/>
      </c>
      <c r="D713" s="6" t="n"/>
      <c r="E713" s="6">
        <f>IF($C713="","", IF($D713="", $C713, $C713 - $D713/2))</f>
        <v/>
      </c>
      <c r="F713" s="6">
        <f>IF($C713="","", IF($D713="", $C713, $C713 + $D713/2))</f>
        <v/>
      </c>
      <c r="G713" s="6">
        <f>IF($E713="","", DEGREES(ATAN((INDEX(Calc!$E:$E, MATCH("KminusZ_m", Calc!$C:$C, 0)) - $E713 + $B713) / INDEX(Calc!$E:$E, MATCH("L_ramp_m", Calc!$C:$C, 0)))))</f>
        <v/>
      </c>
      <c r="H713" s="3">
        <f>IF($E713="","", IF(AND($E713&gt;=INDEX(Calc!$E:$E, MATCH("min_fwd_draft_m", Calc!$C:$C, 0)), $E713&lt;=INDEX(Calc!$E:$E, MATCH("max_fwd_draft_m", Calc!$C:$C, 0)), $G713&lt;=INDEX(Calc!$E:$E, MATCH("theta_max_deg", Calc!$C:$C, 0))), "OK", "CHECK"))</f>
        <v/>
      </c>
      <c r="I713" s="6">
        <f>IF($E713="","", INDEX(Calc!$E:$E, MATCH("D_vessel_m", Calc!$C:$C, 0)) - $E713 + $B713)</f>
        <v/>
      </c>
      <c r="J713" s="6">
        <f>IF($F713="","", INDEX(Calc!$E:$E, MATCH("D_vessel_m", Calc!$C:$C, 0)) - $F713 + $B713)</f>
        <v/>
      </c>
      <c r="K713" s="3">
        <f>IF(D713=0, "Even Keel", "")</f>
        <v/>
      </c>
    </row>
    <row r="714">
      <c r="A714" s="3">
        <f>IF(December_Tide_2025!A714="","",December_Tide_2025!A714)</f>
        <v/>
      </c>
      <c r="B714" s="6">
        <f>IF(December_Tide_2025!B714="","",December_Tide_2025!B714)</f>
        <v/>
      </c>
      <c r="C714" s="6">
        <f>IF($A714="","", INDEX(Calc!$E:$E, MATCH("KminusZ_m", Calc!$C:$C, 0)) + $B714 - INDEX(Calc!$E:$E, MATCH("L_ramp_m", Calc!$C:$C, 0)) * TAN(RADIANS(INDEX(Calc!$E:$E, MATCH("theta_max_deg", Calc!$C:$C, 0)))))</f>
        <v/>
      </c>
      <c r="D714" s="6" t="n"/>
      <c r="E714" s="6">
        <f>IF($C714="","", IF($D714="", $C714, $C714 - $D714/2))</f>
        <v/>
      </c>
      <c r="F714" s="6">
        <f>IF($C714="","", IF($D714="", $C714, $C714 + $D714/2))</f>
        <v/>
      </c>
      <c r="G714" s="6">
        <f>IF($E714="","", DEGREES(ATAN((INDEX(Calc!$E:$E, MATCH("KminusZ_m", Calc!$C:$C, 0)) - $E714 + $B714) / INDEX(Calc!$E:$E, MATCH("L_ramp_m", Calc!$C:$C, 0)))))</f>
        <v/>
      </c>
      <c r="H714" s="3">
        <f>IF($E714="","", IF(AND($E714&gt;=INDEX(Calc!$E:$E, MATCH("min_fwd_draft_m", Calc!$C:$C, 0)), $E714&lt;=INDEX(Calc!$E:$E, MATCH("max_fwd_draft_m", Calc!$C:$C, 0)), $G714&lt;=INDEX(Calc!$E:$E, MATCH("theta_max_deg", Calc!$C:$C, 0))), "OK", "CHECK"))</f>
        <v/>
      </c>
      <c r="I714" s="6">
        <f>IF($E714="","", INDEX(Calc!$E:$E, MATCH("D_vessel_m", Calc!$C:$C, 0)) - $E714 + $B714)</f>
        <v/>
      </c>
      <c r="J714" s="6">
        <f>IF($F714="","", INDEX(Calc!$E:$E, MATCH("D_vessel_m", Calc!$C:$C, 0)) - $F714 + $B714)</f>
        <v/>
      </c>
      <c r="K714" s="3">
        <f>IF(D714=0, "Even Keel", "")</f>
        <v/>
      </c>
    </row>
    <row r="715">
      <c r="A715" s="3">
        <f>IF(December_Tide_2025!A715="","",December_Tide_2025!A715)</f>
        <v/>
      </c>
      <c r="B715" s="6">
        <f>IF(December_Tide_2025!B715="","",December_Tide_2025!B715)</f>
        <v/>
      </c>
      <c r="C715" s="6">
        <f>IF($A715="","", INDEX(Calc!$E:$E, MATCH("KminusZ_m", Calc!$C:$C, 0)) + $B715 - INDEX(Calc!$E:$E, MATCH("L_ramp_m", Calc!$C:$C, 0)) * TAN(RADIANS(INDEX(Calc!$E:$E, MATCH("theta_max_deg", Calc!$C:$C, 0)))))</f>
        <v/>
      </c>
      <c r="D715" s="6" t="n"/>
      <c r="E715" s="6">
        <f>IF($C715="","", IF($D715="", $C715, $C715 - $D715/2))</f>
        <v/>
      </c>
      <c r="F715" s="6">
        <f>IF($C715="","", IF($D715="", $C715, $C715 + $D715/2))</f>
        <v/>
      </c>
      <c r="G715" s="6">
        <f>IF($E715="","", DEGREES(ATAN((INDEX(Calc!$E:$E, MATCH("KminusZ_m", Calc!$C:$C, 0)) - $E715 + $B715) / INDEX(Calc!$E:$E, MATCH("L_ramp_m", Calc!$C:$C, 0)))))</f>
        <v/>
      </c>
      <c r="H715" s="3">
        <f>IF($E715="","", IF(AND($E715&gt;=INDEX(Calc!$E:$E, MATCH("min_fwd_draft_m", Calc!$C:$C, 0)), $E715&lt;=INDEX(Calc!$E:$E, MATCH("max_fwd_draft_m", Calc!$C:$C, 0)), $G715&lt;=INDEX(Calc!$E:$E, MATCH("theta_max_deg", Calc!$C:$C, 0))), "OK", "CHECK"))</f>
        <v/>
      </c>
      <c r="I715" s="6">
        <f>IF($E715="","", INDEX(Calc!$E:$E, MATCH("D_vessel_m", Calc!$C:$C, 0)) - $E715 + $B715)</f>
        <v/>
      </c>
      <c r="J715" s="6">
        <f>IF($F715="","", INDEX(Calc!$E:$E, MATCH("D_vessel_m", Calc!$C:$C, 0)) - $F715 + $B715)</f>
        <v/>
      </c>
      <c r="K715" s="3">
        <f>IF(D715=0, "Even Keel", "")</f>
        <v/>
      </c>
    </row>
    <row r="716">
      <c r="A716" s="3">
        <f>IF(December_Tide_2025!A716="","",December_Tide_2025!A716)</f>
        <v/>
      </c>
      <c r="B716" s="6">
        <f>IF(December_Tide_2025!B716="","",December_Tide_2025!B716)</f>
        <v/>
      </c>
      <c r="C716" s="6">
        <f>IF($A716="","", INDEX(Calc!$E:$E, MATCH("KminusZ_m", Calc!$C:$C, 0)) + $B716 - INDEX(Calc!$E:$E, MATCH("L_ramp_m", Calc!$C:$C, 0)) * TAN(RADIANS(INDEX(Calc!$E:$E, MATCH("theta_max_deg", Calc!$C:$C, 0)))))</f>
        <v/>
      </c>
      <c r="D716" s="6" t="n"/>
      <c r="E716" s="6">
        <f>IF($C716="","", IF($D716="", $C716, $C716 - $D716/2))</f>
        <v/>
      </c>
      <c r="F716" s="6">
        <f>IF($C716="","", IF($D716="", $C716, $C716 + $D716/2))</f>
        <v/>
      </c>
      <c r="G716" s="6">
        <f>IF($E716="","", DEGREES(ATAN((INDEX(Calc!$E:$E, MATCH("KminusZ_m", Calc!$C:$C, 0)) - $E716 + $B716) / INDEX(Calc!$E:$E, MATCH("L_ramp_m", Calc!$C:$C, 0)))))</f>
        <v/>
      </c>
      <c r="H716" s="3">
        <f>IF($E716="","", IF(AND($E716&gt;=INDEX(Calc!$E:$E, MATCH("min_fwd_draft_m", Calc!$C:$C, 0)), $E716&lt;=INDEX(Calc!$E:$E, MATCH("max_fwd_draft_m", Calc!$C:$C, 0)), $G716&lt;=INDEX(Calc!$E:$E, MATCH("theta_max_deg", Calc!$C:$C, 0))), "OK", "CHECK"))</f>
        <v/>
      </c>
      <c r="I716" s="6">
        <f>IF($E716="","", INDEX(Calc!$E:$E, MATCH("D_vessel_m", Calc!$C:$C, 0)) - $E716 + $B716)</f>
        <v/>
      </c>
      <c r="J716" s="6">
        <f>IF($F716="","", INDEX(Calc!$E:$E, MATCH("D_vessel_m", Calc!$C:$C, 0)) - $F716 + $B716)</f>
        <v/>
      </c>
      <c r="K716" s="3">
        <f>IF(D716=0, "Even Keel", "")</f>
        <v/>
      </c>
    </row>
    <row r="717">
      <c r="A717" s="3">
        <f>IF(December_Tide_2025!A717="","",December_Tide_2025!A717)</f>
        <v/>
      </c>
      <c r="B717" s="6">
        <f>IF(December_Tide_2025!B717="","",December_Tide_2025!B717)</f>
        <v/>
      </c>
      <c r="C717" s="6">
        <f>IF($A717="","", INDEX(Calc!$E:$E, MATCH("KminusZ_m", Calc!$C:$C, 0)) + $B717 - INDEX(Calc!$E:$E, MATCH("L_ramp_m", Calc!$C:$C, 0)) * TAN(RADIANS(INDEX(Calc!$E:$E, MATCH("theta_max_deg", Calc!$C:$C, 0)))))</f>
        <v/>
      </c>
      <c r="D717" s="6" t="n"/>
      <c r="E717" s="6">
        <f>IF($C717="","", IF($D717="", $C717, $C717 - $D717/2))</f>
        <v/>
      </c>
      <c r="F717" s="6">
        <f>IF($C717="","", IF($D717="", $C717, $C717 + $D717/2))</f>
        <v/>
      </c>
      <c r="G717" s="6">
        <f>IF($E717="","", DEGREES(ATAN((INDEX(Calc!$E:$E, MATCH("KminusZ_m", Calc!$C:$C, 0)) - $E717 + $B717) / INDEX(Calc!$E:$E, MATCH("L_ramp_m", Calc!$C:$C, 0)))))</f>
        <v/>
      </c>
      <c r="H717" s="3">
        <f>IF($E717="","", IF(AND($E717&gt;=INDEX(Calc!$E:$E, MATCH("min_fwd_draft_m", Calc!$C:$C, 0)), $E717&lt;=INDEX(Calc!$E:$E, MATCH("max_fwd_draft_m", Calc!$C:$C, 0)), $G717&lt;=INDEX(Calc!$E:$E, MATCH("theta_max_deg", Calc!$C:$C, 0))), "OK", "CHECK"))</f>
        <v/>
      </c>
      <c r="I717" s="6">
        <f>IF($E717="","", INDEX(Calc!$E:$E, MATCH("D_vessel_m", Calc!$C:$C, 0)) - $E717 + $B717)</f>
        <v/>
      </c>
      <c r="J717" s="6">
        <f>IF($F717="","", INDEX(Calc!$E:$E, MATCH("D_vessel_m", Calc!$C:$C, 0)) - $F717 + $B717)</f>
        <v/>
      </c>
      <c r="K717" s="3">
        <f>IF(D717=0, "Even Keel", "")</f>
        <v/>
      </c>
    </row>
    <row r="718">
      <c r="A718" s="3">
        <f>IF(December_Tide_2025!A718="","",December_Tide_2025!A718)</f>
        <v/>
      </c>
      <c r="B718" s="6">
        <f>IF(December_Tide_2025!B718="","",December_Tide_2025!B718)</f>
        <v/>
      </c>
      <c r="C718" s="6">
        <f>IF($A718="","", INDEX(Calc!$E:$E, MATCH("KminusZ_m", Calc!$C:$C, 0)) + $B718 - INDEX(Calc!$E:$E, MATCH("L_ramp_m", Calc!$C:$C, 0)) * TAN(RADIANS(INDEX(Calc!$E:$E, MATCH("theta_max_deg", Calc!$C:$C, 0)))))</f>
        <v/>
      </c>
      <c r="D718" s="6" t="n"/>
      <c r="E718" s="6">
        <f>IF($C718="","", IF($D718="", $C718, $C718 - $D718/2))</f>
        <v/>
      </c>
      <c r="F718" s="6">
        <f>IF($C718="","", IF($D718="", $C718, $C718 + $D718/2))</f>
        <v/>
      </c>
      <c r="G718" s="6">
        <f>IF($E718="","", DEGREES(ATAN((INDEX(Calc!$E:$E, MATCH("KminusZ_m", Calc!$C:$C, 0)) - $E718 + $B718) / INDEX(Calc!$E:$E, MATCH("L_ramp_m", Calc!$C:$C, 0)))))</f>
        <v/>
      </c>
      <c r="H718" s="3">
        <f>IF($E718="","", IF(AND($E718&gt;=INDEX(Calc!$E:$E, MATCH("min_fwd_draft_m", Calc!$C:$C, 0)), $E718&lt;=INDEX(Calc!$E:$E, MATCH("max_fwd_draft_m", Calc!$C:$C, 0)), $G718&lt;=INDEX(Calc!$E:$E, MATCH("theta_max_deg", Calc!$C:$C, 0))), "OK", "CHECK"))</f>
        <v/>
      </c>
      <c r="I718" s="6">
        <f>IF($E718="","", INDEX(Calc!$E:$E, MATCH("D_vessel_m", Calc!$C:$C, 0)) - $E718 + $B718)</f>
        <v/>
      </c>
      <c r="J718" s="6">
        <f>IF($F718="","", INDEX(Calc!$E:$E, MATCH("D_vessel_m", Calc!$C:$C, 0)) - $F718 + $B718)</f>
        <v/>
      </c>
      <c r="K718" s="3">
        <f>IF(D718=0, "Even Keel", "")</f>
        <v/>
      </c>
    </row>
    <row r="719">
      <c r="A719" s="3">
        <f>IF(December_Tide_2025!A719="","",December_Tide_2025!A719)</f>
        <v/>
      </c>
      <c r="B719" s="6">
        <f>IF(December_Tide_2025!B719="","",December_Tide_2025!B719)</f>
        <v/>
      </c>
      <c r="C719" s="6">
        <f>IF($A719="","", INDEX(Calc!$E:$E, MATCH("KminusZ_m", Calc!$C:$C, 0)) + $B719 - INDEX(Calc!$E:$E, MATCH("L_ramp_m", Calc!$C:$C, 0)) * TAN(RADIANS(INDEX(Calc!$E:$E, MATCH("theta_max_deg", Calc!$C:$C, 0)))))</f>
        <v/>
      </c>
      <c r="D719" s="6" t="n"/>
      <c r="E719" s="6">
        <f>IF($C719="","", IF($D719="", $C719, $C719 - $D719/2))</f>
        <v/>
      </c>
      <c r="F719" s="6">
        <f>IF($C719="","", IF($D719="", $C719, $C719 + $D719/2))</f>
        <v/>
      </c>
      <c r="G719" s="6">
        <f>IF($E719="","", DEGREES(ATAN((INDEX(Calc!$E:$E, MATCH("KminusZ_m", Calc!$C:$C, 0)) - $E719 + $B719) / INDEX(Calc!$E:$E, MATCH("L_ramp_m", Calc!$C:$C, 0)))))</f>
        <v/>
      </c>
      <c r="H719" s="3">
        <f>IF($E719="","", IF(AND($E719&gt;=INDEX(Calc!$E:$E, MATCH("min_fwd_draft_m", Calc!$C:$C, 0)), $E719&lt;=INDEX(Calc!$E:$E, MATCH("max_fwd_draft_m", Calc!$C:$C, 0)), $G719&lt;=INDEX(Calc!$E:$E, MATCH("theta_max_deg", Calc!$C:$C, 0))), "OK", "CHECK"))</f>
        <v/>
      </c>
      <c r="I719" s="6">
        <f>IF($E719="","", INDEX(Calc!$E:$E, MATCH("D_vessel_m", Calc!$C:$C, 0)) - $E719 + $B719)</f>
        <v/>
      </c>
      <c r="J719" s="6">
        <f>IF($F719="","", INDEX(Calc!$E:$E, MATCH("D_vessel_m", Calc!$C:$C, 0)) - $F719 + $B719)</f>
        <v/>
      </c>
      <c r="K719" s="3">
        <f>IF(D719=0, "Even Keel", "")</f>
        <v/>
      </c>
    </row>
    <row r="720">
      <c r="A720" s="3">
        <f>IF(December_Tide_2025!A720="","",December_Tide_2025!A720)</f>
        <v/>
      </c>
      <c r="B720" s="6">
        <f>IF(December_Tide_2025!B720="","",December_Tide_2025!B720)</f>
        <v/>
      </c>
      <c r="C720" s="6">
        <f>IF($A720="","", INDEX(Calc!$E:$E, MATCH("KminusZ_m", Calc!$C:$C, 0)) + $B720 - INDEX(Calc!$E:$E, MATCH("L_ramp_m", Calc!$C:$C, 0)) * TAN(RADIANS(INDEX(Calc!$E:$E, MATCH("theta_max_deg", Calc!$C:$C, 0)))))</f>
        <v/>
      </c>
      <c r="D720" s="6" t="n"/>
      <c r="E720" s="6">
        <f>IF($C720="","", IF($D720="", $C720, $C720 - $D720/2))</f>
        <v/>
      </c>
      <c r="F720" s="6">
        <f>IF($C720="","", IF($D720="", $C720, $C720 + $D720/2))</f>
        <v/>
      </c>
      <c r="G720" s="6">
        <f>IF($E720="","", DEGREES(ATAN((INDEX(Calc!$E:$E, MATCH("KminusZ_m", Calc!$C:$C, 0)) - $E720 + $B720) / INDEX(Calc!$E:$E, MATCH("L_ramp_m", Calc!$C:$C, 0)))))</f>
        <v/>
      </c>
      <c r="H720" s="3">
        <f>IF($E720="","", IF(AND($E720&gt;=INDEX(Calc!$E:$E, MATCH("min_fwd_draft_m", Calc!$C:$C, 0)), $E720&lt;=INDEX(Calc!$E:$E, MATCH("max_fwd_draft_m", Calc!$C:$C, 0)), $G720&lt;=INDEX(Calc!$E:$E, MATCH("theta_max_deg", Calc!$C:$C, 0))), "OK", "CHECK"))</f>
        <v/>
      </c>
      <c r="I720" s="6">
        <f>IF($E720="","", INDEX(Calc!$E:$E, MATCH("D_vessel_m", Calc!$C:$C, 0)) - $E720 + $B720)</f>
        <v/>
      </c>
      <c r="J720" s="6">
        <f>IF($F720="","", INDEX(Calc!$E:$E, MATCH("D_vessel_m", Calc!$C:$C, 0)) - $F720 + $B720)</f>
        <v/>
      </c>
      <c r="K720" s="3">
        <f>IF(D720=0, "Even Keel", "")</f>
        <v/>
      </c>
    </row>
    <row r="721">
      <c r="A721" s="3">
        <f>IF(December_Tide_2025!A721="","",December_Tide_2025!A721)</f>
        <v/>
      </c>
      <c r="B721" s="6">
        <f>IF(December_Tide_2025!B721="","",December_Tide_2025!B721)</f>
        <v/>
      </c>
      <c r="C721" s="6">
        <f>IF($A721="","", INDEX(Calc!$E:$E, MATCH("KminusZ_m", Calc!$C:$C, 0)) + $B721 - INDEX(Calc!$E:$E, MATCH("L_ramp_m", Calc!$C:$C, 0)) * TAN(RADIANS(INDEX(Calc!$E:$E, MATCH("theta_max_deg", Calc!$C:$C, 0)))))</f>
        <v/>
      </c>
      <c r="D721" s="6" t="n"/>
      <c r="E721" s="6">
        <f>IF($C721="","", IF($D721="", $C721, $C721 - $D721/2))</f>
        <v/>
      </c>
      <c r="F721" s="6">
        <f>IF($C721="","", IF($D721="", $C721, $C721 + $D721/2))</f>
        <v/>
      </c>
      <c r="G721" s="6">
        <f>IF($E721="","", DEGREES(ATAN((INDEX(Calc!$E:$E, MATCH("KminusZ_m", Calc!$C:$C, 0)) - $E721 + $B721) / INDEX(Calc!$E:$E, MATCH("L_ramp_m", Calc!$C:$C, 0)))))</f>
        <v/>
      </c>
      <c r="H721" s="3">
        <f>IF($E721="","", IF(AND($E721&gt;=INDEX(Calc!$E:$E, MATCH("min_fwd_draft_m", Calc!$C:$C, 0)), $E721&lt;=INDEX(Calc!$E:$E, MATCH("max_fwd_draft_m", Calc!$C:$C, 0)), $G721&lt;=INDEX(Calc!$E:$E, MATCH("theta_max_deg", Calc!$C:$C, 0))), "OK", "CHECK"))</f>
        <v/>
      </c>
      <c r="I721" s="6">
        <f>IF($E721="","", INDEX(Calc!$E:$E, MATCH("D_vessel_m", Calc!$C:$C, 0)) - $E721 + $B721)</f>
        <v/>
      </c>
      <c r="J721" s="6">
        <f>IF($F721="","", INDEX(Calc!$E:$E, MATCH("D_vessel_m", Calc!$C:$C, 0)) - $F721 + $B721)</f>
        <v/>
      </c>
      <c r="K721" s="3">
        <f>IF(D721=0, "Even Keel", "")</f>
        <v/>
      </c>
    </row>
    <row r="722">
      <c r="A722" s="3">
        <f>IF(December_Tide_2025!A722="","",December_Tide_2025!A722)</f>
        <v/>
      </c>
      <c r="B722" s="6">
        <f>IF(December_Tide_2025!B722="","",December_Tide_2025!B722)</f>
        <v/>
      </c>
      <c r="C722" s="6">
        <f>IF($A722="","", INDEX(Calc!$E:$E, MATCH("KminusZ_m", Calc!$C:$C, 0)) + $B722 - INDEX(Calc!$E:$E, MATCH("L_ramp_m", Calc!$C:$C, 0)) * TAN(RADIANS(INDEX(Calc!$E:$E, MATCH("theta_max_deg", Calc!$C:$C, 0)))))</f>
        <v/>
      </c>
      <c r="D722" s="6" t="n"/>
      <c r="E722" s="6">
        <f>IF($C722="","", IF($D722="", $C722, $C722 - $D722/2))</f>
        <v/>
      </c>
      <c r="F722" s="6">
        <f>IF($C722="","", IF($D722="", $C722, $C722 + $D722/2))</f>
        <v/>
      </c>
      <c r="G722" s="6">
        <f>IF($E722="","", DEGREES(ATAN((INDEX(Calc!$E:$E, MATCH("KminusZ_m", Calc!$C:$C, 0)) - $E722 + $B722) / INDEX(Calc!$E:$E, MATCH("L_ramp_m", Calc!$C:$C, 0)))))</f>
        <v/>
      </c>
      <c r="H722" s="3">
        <f>IF($E722="","", IF(AND($E722&gt;=INDEX(Calc!$E:$E, MATCH("min_fwd_draft_m", Calc!$C:$C, 0)), $E722&lt;=INDEX(Calc!$E:$E, MATCH("max_fwd_draft_m", Calc!$C:$C, 0)), $G722&lt;=INDEX(Calc!$E:$E, MATCH("theta_max_deg", Calc!$C:$C, 0))), "OK", "CHECK"))</f>
        <v/>
      </c>
      <c r="I722" s="6">
        <f>IF($E722="","", INDEX(Calc!$E:$E, MATCH("D_vessel_m", Calc!$C:$C, 0)) - $E722 + $B722)</f>
        <v/>
      </c>
      <c r="J722" s="6">
        <f>IF($F722="","", INDEX(Calc!$E:$E, MATCH("D_vessel_m", Calc!$C:$C, 0)) - $F722 + $B722)</f>
        <v/>
      </c>
      <c r="K722" s="3">
        <f>IF(D722=0, "Even Keel", "")</f>
        <v/>
      </c>
    </row>
    <row r="723">
      <c r="A723" s="3">
        <f>IF(December_Tide_2025!A723="","",December_Tide_2025!A723)</f>
        <v/>
      </c>
      <c r="B723" s="6">
        <f>IF(December_Tide_2025!B723="","",December_Tide_2025!B723)</f>
        <v/>
      </c>
      <c r="C723" s="6">
        <f>IF($A723="","", INDEX(Calc!$E:$E, MATCH("KminusZ_m", Calc!$C:$C, 0)) + $B723 - INDEX(Calc!$E:$E, MATCH("L_ramp_m", Calc!$C:$C, 0)) * TAN(RADIANS(INDEX(Calc!$E:$E, MATCH("theta_max_deg", Calc!$C:$C, 0)))))</f>
        <v/>
      </c>
      <c r="D723" s="6" t="n"/>
      <c r="E723" s="6">
        <f>IF($C723="","", IF($D723="", $C723, $C723 - $D723/2))</f>
        <v/>
      </c>
      <c r="F723" s="6">
        <f>IF($C723="","", IF($D723="", $C723, $C723 + $D723/2))</f>
        <v/>
      </c>
      <c r="G723" s="6">
        <f>IF($E723="","", DEGREES(ATAN((INDEX(Calc!$E:$E, MATCH("KminusZ_m", Calc!$C:$C, 0)) - $E723 + $B723) / INDEX(Calc!$E:$E, MATCH("L_ramp_m", Calc!$C:$C, 0)))))</f>
        <v/>
      </c>
      <c r="H723" s="3">
        <f>IF($E723="","", IF(AND($E723&gt;=INDEX(Calc!$E:$E, MATCH("min_fwd_draft_m", Calc!$C:$C, 0)), $E723&lt;=INDEX(Calc!$E:$E, MATCH("max_fwd_draft_m", Calc!$C:$C, 0)), $G723&lt;=INDEX(Calc!$E:$E, MATCH("theta_max_deg", Calc!$C:$C, 0))), "OK", "CHECK"))</f>
        <v/>
      </c>
      <c r="I723" s="6">
        <f>IF($E723="","", INDEX(Calc!$E:$E, MATCH("D_vessel_m", Calc!$C:$C, 0)) - $E723 + $B723)</f>
        <v/>
      </c>
      <c r="J723" s="6">
        <f>IF($F723="","", INDEX(Calc!$E:$E, MATCH("D_vessel_m", Calc!$C:$C, 0)) - $F723 + $B723)</f>
        <v/>
      </c>
      <c r="K723" s="3">
        <f>IF(D723=0, "Even Keel", "")</f>
        <v/>
      </c>
    </row>
    <row r="724">
      <c r="A724" s="3">
        <f>IF(December_Tide_2025!A724="","",December_Tide_2025!A724)</f>
        <v/>
      </c>
      <c r="B724" s="6">
        <f>IF(December_Tide_2025!B724="","",December_Tide_2025!B724)</f>
        <v/>
      </c>
      <c r="C724" s="6">
        <f>IF($A724="","", INDEX(Calc!$E:$E, MATCH("KminusZ_m", Calc!$C:$C, 0)) + $B724 - INDEX(Calc!$E:$E, MATCH("L_ramp_m", Calc!$C:$C, 0)) * TAN(RADIANS(INDEX(Calc!$E:$E, MATCH("theta_max_deg", Calc!$C:$C, 0)))))</f>
        <v/>
      </c>
      <c r="D724" s="6" t="n"/>
      <c r="E724" s="6">
        <f>IF($C724="","", IF($D724="", $C724, $C724 - $D724/2))</f>
        <v/>
      </c>
      <c r="F724" s="6">
        <f>IF($C724="","", IF($D724="", $C724, $C724 + $D724/2))</f>
        <v/>
      </c>
      <c r="G724" s="6">
        <f>IF($E724="","", DEGREES(ATAN((INDEX(Calc!$E:$E, MATCH("KminusZ_m", Calc!$C:$C, 0)) - $E724 + $B724) / INDEX(Calc!$E:$E, MATCH("L_ramp_m", Calc!$C:$C, 0)))))</f>
        <v/>
      </c>
      <c r="H724" s="3">
        <f>IF($E724="","", IF(AND($E724&gt;=INDEX(Calc!$E:$E, MATCH("min_fwd_draft_m", Calc!$C:$C, 0)), $E724&lt;=INDEX(Calc!$E:$E, MATCH("max_fwd_draft_m", Calc!$C:$C, 0)), $G724&lt;=INDEX(Calc!$E:$E, MATCH("theta_max_deg", Calc!$C:$C, 0))), "OK", "CHECK"))</f>
        <v/>
      </c>
      <c r="I724" s="6">
        <f>IF($E724="","", INDEX(Calc!$E:$E, MATCH("D_vessel_m", Calc!$C:$C, 0)) - $E724 + $B724)</f>
        <v/>
      </c>
      <c r="J724" s="6">
        <f>IF($F724="","", INDEX(Calc!$E:$E, MATCH("D_vessel_m", Calc!$C:$C, 0)) - $F724 + $B724)</f>
        <v/>
      </c>
      <c r="K724" s="3">
        <f>IF(D724=0, "Even Keel", "")</f>
        <v/>
      </c>
    </row>
    <row r="725">
      <c r="A725" s="3">
        <f>IF(December_Tide_2025!A725="","",December_Tide_2025!A725)</f>
        <v/>
      </c>
      <c r="B725" s="6">
        <f>IF(December_Tide_2025!B725="","",December_Tide_2025!B725)</f>
        <v/>
      </c>
      <c r="C725" s="6">
        <f>IF($A725="","", INDEX(Calc!$E:$E, MATCH("KminusZ_m", Calc!$C:$C, 0)) + $B725 - INDEX(Calc!$E:$E, MATCH("L_ramp_m", Calc!$C:$C, 0)) * TAN(RADIANS(INDEX(Calc!$E:$E, MATCH("theta_max_deg", Calc!$C:$C, 0)))))</f>
        <v/>
      </c>
      <c r="D725" s="6" t="n"/>
      <c r="E725" s="6">
        <f>IF($C725="","", IF($D725="", $C725, $C725 - $D725/2))</f>
        <v/>
      </c>
      <c r="F725" s="6">
        <f>IF($C725="","", IF($D725="", $C725, $C725 + $D725/2))</f>
        <v/>
      </c>
      <c r="G725" s="6">
        <f>IF($E725="","", DEGREES(ATAN((INDEX(Calc!$E:$E, MATCH("KminusZ_m", Calc!$C:$C, 0)) - $E725 + $B725) / INDEX(Calc!$E:$E, MATCH("L_ramp_m", Calc!$C:$C, 0)))))</f>
        <v/>
      </c>
      <c r="H725" s="3">
        <f>IF($E725="","", IF(AND($E725&gt;=INDEX(Calc!$E:$E, MATCH("min_fwd_draft_m", Calc!$C:$C, 0)), $E725&lt;=INDEX(Calc!$E:$E, MATCH("max_fwd_draft_m", Calc!$C:$C, 0)), $G725&lt;=INDEX(Calc!$E:$E, MATCH("theta_max_deg", Calc!$C:$C, 0))), "OK", "CHECK"))</f>
        <v/>
      </c>
      <c r="I725" s="6">
        <f>IF($E725="","", INDEX(Calc!$E:$E, MATCH("D_vessel_m", Calc!$C:$C, 0)) - $E725 + $B725)</f>
        <v/>
      </c>
      <c r="J725" s="6">
        <f>IF($F725="","", INDEX(Calc!$E:$E, MATCH("D_vessel_m", Calc!$C:$C, 0)) - $F725 + $B725)</f>
        <v/>
      </c>
      <c r="K725" s="3">
        <f>IF(D725=0, "Even Keel", "")</f>
        <v/>
      </c>
    </row>
    <row r="726">
      <c r="A726" s="3">
        <f>IF(December_Tide_2025!A726="","",December_Tide_2025!A726)</f>
        <v/>
      </c>
      <c r="B726" s="6">
        <f>IF(December_Tide_2025!B726="","",December_Tide_2025!B726)</f>
        <v/>
      </c>
      <c r="C726" s="6">
        <f>IF($A726="","", INDEX(Calc!$E:$E, MATCH("KminusZ_m", Calc!$C:$C, 0)) + $B726 - INDEX(Calc!$E:$E, MATCH("L_ramp_m", Calc!$C:$C, 0)) * TAN(RADIANS(INDEX(Calc!$E:$E, MATCH("theta_max_deg", Calc!$C:$C, 0)))))</f>
        <v/>
      </c>
      <c r="D726" s="6" t="n"/>
      <c r="E726" s="6">
        <f>IF($C726="","", IF($D726="", $C726, $C726 - $D726/2))</f>
        <v/>
      </c>
      <c r="F726" s="6">
        <f>IF($C726="","", IF($D726="", $C726, $C726 + $D726/2))</f>
        <v/>
      </c>
      <c r="G726" s="6">
        <f>IF($E726="","", DEGREES(ATAN((INDEX(Calc!$E:$E, MATCH("KminusZ_m", Calc!$C:$C, 0)) - $E726 + $B726) / INDEX(Calc!$E:$E, MATCH("L_ramp_m", Calc!$C:$C, 0)))))</f>
        <v/>
      </c>
      <c r="H726" s="3">
        <f>IF($E726="","", IF(AND($E726&gt;=INDEX(Calc!$E:$E, MATCH("min_fwd_draft_m", Calc!$C:$C, 0)), $E726&lt;=INDEX(Calc!$E:$E, MATCH("max_fwd_draft_m", Calc!$C:$C, 0)), $G726&lt;=INDEX(Calc!$E:$E, MATCH("theta_max_deg", Calc!$C:$C, 0))), "OK", "CHECK"))</f>
        <v/>
      </c>
      <c r="I726" s="6">
        <f>IF($E726="","", INDEX(Calc!$E:$E, MATCH("D_vessel_m", Calc!$C:$C, 0)) - $E726 + $B726)</f>
        <v/>
      </c>
      <c r="J726" s="6">
        <f>IF($F726="","", INDEX(Calc!$E:$E, MATCH("D_vessel_m", Calc!$C:$C, 0)) - $F726 + $B726)</f>
        <v/>
      </c>
      <c r="K726" s="3">
        <f>IF(D726=0, "Even Keel", "")</f>
        <v/>
      </c>
    </row>
    <row r="727">
      <c r="A727" s="3">
        <f>IF(December_Tide_2025!A727="","",December_Tide_2025!A727)</f>
        <v/>
      </c>
      <c r="B727" s="6">
        <f>IF(December_Tide_2025!B727="","",December_Tide_2025!B727)</f>
        <v/>
      </c>
      <c r="C727" s="6">
        <f>IF($A727="","", INDEX(Calc!$E:$E, MATCH("KminusZ_m", Calc!$C:$C, 0)) + $B727 - INDEX(Calc!$E:$E, MATCH("L_ramp_m", Calc!$C:$C, 0)) * TAN(RADIANS(INDEX(Calc!$E:$E, MATCH("theta_max_deg", Calc!$C:$C, 0)))))</f>
        <v/>
      </c>
      <c r="D727" s="6" t="n"/>
      <c r="E727" s="6">
        <f>IF($C727="","", IF($D727="", $C727, $C727 - $D727/2))</f>
        <v/>
      </c>
      <c r="F727" s="6">
        <f>IF($C727="","", IF($D727="", $C727, $C727 + $D727/2))</f>
        <v/>
      </c>
      <c r="G727" s="6">
        <f>IF($E727="","", DEGREES(ATAN((INDEX(Calc!$E:$E, MATCH("KminusZ_m", Calc!$C:$C, 0)) - $E727 + $B727) / INDEX(Calc!$E:$E, MATCH("L_ramp_m", Calc!$C:$C, 0)))))</f>
        <v/>
      </c>
      <c r="H727" s="3">
        <f>IF($E727="","", IF(AND($E727&gt;=INDEX(Calc!$E:$E, MATCH("min_fwd_draft_m", Calc!$C:$C, 0)), $E727&lt;=INDEX(Calc!$E:$E, MATCH("max_fwd_draft_m", Calc!$C:$C, 0)), $G727&lt;=INDEX(Calc!$E:$E, MATCH("theta_max_deg", Calc!$C:$C, 0))), "OK", "CHECK"))</f>
        <v/>
      </c>
      <c r="I727" s="6">
        <f>IF($E727="","", INDEX(Calc!$E:$E, MATCH("D_vessel_m", Calc!$C:$C, 0)) - $E727 + $B727)</f>
        <v/>
      </c>
      <c r="J727" s="6">
        <f>IF($F727="","", INDEX(Calc!$E:$E, MATCH("D_vessel_m", Calc!$C:$C, 0)) - $F727 + $B727)</f>
        <v/>
      </c>
      <c r="K727" s="3">
        <f>IF(D727=0, "Even Keel", "")</f>
        <v/>
      </c>
    </row>
    <row r="728">
      <c r="A728" s="3">
        <f>IF(December_Tide_2025!A728="","",December_Tide_2025!A728)</f>
        <v/>
      </c>
      <c r="B728" s="6">
        <f>IF(December_Tide_2025!B728="","",December_Tide_2025!B728)</f>
        <v/>
      </c>
      <c r="C728" s="6">
        <f>IF($A728="","", INDEX(Calc!$E:$E, MATCH("KminusZ_m", Calc!$C:$C, 0)) + $B728 - INDEX(Calc!$E:$E, MATCH("L_ramp_m", Calc!$C:$C, 0)) * TAN(RADIANS(INDEX(Calc!$E:$E, MATCH("theta_max_deg", Calc!$C:$C, 0)))))</f>
        <v/>
      </c>
      <c r="D728" s="6" t="n"/>
      <c r="E728" s="6">
        <f>IF($C728="","", IF($D728="", $C728, $C728 - $D728/2))</f>
        <v/>
      </c>
      <c r="F728" s="6">
        <f>IF($C728="","", IF($D728="", $C728, $C728 + $D728/2))</f>
        <v/>
      </c>
      <c r="G728" s="6">
        <f>IF($E728="","", DEGREES(ATAN((INDEX(Calc!$E:$E, MATCH("KminusZ_m", Calc!$C:$C, 0)) - $E728 + $B728) / INDEX(Calc!$E:$E, MATCH("L_ramp_m", Calc!$C:$C, 0)))))</f>
        <v/>
      </c>
      <c r="H728" s="3">
        <f>IF($E728="","", IF(AND($E728&gt;=INDEX(Calc!$E:$E, MATCH("min_fwd_draft_m", Calc!$C:$C, 0)), $E728&lt;=INDEX(Calc!$E:$E, MATCH("max_fwd_draft_m", Calc!$C:$C, 0)), $G728&lt;=INDEX(Calc!$E:$E, MATCH("theta_max_deg", Calc!$C:$C, 0))), "OK", "CHECK"))</f>
        <v/>
      </c>
      <c r="I728" s="6">
        <f>IF($E728="","", INDEX(Calc!$E:$E, MATCH("D_vessel_m", Calc!$C:$C, 0)) - $E728 + $B728)</f>
        <v/>
      </c>
      <c r="J728" s="6">
        <f>IF($F728="","", INDEX(Calc!$E:$E, MATCH("D_vessel_m", Calc!$C:$C, 0)) - $F728 + $B728)</f>
        <v/>
      </c>
      <c r="K728" s="3">
        <f>IF(D728=0, "Even Keel", "")</f>
        <v/>
      </c>
    </row>
    <row r="729">
      <c r="A729" s="3">
        <f>IF(December_Tide_2025!A729="","",December_Tide_2025!A729)</f>
        <v/>
      </c>
      <c r="B729" s="6">
        <f>IF(December_Tide_2025!B729="","",December_Tide_2025!B729)</f>
        <v/>
      </c>
      <c r="C729" s="6">
        <f>IF($A729="","", INDEX(Calc!$E:$E, MATCH("KminusZ_m", Calc!$C:$C, 0)) + $B729 - INDEX(Calc!$E:$E, MATCH("L_ramp_m", Calc!$C:$C, 0)) * TAN(RADIANS(INDEX(Calc!$E:$E, MATCH("theta_max_deg", Calc!$C:$C, 0)))))</f>
        <v/>
      </c>
      <c r="D729" s="6" t="n"/>
      <c r="E729" s="6">
        <f>IF($C729="","", IF($D729="", $C729, $C729 - $D729/2))</f>
        <v/>
      </c>
      <c r="F729" s="6">
        <f>IF($C729="","", IF($D729="", $C729, $C729 + $D729/2))</f>
        <v/>
      </c>
      <c r="G729" s="6">
        <f>IF($E729="","", DEGREES(ATAN((INDEX(Calc!$E:$E, MATCH("KminusZ_m", Calc!$C:$C, 0)) - $E729 + $B729) / INDEX(Calc!$E:$E, MATCH("L_ramp_m", Calc!$C:$C, 0)))))</f>
        <v/>
      </c>
      <c r="H729" s="3">
        <f>IF($E729="","", IF(AND($E729&gt;=INDEX(Calc!$E:$E, MATCH("min_fwd_draft_m", Calc!$C:$C, 0)), $E729&lt;=INDEX(Calc!$E:$E, MATCH("max_fwd_draft_m", Calc!$C:$C, 0)), $G729&lt;=INDEX(Calc!$E:$E, MATCH("theta_max_deg", Calc!$C:$C, 0))), "OK", "CHECK"))</f>
        <v/>
      </c>
      <c r="I729" s="6">
        <f>IF($E729="","", INDEX(Calc!$E:$E, MATCH("D_vessel_m", Calc!$C:$C, 0)) - $E729 + $B729)</f>
        <v/>
      </c>
      <c r="J729" s="6">
        <f>IF($F729="","", INDEX(Calc!$E:$E, MATCH("D_vessel_m", Calc!$C:$C, 0)) - $F729 + $B729)</f>
        <v/>
      </c>
      <c r="K729" s="3">
        <f>IF(D729=0, "Even Keel", "")</f>
        <v/>
      </c>
    </row>
    <row r="730">
      <c r="A730" s="3">
        <f>IF(December_Tide_2025!A730="","",December_Tide_2025!A730)</f>
        <v/>
      </c>
      <c r="B730" s="6">
        <f>IF(December_Tide_2025!B730="","",December_Tide_2025!B730)</f>
        <v/>
      </c>
      <c r="C730" s="6">
        <f>IF($A730="","", INDEX(Calc!$E:$E, MATCH("KminusZ_m", Calc!$C:$C, 0)) + $B730 - INDEX(Calc!$E:$E, MATCH("L_ramp_m", Calc!$C:$C, 0)) * TAN(RADIANS(INDEX(Calc!$E:$E, MATCH("theta_max_deg", Calc!$C:$C, 0)))))</f>
        <v/>
      </c>
      <c r="D730" s="6" t="n"/>
      <c r="E730" s="6">
        <f>IF($C730="","", IF($D730="", $C730, $C730 - $D730/2))</f>
        <v/>
      </c>
      <c r="F730" s="6">
        <f>IF($C730="","", IF($D730="", $C730, $C730 + $D730/2))</f>
        <v/>
      </c>
      <c r="G730" s="6">
        <f>IF($E730="","", DEGREES(ATAN((INDEX(Calc!$E:$E, MATCH("KminusZ_m", Calc!$C:$C, 0)) - $E730 + $B730) / INDEX(Calc!$E:$E, MATCH("L_ramp_m", Calc!$C:$C, 0)))))</f>
        <v/>
      </c>
      <c r="H730" s="3">
        <f>IF($E730="","", IF(AND($E730&gt;=INDEX(Calc!$E:$E, MATCH("min_fwd_draft_m", Calc!$C:$C, 0)), $E730&lt;=INDEX(Calc!$E:$E, MATCH("max_fwd_draft_m", Calc!$C:$C, 0)), $G730&lt;=INDEX(Calc!$E:$E, MATCH("theta_max_deg", Calc!$C:$C, 0))), "OK", "CHECK"))</f>
        <v/>
      </c>
      <c r="I730" s="6">
        <f>IF($E730="","", INDEX(Calc!$E:$E, MATCH("D_vessel_m", Calc!$C:$C, 0)) - $E730 + $B730)</f>
        <v/>
      </c>
      <c r="J730" s="6">
        <f>IF($F730="","", INDEX(Calc!$E:$E, MATCH("D_vessel_m", Calc!$C:$C, 0)) - $F730 + $B730)</f>
        <v/>
      </c>
      <c r="K730" s="3">
        <f>IF(D730=0, "Even Keel", "")</f>
        <v/>
      </c>
    </row>
    <row r="731">
      <c r="A731" s="3">
        <f>IF(December_Tide_2025!A731="","",December_Tide_2025!A731)</f>
        <v/>
      </c>
      <c r="B731" s="6">
        <f>IF(December_Tide_2025!B731="","",December_Tide_2025!B731)</f>
        <v/>
      </c>
      <c r="C731" s="6">
        <f>IF($A731="","", INDEX(Calc!$E:$E, MATCH("KminusZ_m", Calc!$C:$C, 0)) + $B731 - INDEX(Calc!$E:$E, MATCH("L_ramp_m", Calc!$C:$C, 0)) * TAN(RADIANS(INDEX(Calc!$E:$E, MATCH("theta_max_deg", Calc!$C:$C, 0)))))</f>
        <v/>
      </c>
      <c r="D731" s="6" t="n"/>
      <c r="E731" s="6">
        <f>IF($C731="","", IF($D731="", $C731, $C731 - $D731/2))</f>
        <v/>
      </c>
      <c r="F731" s="6">
        <f>IF($C731="","", IF($D731="", $C731, $C731 + $D731/2))</f>
        <v/>
      </c>
      <c r="G731" s="6">
        <f>IF($E731="","", DEGREES(ATAN((INDEX(Calc!$E:$E, MATCH("KminusZ_m", Calc!$C:$C, 0)) - $E731 + $B731) / INDEX(Calc!$E:$E, MATCH("L_ramp_m", Calc!$C:$C, 0)))))</f>
        <v/>
      </c>
      <c r="H731" s="3">
        <f>IF($E731="","", IF(AND($E731&gt;=INDEX(Calc!$E:$E, MATCH("min_fwd_draft_m", Calc!$C:$C, 0)), $E731&lt;=INDEX(Calc!$E:$E, MATCH("max_fwd_draft_m", Calc!$C:$C, 0)), $G731&lt;=INDEX(Calc!$E:$E, MATCH("theta_max_deg", Calc!$C:$C, 0))), "OK", "CHECK"))</f>
        <v/>
      </c>
      <c r="I731" s="6">
        <f>IF($E731="","", INDEX(Calc!$E:$E, MATCH("D_vessel_m", Calc!$C:$C, 0)) - $E731 + $B731)</f>
        <v/>
      </c>
      <c r="J731" s="6">
        <f>IF($F731="","", INDEX(Calc!$E:$E, MATCH("D_vessel_m", Calc!$C:$C, 0)) - $F731 + $B731)</f>
        <v/>
      </c>
      <c r="K731" s="3">
        <f>IF(D731=0, "Even Keel", "")</f>
        <v/>
      </c>
    </row>
    <row r="732">
      <c r="A732" s="3">
        <f>IF(December_Tide_2025!A732="","",December_Tide_2025!A732)</f>
        <v/>
      </c>
      <c r="B732" s="6">
        <f>IF(December_Tide_2025!B732="","",December_Tide_2025!B732)</f>
        <v/>
      </c>
      <c r="C732" s="6">
        <f>IF($A732="","", INDEX(Calc!$E:$E, MATCH("KminusZ_m", Calc!$C:$C, 0)) + $B732 - INDEX(Calc!$E:$E, MATCH("L_ramp_m", Calc!$C:$C, 0)) * TAN(RADIANS(INDEX(Calc!$E:$E, MATCH("theta_max_deg", Calc!$C:$C, 0)))))</f>
        <v/>
      </c>
      <c r="D732" s="6" t="n"/>
      <c r="E732" s="6">
        <f>IF($C732="","", IF($D732="", $C732, $C732 - $D732/2))</f>
        <v/>
      </c>
      <c r="F732" s="6">
        <f>IF($C732="","", IF($D732="", $C732, $C732 + $D732/2))</f>
        <v/>
      </c>
      <c r="G732" s="6">
        <f>IF($E732="","", DEGREES(ATAN((INDEX(Calc!$E:$E, MATCH("KminusZ_m", Calc!$C:$C, 0)) - $E732 + $B732) / INDEX(Calc!$E:$E, MATCH("L_ramp_m", Calc!$C:$C, 0)))))</f>
        <v/>
      </c>
      <c r="H732" s="3">
        <f>IF($E732="","", IF(AND($E732&gt;=INDEX(Calc!$E:$E, MATCH("min_fwd_draft_m", Calc!$C:$C, 0)), $E732&lt;=INDEX(Calc!$E:$E, MATCH("max_fwd_draft_m", Calc!$C:$C, 0)), $G732&lt;=INDEX(Calc!$E:$E, MATCH("theta_max_deg", Calc!$C:$C, 0))), "OK", "CHECK"))</f>
        <v/>
      </c>
      <c r="I732" s="6">
        <f>IF($E732="","", INDEX(Calc!$E:$E, MATCH("D_vessel_m", Calc!$C:$C, 0)) - $E732 + $B732)</f>
        <v/>
      </c>
      <c r="J732" s="6">
        <f>IF($F732="","", INDEX(Calc!$E:$E, MATCH("D_vessel_m", Calc!$C:$C, 0)) - $F732 + $B732)</f>
        <v/>
      </c>
      <c r="K732" s="3">
        <f>IF(D732=0, "Even Keel", "")</f>
        <v/>
      </c>
    </row>
    <row r="733">
      <c r="A733" s="3">
        <f>IF(December_Tide_2025!A733="","",December_Tide_2025!A733)</f>
        <v/>
      </c>
      <c r="B733" s="6">
        <f>IF(December_Tide_2025!B733="","",December_Tide_2025!B733)</f>
        <v/>
      </c>
      <c r="C733" s="6">
        <f>IF($A733="","", INDEX(Calc!$E:$E, MATCH("KminusZ_m", Calc!$C:$C, 0)) + $B733 - INDEX(Calc!$E:$E, MATCH("L_ramp_m", Calc!$C:$C, 0)) * TAN(RADIANS(INDEX(Calc!$E:$E, MATCH("theta_max_deg", Calc!$C:$C, 0)))))</f>
        <v/>
      </c>
      <c r="D733" s="6" t="n"/>
      <c r="E733" s="6">
        <f>IF($C733="","", IF($D733="", $C733, $C733 - $D733/2))</f>
        <v/>
      </c>
      <c r="F733" s="6">
        <f>IF($C733="","", IF($D733="", $C733, $C733 + $D733/2))</f>
        <v/>
      </c>
      <c r="G733" s="6">
        <f>IF($E733="","", DEGREES(ATAN((INDEX(Calc!$E:$E, MATCH("KminusZ_m", Calc!$C:$C, 0)) - $E733 + $B733) / INDEX(Calc!$E:$E, MATCH("L_ramp_m", Calc!$C:$C, 0)))))</f>
        <v/>
      </c>
      <c r="H733" s="3">
        <f>IF($E733="","", IF(AND($E733&gt;=INDEX(Calc!$E:$E, MATCH("min_fwd_draft_m", Calc!$C:$C, 0)), $E733&lt;=INDEX(Calc!$E:$E, MATCH("max_fwd_draft_m", Calc!$C:$C, 0)), $G733&lt;=INDEX(Calc!$E:$E, MATCH("theta_max_deg", Calc!$C:$C, 0))), "OK", "CHECK"))</f>
        <v/>
      </c>
      <c r="I733" s="6">
        <f>IF($E733="","", INDEX(Calc!$E:$E, MATCH("D_vessel_m", Calc!$C:$C, 0)) - $E733 + $B733)</f>
        <v/>
      </c>
      <c r="J733" s="6">
        <f>IF($F733="","", INDEX(Calc!$E:$E, MATCH("D_vessel_m", Calc!$C:$C, 0)) - $F733 + $B733)</f>
        <v/>
      </c>
      <c r="K733" s="3">
        <f>IF(D733=0, "Even Keel", "")</f>
        <v/>
      </c>
    </row>
    <row r="734">
      <c r="A734" s="3">
        <f>IF(December_Tide_2025!A734="","",December_Tide_2025!A734)</f>
        <v/>
      </c>
      <c r="B734" s="6">
        <f>IF(December_Tide_2025!B734="","",December_Tide_2025!B734)</f>
        <v/>
      </c>
      <c r="C734" s="6">
        <f>IF($A734="","", INDEX(Calc!$E:$E, MATCH("KminusZ_m", Calc!$C:$C, 0)) + $B734 - INDEX(Calc!$E:$E, MATCH("L_ramp_m", Calc!$C:$C, 0)) * TAN(RADIANS(INDEX(Calc!$E:$E, MATCH("theta_max_deg", Calc!$C:$C, 0)))))</f>
        <v/>
      </c>
      <c r="D734" s="6" t="n"/>
      <c r="E734" s="6">
        <f>IF($C734="","", IF($D734="", $C734, $C734 - $D734/2))</f>
        <v/>
      </c>
      <c r="F734" s="6">
        <f>IF($C734="","", IF($D734="", $C734, $C734 + $D734/2))</f>
        <v/>
      </c>
      <c r="G734" s="6">
        <f>IF($E734="","", DEGREES(ATAN((INDEX(Calc!$E:$E, MATCH("KminusZ_m", Calc!$C:$C, 0)) - $E734 + $B734) / INDEX(Calc!$E:$E, MATCH("L_ramp_m", Calc!$C:$C, 0)))))</f>
        <v/>
      </c>
      <c r="H734" s="3">
        <f>IF($E734="","", IF(AND($E734&gt;=INDEX(Calc!$E:$E, MATCH("min_fwd_draft_m", Calc!$C:$C, 0)), $E734&lt;=INDEX(Calc!$E:$E, MATCH("max_fwd_draft_m", Calc!$C:$C, 0)), $G734&lt;=INDEX(Calc!$E:$E, MATCH("theta_max_deg", Calc!$C:$C, 0))), "OK", "CHECK"))</f>
        <v/>
      </c>
      <c r="I734" s="6">
        <f>IF($E734="","", INDEX(Calc!$E:$E, MATCH("D_vessel_m", Calc!$C:$C, 0)) - $E734 + $B734)</f>
        <v/>
      </c>
      <c r="J734" s="6">
        <f>IF($F734="","", INDEX(Calc!$E:$E, MATCH("D_vessel_m", Calc!$C:$C, 0)) - $F734 + $B734)</f>
        <v/>
      </c>
      <c r="K734" s="3">
        <f>IF(D734=0, "Even Keel", "")</f>
        <v/>
      </c>
    </row>
    <row r="735">
      <c r="A735" s="3">
        <f>IF(December_Tide_2025!A735="","",December_Tide_2025!A735)</f>
        <v/>
      </c>
      <c r="B735" s="6">
        <f>IF(December_Tide_2025!B735="","",December_Tide_2025!B735)</f>
        <v/>
      </c>
      <c r="C735" s="6">
        <f>IF($A735="","", INDEX(Calc!$E:$E, MATCH("KminusZ_m", Calc!$C:$C, 0)) + $B735 - INDEX(Calc!$E:$E, MATCH("L_ramp_m", Calc!$C:$C, 0)) * TAN(RADIANS(INDEX(Calc!$E:$E, MATCH("theta_max_deg", Calc!$C:$C, 0)))))</f>
        <v/>
      </c>
      <c r="D735" s="6" t="n"/>
      <c r="E735" s="6">
        <f>IF($C735="","", IF($D735="", $C735, $C735 - $D735/2))</f>
        <v/>
      </c>
      <c r="F735" s="6">
        <f>IF($C735="","", IF($D735="", $C735, $C735 + $D735/2))</f>
        <v/>
      </c>
      <c r="G735" s="6">
        <f>IF($E735="","", DEGREES(ATAN((INDEX(Calc!$E:$E, MATCH("KminusZ_m", Calc!$C:$C, 0)) - $E735 + $B735) / INDEX(Calc!$E:$E, MATCH("L_ramp_m", Calc!$C:$C, 0)))))</f>
        <v/>
      </c>
      <c r="H735" s="3">
        <f>IF($E735="","", IF(AND($E735&gt;=INDEX(Calc!$E:$E, MATCH("min_fwd_draft_m", Calc!$C:$C, 0)), $E735&lt;=INDEX(Calc!$E:$E, MATCH("max_fwd_draft_m", Calc!$C:$C, 0)), $G735&lt;=INDEX(Calc!$E:$E, MATCH("theta_max_deg", Calc!$C:$C, 0))), "OK", "CHECK"))</f>
        <v/>
      </c>
      <c r="I735" s="6">
        <f>IF($E735="","", INDEX(Calc!$E:$E, MATCH("D_vessel_m", Calc!$C:$C, 0)) - $E735 + $B735)</f>
        <v/>
      </c>
      <c r="J735" s="6">
        <f>IF($F735="","", INDEX(Calc!$E:$E, MATCH("D_vessel_m", Calc!$C:$C, 0)) - $F735 + $B735)</f>
        <v/>
      </c>
      <c r="K735" s="3">
        <f>IF(D735=0, "Even Keel", "")</f>
        <v/>
      </c>
    </row>
    <row r="736">
      <c r="A736" s="3">
        <f>IF(December_Tide_2025!A736="","",December_Tide_2025!A736)</f>
        <v/>
      </c>
      <c r="B736" s="6">
        <f>IF(December_Tide_2025!B736="","",December_Tide_2025!B736)</f>
        <v/>
      </c>
      <c r="C736" s="6">
        <f>IF($A736="","", INDEX(Calc!$E:$E, MATCH("KminusZ_m", Calc!$C:$C, 0)) + $B736 - INDEX(Calc!$E:$E, MATCH("L_ramp_m", Calc!$C:$C, 0)) * TAN(RADIANS(INDEX(Calc!$E:$E, MATCH("theta_max_deg", Calc!$C:$C, 0)))))</f>
        <v/>
      </c>
      <c r="D736" s="6" t="n"/>
      <c r="E736" s="6">
        <f>IF($C736="","", IF($D736="", $C736, $C736 - $D736/2))</f>
        <v/>
      </c>
      <c r="F736" s="6">
        <f>IF($C736="","", IF($D736="", $C736, $C736 + $D736/2))</f>
        <v/>
      </c>
      <c r="G736" s="6">
        <f>IF($E736="","", DEGREES(ATAN((INDEX(Calc!$E:$E, MATCH("KminusZ_m", Calc!$C:$C, 0)) - $E736 + $B736) / INDEX(Calc!$E:$E, MATCH("L_ramp_m", Calc!$C:$C, 0)))))</f>
        <v/>
      </c>
      <c r="H736" s="3">
        <f>IF($E736="","", IF(AND($E736&gt;=INDEX(Calc!$E:$E, MATCH("min_fwd_draft_m", Calc!$C:$C, 0)), $E736&lt;=INDEX(Calc!$E:$E, MATCH("max_fwd_draft_m", Calc!$C:$C, 0)), $G736&lt;=INDEX(Calc!$E:$E, MATCH("theta_max_deg", Calc!$C:$C, 0))), "OK", "CHECK"))</f>
        <v/>
      </c>
      <c r="I736" s="6">
        <f>IF($E736="","", INDEX(Calc!$E:$E, MATCH("D_vessel_m", Calc!$C:$C, 0)) - $E736 + $B736)</f>
        <v/>
      </c>
      <c r="J736" s="6">
        <f>IF($F736="","", INDEX(Calc!$E:$E, MATCH("D_vessel_m", Calc!$C:$C, 0)) - $F736 + $B736)</f>
        <v/>
      </c>
      <c r="K736" s="3">
        <f>IF(D736=0, "Even Keel", "")</f>
        <v/>
      </c>
    </row>
    <row r="737">
      <c r="A737" s="3">
        <f>IF(December_Tide_2025!A737="","",December_Tide_2025!A737)</f>
        <v/>
      </c>
      <c r="B737" s="6">
        <f>IF(December_Tide_2025!B737="","",December_Tide_2025!B737)</f>
        <v/>
      </c>
      <c r="C737" s="6">
        <f>IF($A737="","", INDEX(Calc!$E:$E, MATCH("KminusZ_m", Calc!$C:$C, 0)) + $B737 - INDEX(Calc!$E:$E, MATCH("L_ramp_m", Calc!$C:$C, 0)) * TAN(RADIANS(INDEX(Calc!$E:$E, MATCH("theta_max_deg", Calc!$C:$C, 0)))))</f>
        <v/>
      </c>
      <c r="D737" s="6" t="n"/>
      <c r="E737" s="6">
        <f>IF($C737="","", IF($D737="", $C737, $C737 - $D737/2))</f>
        <v/>
      </c>
      <c r="F737" s="6">
        <f>IF($C737="","", IF($D737="", $C737, $C737 + $D737/2))</f>
        <v/>
      </c>
      <c r="G737" s="6">
        <f>IF($E737="","", DEGREES(ATAN((INDEX(Calc!$E:$E, MATCH("KminusZ_m", Calc!$C:$C, 0)) - $E737 + $B737) / INDEX(Calc!$E:$E, MATCH("L_ramp_m", Calc!$C:$C, 0)))))</f>
        <v/>
      </c>
      <c r="H737" s="3">
        <f>IF($E737="","", IF(AND($E737&gt;=INDEX(Calc!$E:$E, MATCH("min_fwd_draft_m", Calc!$C:$C, 0)), $E737&lt;=INDEX(Calc!$E:$E, MATCH("max_fwd_draft_m", Calc!$C:$C, 0)), $G737&lt;=INDEX(Calc!$E:$E, MATCH("theta_max_deg", Calc!$C:$C, 0))), "OK", "CHECK"))</f>
        <v/>
      </c>
      <c r="I737" s="6">
        <f>IF($E737="","", INDEX(Calc!$E:$E, MATCH("D_vessel_m", Calc!$C:$C, 0)) - $E737 + $B737)</f>
        <v/>
      </c>
      <c r="J737" s="6">
        <f>IF($F737="","", INDEX(Calc!$E:$E, MATCH("D_vessel_m", Calc!$C:$C, 0)) - $F737 + $B737)</f>
        <v/>
      </c>
      <c r="K737" s="3">
        <f>IF(D737=0, "Even Keel", "")</f>
        <v/>
      </c>
    </row>
    <row r="738">
      <c r="A738" s="3">
        <f>IF(December_Tide_2025!A738="","",December_Tide_2025!A738)</f>
        <v/>
      </c>
      <c r="B738" s="6">
        <f>IF(December_Tide_2025!B738="","",December_Tide_2025!B738)</f>
        <v/>
      </c>
      <c r="C738" s="6">
        <f>IF($A738="","", INDEX(Calc!$E:$E, MATCH("KminusZ_m", Calc!$C:$C, 0)) + $B738 - INDEX(Calc!$E:$E, MATCH("L_ramp_m", Calc!$C:$C, 0)) * TAN(RADIANS(INDEX(Calc!$E:$E, MATCH("theta_max_deg", Calc!$C:$C, 0)))))</f>
        <v/>
      </c>
      <c r="D738" s="6" t="n"/>
      <c r="E738" s="6">
        <f>IF($C738="","", IF($D738="", $C738, $C738 - $D738/2))</f>
        <v/>
      </c>
      <c r="F738" s="6">
        <f>IF($C738="","", IF($D738="", $C738, $C738 + $D738/2))</f>
        <v/>
      </c>
      <c r="G738" s="6">
        <f>IF($E738="","", DEGREES(ATAN((INDEX(Calc!$E:$E, MATCH("KminusZ_m", Calc!$C:$C, 0)) - $E738 + $B738) / INDEX(Calc!$E:$E, MATCH("L_ramp_m", Calc!$C:$C, 0)))))</f>
        <v/>
      </c>
      <c r="H738" s="3">
        <f>IF($E738="","", IF(AND($E738&gt;=INDEX(Calc!$E:$E, MATCH("min_fwd_draft_m", Calc!$C:$C, 0)), $E738&lt;=INDEX(Calc!$E:$E, MATCH("max_fwd_draft_m", Calc!$C:$C, 0)), $G738&lt;=INDEX(Calc!$E:$E, MATCH("theta_max_deg", Calc!$C:$C, 0))), "OK", "CHECK"))</f>
        <v/>
      </c>
      <c r="I738" s="6">
        <f>IF($E738="","", INDEX(Calc!$E:$E, MATCH("D_vessel_m", Calc!$C:$C, 0)) - $E738 + $B738)</f>
        <v/>
      </c>
      <c r="J738" s="6">
        <f>IF($F738="","", INDEX(Calc!$E:$E, MATCH("D_vessel_m", Calc!$C:$C, 0)) - $F738 + $B738)</f>
        <v/>
      </c>
      <c r="K738" s="3">
        <f>IF(D738=0, "Even Keel", "")</f>
        <v/>
      </c>
    </row>
    <row r="739">
      <c r="A739" s="3">
        <f>IF(December_Tide_2025!A739="","",December_Tide_2025!A739)</f>
        <v/>
      </c>
      <c r="B739" s="6">
        <f>IF(December_Tide_2025!B739="","",December_Tide_2025!B739)</f>
        <v/>
      </c>
      <c r="C739" s="6">
        <f>IF($A739="","", INDEX(Calc!$E:$E, MATCH("KminusZ_m", Calc!$C:$C, 0)) + $B739 - INDEX(Calc!$E:$E, MATCH("L_ramp_m", Calc!$C:$C, 0)) * TAN(RADIANS(INDEX(Calc!$E:$E, MATCH("theta_max_deg", Calc!$C:$C, 0)))))</f>
        <v/>
      </c>
      <c r="D739" s="6" t="n"/>
      <c r="E739" s="6">
        <f>IF($C739="","", IF($D739="", $C739, $C739 - $D739/2))</f>
        <v/>
      </c>
      <c r="F739" s="6">
        <f>IF($C739="","", IF($D739="", $C739, $C739 + $D739/2))</f>
        <v/>
      </c>
      <c r="G739" s="6">
        <f>IF($E739="","", DEGREES(ATAN((INDEX(Calc!$E:$E, MATCH("KminusZ_m", Calc!$C:$C, 0)) - $E739 + $B739) / INDEX(Calc!$E:$E, MATCH("L_ramp_m", Calc!$C:$C, 0)))))</f>
        <v/>
      </c>
      <c r="H739" s="3">
        <f>IF($E739="","", IF(AND($E739&gt;=INDEX(Calc!$E:$E, MATCH("min_fwd_draft_m", Calc!$C:$C, 0)), $E739&lt;=INDEX(Calc!$E:$E, MATCH("max_fwd_draft_m", Calc!$C:$C, 0)), $G739&lt;=INDEX(Calc!$E:$E, MATCH("theta_max_deg", Calc!$C:$C, 0))), "OK", "CHECK"))</f>
        <v/>
      </c>
      <c r="I739" s="6">
        <f>IF($E739="","", INDEX(Calc!$E:$E, MATCH("D_vessel_m", Calc!$C:$C, 0)) - $E739 + $B739)</f>
        <v/>
      </c>
      <c r="J739" s="6">
        <f>IF($F739="","", INDEX(Calc!$E:$E, MATCH("D_vessel_m", Calc!$C:$C, 0)) - $F739 + $B739)</f>
        <v/>
      </c>
      <c r="K739" s="3">
        <f>IF(D739=0, "Even Keel", "")</f>
        <v/>
      </c>
    </row>
    <row r="740">
      <c r="A740" s="3">
        <f>IF(December_Tide_2025!A740="","",December_Tide_2025!A740)</f>
        <v/>
      </c>
      <c r="B740" s="6">
        <f>IF(December_Tide_2025!B740="","",December_Tide_2025!B740)</f>
        <v/>
      </c>
      <c r="C740" s="6">
        <f>IF($A740="","", INDEX(Calc!$E:$E, MATCH("KminusZ_m", Calc!$C:$C, 0)) + $B740 - INDEX(Calc!$E:$E, MATCH("L_ramp_m", Calc!$C:$C, 0)) * TAN(RADIANS(INDEX(Calc!$E:$E, MATCH("theta_max_deg", Calc!$C:$C, 0)))))</f>
        <v/>
      </c>
      <c r="D740" s="6" t="n"/>
      <c r="E740" s="6">
        <f>IF($C740="","", IF($D740="", $C740, $C740 - $D740/2))</f>
        <v/>
      </c>
      <c r="F740" s="6">
        <f>IF($C740="","", IF($D740="", $C740, $C740 + $D740/2))</f>
        <v/>
      </c>
      <c r="G740" s="6">
        <f>IF($E740="","", DEGREES(ATAN((INDEX(Calc!$E:$E, MATCH("KminusZ_m", Calc!$C:$C, 0)) - $E740 + $B740) / INDEX(Calc!$E:$E, MATCH("L_ramp_m", Calc!$C:$C, 0)))))</f>
        <v/>
      </c>
      <c r="H740" s="3">
        <f>IF($E740="","", IF(AND($E740&gt;=INDEX(Calc!$E:$E, MATCH("min_fwd_draft_m", Calc!$C:$C, 0)), $E740&lt;=INDEX(Calc!$E:$E, MATCH("max_fwd_draft_m", Calc!$C:$C, 0)), $G740&lt;=INDEX(Calc!$E:$E, MATCH("theta_max_deg", Calc!$C:$C, 0))), "OK", "CHECK"))</f>
        <v/>
      </c>
      <c r="I740" s="6">
        <f>IF($E740="","", INDEX(Calc!$E:$E, MATCH("D_vessel_m", Calc!$C:$C, 0)) - $E740 + $B740)</f>
        <v/>
      </c>
      <c r="J740" s="6">
        <f>IF($F740="","", INDEX(Calc!$E:$E, MATCH("D_vessel_m", Calc!$C:$C, 0)) - $F740 + $B740)</f>
        <v/>
      </c>
      <c r="K740" s="3">
        <f>IF(D740=0, "Even Keel", "")</f>
        <v/>
      </c>
    </row>
    <row r="741">
      <c r="A741" s="3">
        <f>IF(December_Tide_2025!A741="","",December_Tide_2025!A741)</f>
        <v/>
      </c>
      <c r="B741" s="6">
        <f>IF(December_Tide_2025!B741="","",December_Tide_2025!B741)</f>
        <v/>
      </c>
      <c r="C741" s="6">
        <f>IF($A741="","", INDEX(Calc!$E:$E, MATCH("KminusZ_m", Calc!$C:$C, 0)) + $B741 - INDEX(Calc!$E:$E, MATCH("L_ramp_m", Calc!$C:$C, 0)) * TAN(RADIANS(INDEX(Calc!$E:$E, MATCH("theta_max_deg", Calc!$C:$C, 0)))))</f>
        <v/>
      </c>
      <c r="D741" s="6" t="n"/>
      <c r="E741" s="6">
        <f>IF($C741="","", IF($D741="", $C741, $C741 - $D741/2))</f>
        <v/>
      </c>
      <c r="F741" s="6">
        <f>IF($C741="","", IF($D741="", $C741, $C741 + $D741/2))</f>
        <v/>
      </c>
      <c r="G741" s="6">
        <f>IF($E741="","", DEGREES(ATAN((INDEX(Calc!$E:$E, MATCH("KminusZ_m", Calc!$C:$C, 0)) - $E741 + $B741) / INDEX(Calc!$E:$E, MATCH("L_ramp_m", Calc!$C:$C, 0)))))</f>
        <v/>
      </c>
      <c r="H741" s="3">
        <f>IF($E741="","", IF(AND($E741&gt;=INDEX(Calc!$E:$E, MATCH("min_fwd_draft_m", Calc!$C:$C, 0)), $E741&lt;=INDEX(Calc!$E:$E, MATCH("max_fwd_draft_m", Calc!$C:$C, 0)), $G741&lt;=INDEX(Calc!$E:$E, MATCH("theta_max_deg", Calc!$C:$C, 0))), "OK", "CHECK"))</f>
        <v/>
      </c>
      <c r="I741" s="6">
        <f>IF($E741="","", INDEX(Calc!$E:$E, MATCH("D_vessel_m", Calc!$C:$C, 0)) - $E741 + $B741)</f>
        <v/>
      </c>
      <c r="J741" s="6">
        <f>IF($F741="","", INDEX(Calc!$E:$E, MATCH("D_vessel_m", Calc!$C:$C, 0)) - $F741 + $B741)</f>
        <v/>
      </c>
      <c r="K741" s="3">
        <f>IF(D741=0, "Even Keel", "")</f>
        <v/>
      </c>
    </row>
    <row r="742">
      <c r="A742" s="3">
        <f>IF(December_Tide_2025!A742="","",December_Tide_2025!A742)</f>
        <v/>
      </c>
      <c r="B742" s="6">
        <f>IF(December_Tide_2025!B742="","",December_Tide_2025!B742)</f>
        <v/>
      </c>
      <c r="C742" s="6">
        <f>IF($A742="","", INDEX(Calc!$E:$E, MATCH("KminusZ_m", Calc!$C:$C, 0)) + $B742 - INDEX(Calc!$E:$E, MATCH("L_ramp_m", Calc!$C:$C, 0)) * TAN(RADIANS(INDEX(Calc!$E:$E, MATCH("theta_max_deg", Calc!$C:$C, 0)))))</f>
        <v/>
      </c>
      <c r="D742" s="6" t="n"/>
      <c r="E742" s="6">
        <f>IF($C742="","", IF($D742="", $C742, $C742 - $D742/2))</f>
        <v/>
      </c>
      <c r="F742" s="6">
        <f>IF($C742="","", IF($D742="", $C742, $C742 + $D742/2))</f>
        <v/>
      </c>
      <c r="G742" s="6">
        <f>IF($E742="","", DEGREES(ATAN((INDEX(Calc!$E:$E, MATCH("KminusZ_m", Calc!$C:$C, 0)) - $E742 + $B742) / INDEX(Calc!$E:$E, MATCH("L_ramp_m", Calc!$C:$C, 0)))))</f>
        <v/>
      </c>
      <c r="H742" s="3">
        <f>IF($E742="","", IF(AND($E742&gt;=INDEX(Calc!$E:$E, MATCH("min_fwd_draft_m", Calc!$C:$C, 0)), $E742&lt;=INDEX(Calc!$E:$E, MATCH("max_fwd_draft_m", Calc!$C:$C, 0)), $G742&lt;=INDEX(Calc!$E:$E, MATCH("theta_max_deg", Calc!$C:$C, 0))), "OK", "CHECK"))</f>
        <v/>
      </c>
      <c r="I742" s="6">
        <f>IF($E742="","", INDEX(Calc!$E:$E, MATCH("D_vessel_m", Calc!$C:$C, 0)) - $E742 + $B742)</f>
        <v/>
      </c>
      <c r="J742" s="6">
        <f>IF($F742="","", INDEX(Calc!$E:$E, MATCH("D_vessel_m", Calc!$C:$C, 0)) - $F742 + $B742)</f>
        <v/>
      </c>
      <c r="K742" s="3">
        <f>IF(D742=0, "Even Keel", "")</f>
        <v/>
      </c>
    </row>
    <row r="743">
      <c r="A743" s="3">
        <f>IF(December_Tide_2025!A743="","",December_Tide_2025!A743)</f>
        <v/>
      </c>
      <c r="B743" s="6">
        <f>IF(December_Tide_2025!B743="","",December_Tide_2025!B743)</f>
        <v/>
      </c>
      <c r="C743" s="6">
        <f>IF($A743="","", INDEX(Calc!$E:$E, MATCH("KminusZ_m", Calc!$C:$C, 0)) + $B743 - INDEX(Calc!$E:$E, MATCH("L_ramp_m", Calc!$C:$C, 0)) * TAN(RADIANS(INDEX(Calc!$E:$E, MATCH("theta_max_deg", Calc!$C:$C, 0)))))</f>
        <v/>
      </c>
      <c r="D743" s="6" t="n"/>
      <c r="E743" s="6">
        <f>IF($C743="","", IF($D743="", $C743, $C743 - $D743/2))</f>
        <v/>
      </c>
      <c r="F743" s="6">
        <f>IF($C743="","", IF($D743="", $C743, $C743 + $D743/2))</f>
        <v/>
      </c>
      <c r="G743" s="6">
        <f>IF($E743="","", DEGREES(ATAN((INDEX(Calc!$E:$E, MATCH("KminusZ_m", Calc!$C:$C, 0)) - $E743 + $B743) / INDEX(Calc!$E:$E, MATCH("L_ramp_m", Calc!$C:$C, 0)))))</f>
        <v/>
      </c>
      <c r="H743" s="3">
        <f>IF($E743="","", IF(AND($E743&gt;=INDEX(Calc!$E:$E, MATCH("min_fwd_draft_m", Calc!$C:$C, 0)), $E743&lt;=INDEX(Calc!$E:$E, MATCH("max_fwd_draft_m", Calc!$C:$C, 0)), $G743&lt;=INDEX(Calc!$E:$E, MATCH("theta_max_deg", Calc!$C:$C, 0))), "OK", "CHECK"))</f>
        <v/>
      </c>
      <c r="I743" s="6">
        <f>IF($E743="","", INDEX(Calc!$E:$E, MATCH("D_vessel_m", Calc!$C:$C, 0)) - $E743 + $B743)</f>
        <v/>
      </c>
      <c r="J743" s="6">
        <f>IF($F743="","", INDEX(Calc!$E:$E, MATCH("D_vessel_m", Calc!$C:$C, 0)) - $F743 + $B743)</f>
        <v/>
      </c>
      <c r="K743" s="3">
        <f>IF(D743=0, "Even Keel", "")</f>
        <v/>
      </c>
    </row>
    <row r="744">
      <c r="A744" s="3">
        <f>IF(December_Tide_2025!A744="","",December_Tide_2025!A744)</f>
        <v/>
      </c>
      <c r="B744" s="6">
        <f>IF(December_Tide_2025!B744="","",December_Tide_2025!B744)</f>
        <v/>
      </c>
      <c r="C744" s="6">
        <f>IF($A744="","", INDEX(Calc!$E:$E, MATCH("KminusZ_m", Calc!$C:$C, 0)) + $B744 - INDEX(Calc!$E:$E, MATCH("L_ramp_m", Calc!$C:$C, 0)) * TAN(RADIANS(INDEX(Calc!$E:$E, MATCH("theta_max_deg", Calc!$C:$C, 0)))))</f>
        <v/>
      </c>
      <c r="D744" s="6" t="n"/>
      <c r="E744" s="6">
        <f>IF($C744="","", IF($D744="", $C744, $C744 - $D744/2))</f>
        <v/>
      </c>
      <c r="F744" s="6">
        <f>IF($C744="","", IF($D744="", $C744, $C744 + $D744/2))</f>
        <v/>
      </c>
      <c r="G744" s="6">
        <f>IF($E744="","", DEGREES(ATAN((INDEX(Calc!$E:$E, MATCH("KminusZ_m", Calc!$C:$C, 0)) - $E744 + $B744) / INDEX(Calc!$E:$E, MATCH("L_ramp_m", Calc!$C:$C, 0)))))</f>
        <v/>
      </c>
      <c r="H744" s="3">
        <f>IF($E744="","", IF(AND($E744&gt;=INDEX(Calc!$E:$E, MATCH("min_fwd_draft_m", Calc!$C:$C, 0)), $E744&lt;=INDEX(Calc!$E:$E, MATCH("max_fwd_draft_m", Calc!$C:$C, 0)), $G744&lt;=INDEX(Calc!$E:$E, MATCH("theta_max_deg", Calc!$C:$C, 0))), "OK", "CHECK"))</f>
        <v/>
      </c>
      <c r="I744" s="6">
        <f>IF($E744="","", INDEX(Calc!$E:$E, MATCH("D_vessel_m", Calc!$C:$C, 0)) - $E744 + $B744)</f>
        <v/>
      </c>
      <c r="J744" s="6">
        <f>IF($F744="","", INDEX(Calc!$E:$E, MATCH("D_vessel_m", Calc!$C:$C, 0)) - $F744 + $B744)</f>
        <v/>
      </c>
      <c r="K744" s="3">
        <f>IF(D744=0, "Even Keel", "")</f>
        <v/>
      </c>
    </row>
    <row r="745">
      <c r="A745" s="3">
        <f>IF(December_Tide_2025!A745="","",December_Tide_2025!A745)</f>
        <v/>
      </c>
      <c r="B745" s="6">
        <f>IF(December_Tide_2025!B745="","",December_Tide_2025!B745)</f>
        <v/>
      </c>
      <c r="C745" s="6">
        <f>IF($A745="","", INDEX(Calc!$E:$E, MATCH("KminusZ_m", Calc!$C:$C, 0)) + $B745 - INDEX(Calc!$E:$E, MATCH("L_ramp_m", Calc!$C:$C, 0)) * TAN(RADIANS(INDEX(Calc!$E:$E, MATCH("theta_max_deg", Calc!$C:$C, 0)))))</f>
        <v/>
      </c>
      <c r="D745" s="6" t="n"/>
      <c r="E745" s="6">
        <f>IF($C745="","", IF($D745="", $C745, $C745 - $D745/2))</f>
        <v/>
      </c>
      <c r="F745" s="6">
        <f>IF($C745="","", IF($D745="", $C745, $C745 + $D745/2))</f>
        <v/>
      </c>
      <c r="G745" s="6">
        <f>IF($E745="","", DEGREES(ATAN((INDEX(Calc!$E:$E, MATCH("KminusZ_m", Calc!$C:$C, 0)) - $E745 + $B745) / INDEX(Calc!$E:$E, MATCH("L_ramp_m", Calc!$C:$C, 0)))))</f>
        <v/>
      </c>
      <c r="H745" s="3">
        <f>IF($E745="","", IF(AND($E745&gt;=INDEX(Calc!$E:$E, MATCH("min_fwd_draft_m", Calc!$C:$C, 0)), $E745&lt;=INDEX(Calc!$E:$E, MATCH("max_fwd_draft_m", Calc!$C:$C, 0)), $G745&lt;=INDEX(Calc!$E:$E, MATCH("theta_max_deg", Calc!$C:$C, 0))), "OK", "CHECK"))</f>
        <v/>
      </c>
      <c r="I745" s="6">
        <f>IF($E745="","", INDEX(Calc!$E:$E, MATCH("D_vessel_m", Calc!$C:$C, 0)) - $E745 + $B745)</f>
        <v/>
      </c>
      <c r="J745" s="6">
        <f>IF($F745="","", INDEX(Calc!$E:$E, MATCH("D_vessel_m", Calc!$C:$C, 0)) - $F745 + $B745)</f>
        <v/>
      </c>
      <c r="K745" s="3">
        <f>IF(D745=0, "Even Keel",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0" customWidth="1" min="5" max="5"/>
    <col width="9" customWidth="1" min="6" max="6"/>
    <col width="13" customWidth="1" min="7" max="7"/>
    <col width="12" customWidth="1" min="8" max="8"/>
    <col width="11" customWidth="1" min="9" max="9"/>
    <col width="13" customWidth="1" min="10" max="10"/>
    <col width="15" customWidth="1" min="11" max="11"/>
    <col width="11" customWidth="1" min="12" max="12"/>
    <col width="15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40" customWidth="1" min="19" max="19"/>
    <col width="10" customWidth="1" min="21" max="21"/>
    <col width="10" customWidth="1" min="22" max="22"/>
    <col width="10" customWidth="1" min="23" max="23"/>
    <col width="12" customWidth="1" min="24" max="24"/>
    <col width="12" customWidth="1" min="25" max="25"/>
    <col width="14" customWidth="1" min="26" max="26"/>
    <col width="12" customWidth="1" min="27" max="27"/>
    <col width="10" customWidth="1" min="28" max="28"/>
    <col width="10" customWidth="1" min="29" max="29"/>
    <col width="12" customWidth="1" min="30" max="30"/>
    <col width="12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" customWidth="1" min="49" max="49"/>
    <col width="11" customWidth="1" min="50" max="50"/>
    <col width="15" customWidth="1" min="51" max="51"/>
    <col width="11" customWidth="1" min="52" max="52"/>
    <col width="15" customWidth="1" min="53" max="53"/>
    <col width="12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1" t="inlineStr">
        <is>
          <t>RORO Stage Scenarios – Option C (Target 240cm Safe Margin)</t>
        </is>
      </c>
    </row>
    <row r="2">
      <c r="C2" s="3" t="inlineStr">
        <is>
          <t>← Input parameter(yellow cellls only)</t>
        </is>
      </c>
    </row>
    <row r="3"/>
    <row r="4">
      <c r="A4" s="3" t="inlineStr">
        <is>
          <t>1.Critical Stage Verification: Trim &amp; Draft Status Sequence</t>
        </is>
      </c>
      <c r="F4" s="3" t="inlineStr">
        <is>
          <t>2. Stage Sequence Table</t>
        </is>
      </c>
    </row>
    <row r="5">
      <c r="A5" s="7" t="inlineStr">
        <is>
          <t>Parameter</t>
        </is>
      </c>
      <c r="B5" s="7" t="inlineStr">
        <is>
          <t>Value</t>
        </is>
      </c>
      <c r="C5" s="7" t="inlineStr">
        <is>
          <t>Unit</t>
        </is>
      </c>
      <c r="D5" s="7" t="inlineStr">
        <is>
          <t>REMARK</t>
        </is>
      </c>
      <c r="F5" s="7" t="inlineStr">
        <is>
          <t>Stage</t>
        </is>
      </c>
      <c r="G5" s="7" t="inlineStr">
        <is>
          <t>EXPLANATION</t>
        </is>
      </c>
      <c r="O5" s="7" t="inlineStr">
        <is>
          <t>Fwd Draft (m)</t>
        </is>
      </c>
      <c r="P5" s="7" t="inlineStr">
        <is>
          <t>Freeboard (m)</t>
        </is>
      </c>
      <c r="Q5" s="7" t="inlineStr">
        <is>
          <t>Aft Draft (m)</t>
        </is>
      </c>
      <c r="R5" s="7" t="inlineStr">
        <is>
          <t>Status Assessment</t>
        </is>
      </c>
    </row>
    <row r="6">
      <c r="A6" t="inlineStr">
        <is>
          <t>Tmean_baseline</t>
        </is>
      </c>
      <c r="B6" s="8" t="n">
        <v>3.268146718146718</v>
      </c>
      <c r="C6" s="3" t="inlineStr">
        <is>
          <t>m</t>
        </is>
      </c>
      <c r="D6" s="3" t="inlineStr">
        <is>
          <t>Baseline mean draft (from hydro table)</t>
        </is>
      </c>
      <c r="F6" s="3" t="inlineStr">
        <is>
          <t>Stage 1</t>
        </is>
      </c>
      <c r="G6" s="4" t="inlineStr">
        <is>
          <t>Arrival lightship condition. Baseline drafts, trim, and GM are checked before any cargo loading or ballast change.</t>
        </is>
      </c>
    </row>
    <row r="7">
      <c r="A7" t="inlineStr">
        <is>
          <t>Forecast_Tide_m</t>
        </is>
      </c>
      <c r="B7" s="8" t="n">
        <v>2</v>
      </c>
      <c r="C7" s="3" t="inlineStr">
        <is>
          <t>m</t>
        </is>
      </c>
      <c r="D7" s="3" t="inlineStr">
        <is>
          <t>Forecast tide level (CD). NOT Required_WL_m.</t>
        </is>
      </c>
      <c r="F7" s="3" t="inlineStr">
        <is>
          <t>Stage 2</t>
        </is>
      </c>
      <c r="G7" s="4" t="inlineStr">
        <is>
          <t>TR1 roll-on start – first axle on the ramp. Initial bow-down trim response is checked against allowable draft and freeboard limits.</t>
        </is>
      </c>
    </row>
    <row r="8">
      <c r="A8" t="inlineStr">
        <is>
          <t>Trim_target_cm</t>
        </is>
      </c>
      <c r="B8" s="8" t="n">
        <v>10</v>
      </c>
      <c r="C8" s="3" t="inlineStr">
        <is>
          <t>cm</t>
        </is>
      </c>
      <c r="D8" s="3" t="inlineStr">
        <is>
          <t>Target trim</t>
        </is>
      </c>
      <c r="F8" s="3" t="inlineStr">
        <is>
          <t>Stage 3</t>
        </is>
      </c>
      <c r="G8" s="4" t="inlineStr">
        <is>
          <t>TR1 mid-ramp – transformer COG on the ramp. Progressive bow-down trim is monitored to remain within the allowable envelope.</t>
        </is>
      </c>
    </row>
    <row r="9">
      <c r="A9" t="inlineStr">
        <is>
          <t>MTC</t>
        </is>
      </c>
      <c r="B9" s="8">
        <f>INDEX(Calc!$E:$E, MATCH("MTC_t_m_per_cm", Calc!$C:$C, 0))</f>
        <v/>
      </c>
      <c r="C9" s="3" t="inlineStr">
        <is>
          <t>t·m/cm</t>
        </is>
      </c>
      <c r="D9" s="3" t="inlineStr">
        <is>
          <t>Moment to change trim</t>
        </is>
      </c>
      <c r="F9" s="3" t="inlineStr">
        <is>
          <t>Stage 4</t>
        </is>
      </c>
      <c r="G9" s="4" t="inlineStr">
        <is>
          <t>TR1 fully on deck. Weight is completely transferred from ramp to vessel deck; deck loading, ramp condition, drafts, and trim are verified.</t>
        </is>
      </c>
    </row>
    <row r="10">
      <c r="A10" t="inlineStr">
        <is>
          <t>LCF</t>
        </is>
      </c>
      <c r="B10" s="8">
        <f>Calc!$E$15</f>
        <v/>
      </c>
      <c r="C10" s="3" t="inlineStr">
        <is>
          <t>m</t>
        </is>
      </c>
      <c r="D10" s="3" t="inlineStr">
        <is>
          <t>Longitudinal center of flotation (from midship, for TM calculation)</t>
        </is>
      </c>
      <c r="F10" s="3" t="inlineStr">
        <is>
          <t>Stage 5</t>
        </is>
      </c>
      <c r="G10" s="4" t="inlineStr">
        <is>
          <t>TR1 secured at final aft stowage position (around Fr.42). New reference condition with TR1 only on board, used as the basis for D-1 stern pre-ballasting using FW2 (Fr.0–6, aft).</t>
        </is>
      </c>
    </row>
    <row r="11">
      <c r="A11" t="inlineStr">
        <is>
          <t>D_vessel</t>
        </is>
      </c>
      <c r="B11" s="8" t="n">
        <v>3.65</v>
      </c>
      <c r="C11" s="3" t="inlineStr">
        <is>
          <t>m</t>
        </is>
      </c>
      <c r="D11" s="3" t="inlineStr">
        <is>
          <t>Vessel depth</t>
        </is>
      </c>
      <c r="F11" s="3" t="inlineStr">
        <is>
          <t>Stage 5_PreBallast</t>
        </is>
      </c>
      <c r="G11" s="4" t="inlineStr">
        <is>
          <t>Pre-ballast condition with TR1 only on board (D-1, using shore water). An intentional stern trim is set using the aft FW2 fresh water tanks (Fr.0–6, AFT, Ballast CG near FR 3.0) so that the bow-down trimming moment of TR2 at ramp entry is counterbalanced and the forward draft remains within the 2.70 m AGI limit without any major dynamic ballasting during the critical RORO operation on D-day.</t>
        </is>
      </c>
    </row>
    <row r="12">
      <c r="A12" t="inlineStr">
        <is>
          <t>TPC</t>
        </is>
      </c>
      <c r="B12" s="8">
        <f>INDEX(Calc!$E:$E, MATCH("TPC_t_per_cm", Calc!$C:$C, 0))</f>
        <v/>
      </c>
      <c r="C12" s="3" t="inlineStr">
        <is>
          <t>t/cm</t>
        </is>
      </c>
      <c r="D12" s="3" t="inlineStr">
        <is>
          <t>Tons per centimeter</t>
        </is>
      </c>
      <c r="F12" s="3" t="inlineStr">
        <is>
          <t>Stage 6A_Critical (Opt C)</t>
        </is>
      </c>
      <c r="G12" s="4" t="inlineStr">
        <is>
          <t>Critical TR2 ramp-entry condition on D-day with the D-1 stern pre-ballast (FW2, Fr.0–6) kept fixed. This stage is used to check worst-case forward draft against the 2.70 m limit, trim envelope, GM criteria, and ramp/linkspan clearance under combined TR1+TR2 loading.</t>
        </is>
      </c>
    </row>
    <row r="13">
      <c r="A13" t="inlineStr">
        <is>
          <t>pump_rate_effective_tph</t>
        </is>
      </c>
      <c r="B13" s="8">
        <f>INDEX(Calc!$E:$E, MATCH("pump_rate_effective_tph", Calc!$C:$C, 0))</f>
        <v/>
      </c>
      <c r="C13" s="3" t="inlineStr">
        <is>
          <t>t/h</t>
        </is>
      </c>
      <c r="D13" s="3" t="inlineStr">
        <is>
          <t>Effective pump rate</t>
        </is>
      </c>
      <c r="F13" s="3" t="inlineStr">
        <is>
          <t>Stage 6C_TotalMassOpt</t>
        </is>
      </c>
      <c r="G13" s="4" t="inlineStr">
        <is>
          <t>Alternative "total mass optimized" final condition with TR1 and TR2 on deck and higher combined cargo+ballast weight. Sensitivity case to assess maximum displacement effects on drafts, trim, GM and freeboard.</t>
        </is>
      </c>
    </row>
    <row r="14">
      <c r="A14" t="inlineStr">
        <is>
          <t>X_Ballast</t>
        </is>
      </c>
      <c r="B14" s="8" t="n">
        <v>0.119</v>
      </c>
      <c r="C14" s="3" t="inlineStr">
        <is>
          <t>m</t>
        </is>
      </c>
      <c r="D14" s="3" t="inlineStr">
        <is>
          <t>Ballast center position (from AP, Stern FW2)</t>
        </is>
      </c>
      <c r="F14" s="3" t="inlineStr">
        <is>
          <t>Stage 6C</t>
        </is>
      </c>
      <c r="G14" s="4" t="inlineStr">
        <is>
          <t>Planned final stowage condition with TR1 and TR2 secured on deck and ballast as per departure plan. Main departure case for checking GM, trim and freeboard criteria.</t>
        </is>
      </c>
    </row>
    <row r="15">
      <c r="A15" t="inlineStr">
        <is>
          <t>Lpp</t>
        </is>
      </c>
      <c r="B15" s="8" t="n">
        <v>60.302</v>
      </c>
      <c r="C15" s="3" t="inlineStr">
        <is>
          <t>m</t>
        </is>
      </c>
      <c r="D15" s="3" t="inlineStr">
        <is>
          <t>Length between perpendiculars</t>
        </is>
      </c>
      <c r="F15" s="3" t="inlineStr">
        <is>
          <t>Stage 7</t>
        </is>
      </c>
      <c r="G15" s="4" t="inlineStr">
        <is>
          <t>Post-operation lightship/reference condition after cargo is discharged. Used to reconfirm hydrostatic characteristics and GM consistency against Stage 1.</t>
        </is>
      </c>
    </row>
    <row r="16"/>
    <row r="17">
      <c r="A17" s="3" t="inlineStr">
        <is>
          <t>4. Ballast Water Optimization Matrix &amp; Safety Margins (Auto Pre-ballast)</t>
        </is>
      </c>
    </row>
    <row r="18">
      <c r="A18" s="7" t="inlineStr">
        <is>
          <t>Stage</t>
        </is>
      </c>
      <c r="B18" s="7" t="inlineStr">
        <is>
          <t>W_stage_t</t>
        </is>
      </c>
      <c r="C18" s="7" t="inlineStr">
        <is>
          <t>Fr_stage</t>
        </is>
      </c>
      <c r="D18" s="7" t="inlineStr">
        <is>
          <t>x_stage_m</t>
        </is>
      </c>
      <c r="E18" s="7" t="inlineStr">
        <is>
          <t>TM (t·m)</t>
        </is>
      </c>
      <c r="F18" s="7" t="inlineStr">
        <is>
          <t>Trim_cm</t>
        </is>
      </c>
      <c r="G18" s="7" t="inlineStr">
        <is>
          <t>FWD_precise_m</t>
        </is>
      </c>
      <c r="H18" s="7" t="inlineStr">
        <is>
          <t>AFT_precise_m</t>
        </is>
      </c>
      <c r="I18" s="7" t="inlineStr">
        <is>
          <t>ΔTM_cm_tm</t>
        </is>
      </c>
      <c r="J18" s="7" t="inlineStr">
        <is>
          <t>Lever_arm_m</t>
        </is>
      </c>
      <c r="K18" s="7" t="inlineStr">
        <is>
          <t>Ballast_t_calc</t>
        </is>
      </c>
      <c r="L18" s="7" t="inlineStr">
        <is>
          <t>Ballast_time_h_calc</t>
        </is>
      </c>
      <c r="M18" s="7" t="inlineStr">
        <is>
          <t>Ballast_t</t>
        </is>
      </c>
      <c r="N18" s="7" t="inlineStr">
        <is>
          <t>Ballast_time_h</t>
        </is>
      </c>
      <c r="O18" s="7" t="inlineStr">
        <is>
          <t>Trim_Check</t>
        </is>
      </c>
      <c r="P18" s="7" t="inlineStr">
        <is>
          <t>Dfwd_m</t>
        </is>
      </c>
      <c r="Q18" s="7" t="inlineStr">
        <is>
          <t>Daft_m</t>
        </is>
      </c>
      <c r="R18" s="7" t="inlineStr">
        <is>
          <t>Trim_target_stage_cm</t>
        </is>
      </c>
      <c r="S18" s="7" t="inlineStr">
        <is>
          <t>FWD_DeckElev_CD_m</t>
        </is>
      </c>
      <c r="T18" s="7" t="inlineStr">
        <is>
          <t>AFT_DeckElev_CD_m</t>
        </is>
      </c>
      <c r="U18" s="2" t="inlineStr">
        <is>
          <t>GM(m)</t>
        </is>
      </c>
      <c r="V18" s="2" t="inlineStr">
        <is>
          <t>Fwd Draft(m)</t>
        </is>
      </c>
      <c r="W18" s="2" t="inlineStr">
        <is>
          <t>vs 2.70m</t>
        </is>
      </c>
      <c r="X18" s="2" t="inlineStr">
        <is>
          <t>De-ballast Qty(t)</t>
        </is>
      </c>
      <c r="Y18" s="2" t="inlineStr">
        <is>
          <t>Timing</t>
        </is>
      </c>
      <c r="Z18" s="2" t="inlineStr">
        <is>
          <t>Phys_Freeboard_m</t>
        </is>
      </c>
      <c r="AA18" s="2" t="inlineStr">
        <is>
          <t>Clearance_Check</t>
        </is>
      </c>
      <c r="AB18" s="2" t="inlineStr">
        <is>
          <t>GM_calc</t>
        </is>
      </c>
      <c r="AC18" s="2" t="inlineStr">
        <is>
          <t>GM_Check</t>
        </is>
      </c>
      <c r="AD18" s="2" t="inlineStr">
        <is>
          <t>Disp_total_t</t>
        </is>
      </c>
      <c r="AE18" s="2" t="inlineStr">
        <is>
          <t>Vent_Time_h</t>
        </is>
      </c>
      <c r="AF18" s="7" t="inlineStr">
        <is>
          <t>Trim_gate_cm</t>
        </is>
      </c>
      <c r="AG18" s="7" t="inlineStr">
        <is>
          <t>Gate_Ballast_net_t</t>
        </is>
      </c>
      <c r="AH18" s="7" t="inlineStr">
        <is>
          <t>Dfwd_gate_m</t>
        </is>
      </c>
      <c r="AI18" s="7" t="inlineStr">
        <is>
          <t>Gate_iter_n</t>
        </is>
      </c>
      <c r="AJ18" s="7" t="inlineStr">
        <is>
          <t>Gate_Flag</t>
        </is>
      </c>
      <c r="AK18" s="9" t="inlineStr">
        <is>
          <t>Share_Load_t</t>
        </is>
      </c>
      <c r="AL18" s="9" t="inlineStr">
        <is>
          <t>Share_Check</t>
        </is>
      </c>
      <c r="AM18" s="9" t="inlineStr">
        <is>
          <t>Hinge_Rx_t</t>
        </is>
      </c>
      <c r="AN18" s="9" t="inlineStr">
        <is>
          <t>Rx_Check</t>
        </is>
      </c>
      <c r="AO18" s="9" t="inlineStr">
        <is>
          <t>Deck_Press_t/m²</t>
        </is>
      </c>
      <c r="AP18" s="9" t="inlineStr">
        <is>
          <t>Press_Check</t>
        </is>
      </c>
      <c r="AQ18" s="9" t="inlineStr">
        <is>
          <t>Load_Case_B_t</t>
        </is>
      </c>
      <c r="AR18" s="9" t="inlineStr">
        <is>
          <t>Heel_deg</t>
        </is>
      </c>
      <c r="AS18" s="9" t="inlineStr">
        <is>
          <t>GM_eff_m</t>
        </is>
      </c>
      <c r="AT18" s="10" t="inlineStr">
        <is>
          <t>Ballast_req_t</t>
        </is>
      </c>
      <c r="AU18" s="10" t="inlineStr">
        <is>
          <t>Ballast_gap_t</t>
        </is>
      </c>
      <c r="AV18" s="10" t="inlineStr">
        <is>
          <t>Time_Add_h</t>
        </is>
      </c>
      <c r="AW18" s="9" t="inlineStr">
        <is>
          <t>Ramp_Angle_deg</t>
        </is>
      </c>
      <c r="AX18" s="9" t="inlineStr">
        <is>
          <t>Ramp_Angle_Check</t>
        </is>
      </c>
      <c r="AY18" s="9" t="inlineStr">
        <is>
          <t>Pin_Stress_N/mm²</t>
        </is>
      </c>
      <c r="AZ18" s="9" t="inlineStr">
        <is>
          <t>Von_Mises_Check</t>
        </is>
      </c>
      <c r="BA18" s="10" t="inlineStr">
        <is>
          <t>Required_WL_m</t>
        </is>
      </c>
      <c r="BB18" s="10" t="inlineStr">
        <is>
          <t>WL_OK</t>
        </is>
      </c>
      <c r="BC18" s="7" t="inlineStr">
        <is>
          <t>Draft_FWD_m_solver</t>
        </is>
      </c>
      <c r="BD18" s="7" t="inlineStr">
        <is>
          <t>Draft_AFT_m_solver</t>
        </is>
      </c>
      <c r="BE18" s="7" t="inlineStr">
        <is>
          <t>Draft_Source</t>
        </is>
      </c>
      <c r="BF18" s="7" t="inlineStr">
        <is>
          <t>Gate_AFT_MIN_2p70_PASS</t>
        </is>
      </c>
      <c r="BG18" s="7" t="inlineStr">
        <is>
          <t>AFT_Margin_2p70_m</t>
        </is>
      </c>
      <c r="BH18" s="7" t="inlineStr">
        <is>
          <t>Gate_B_Applies</t>
        </is>
      </c>
      <c r="BI18" s="7" t="inlineStr">
        <is>
          <t>Gate_FWD_MAX_2p70_critical_only</t>
        </is>
      </c>
      <c r="BJ18" s="7" t="inlineStr">
        <is>
          <t>FWD_Margin_2p70_m</t>
        </is>
      </c>
      <c r="BK18" s="7" t="inlineStr">
        <is>
          <t>Gate_Freeboard_ND</t>
        </is>
      </c>
      <c r="BL18" s="7" t="inlineStr">
        <is>
          <t>Freeboard_Req_ND_m</t>
        </is>
      </c>
      <c r="BM18" s="7" t="inlineStr">
        <is>
          <t>Freeboard_ND_Margin_m</t>
        </is>
      </c>
      <c r="BN18" s="7" t="inlineStr">
        <is>
          <t>D_vessel_m</t>
        </is>
      </c>
      <c r="BO18" s="7" t="inlineStr">
        <is>
          <t>Draft_Max_raw_m</t>
        </is>
      </c>
      <c r="BP18" s="7" t="inlineStr">
        <is>
          <t>Draft_Max_solver_m</t>
        </is>
      </c>
      <c r="BQ18" s="7" t="inlineStr">
        <is>
          <t>Draft_Clipped_raw</t>
        </is>
      </c>
      <c r="BR18" s="7" t="inlineStr">
        <is>
          <t>Draft_Clipped_solver</t>
        </is>
      </c>
    </row>
    <row r="19">
      <c r="A19" t="inlineStr">
        <is>
          <t>Stage 1</t>
        </is>
      </c>
      <c r="B19" s="8" t="n">
        <v>2800</v>
      </c>
      <c r="C19" s="8" t="inlineStr"/>
      <c r="D19" s="8" t="n">
        <v>0</v>
      </c>
      <c r="E19" s="11" t="n">
        <v>0</v>
      </c>
      <c r="F19" s="11" t="n">
        <v>0</v>
      </c>
      <c r="G19" s="11" t="n">
        <v>3.268146718146718</v>
      </c>
      <c r="H19" s="11" t="n">
        <v>3.268146718146718</v>
      </c>
      <c r="I19" s="11">
        <f>IF($A19="","",(IF($R19="",$B$8,$R19) - F19) * $B$9)</f>
        <v/>
      </c>
      <c r="J19" s="11">
        <f>IF(OR(ISBLANK($B$14), ISBLANK($B$10), ISBLANK($B$15), ISERROR($B$10)), "", ROUND($B$14 - ($B$10 + $B$15/2), 2))</f>
        <v/>
      </c>
      <c r="K19" s="11">
        <f>IF(OR($A19="",$J19="", $J19=0),"",ROUND(I19 / $J19, 2))</f>
        <v/>
      </c>
      <c r="L19" s="11">
        <f>IF(OR(K19="", $B$13="", $B$13=0, ISERROR($B$13)), "", ROUND(ABS(K19) / $B$13, 2))</f>
        <v/>
      </c>
      <c r="M19" s="11">
        <f>IF(OR(F19="", OR($B$12="", $B$12=0)), "", ROUND(ABS(F19/100) * 50 * $B$12, 2))</f>
        <v/>
      </c>
      <c r="N19" s="11">
        <f>IF(OR(L19="", $B$13="", $B$13=0, ISERROR($B$13)), "", ROUND(L19 / $B$13, 2))</f>
        <v/>
      </c>
      <c r="O19">
        <f>IF(F19="", "", IF(ABS(F19/100) &lt;= ($B$15/50), "OK", "EXCESSIVE"))</f>
        <v/>
      </c>
      <c r="P19" s="11">
        <f>IF($A19="","",G19)</f>
        <v/>
      </c>
      <c r="Q19" s="11">
        <f>IF($A19="","",H19)</f>
        <v/>
      </c>
      <c r="R19" s="8" t="n">
        <v>113.6293436293435</v>
      </c>
      <c r="S19" s="11">
        <f>IF(P19="", "", $B$11 - P19 + $B$7)</f>
        <v/>
      </c>
      <c r="T19" s="11">
        <f>IF(Q19="", "", $B$11 - Q19 + $B$7)</f>
        <v/>
      </c>
      <c r="U19" s="11" t="n">
        <v>7.93</v>
      </c>
      <c r="V19" s="11">
        <f>P19</f>
        <v/>
      </c>
      <c r="W19" s="3">
        <f>IF(V19="","",IF(V19&lt;=Calc!$E$18,"OK","NG"))</f>
        <v/>
      </c>
      <c r="X19" s="11">
        <f>K19</f>
        <v/>
      </c>
      <c r="Y19" s="4" t="n"/>
      <c r="Z19" s="11">
        <f>IFERROR(IF(P19="","",$B$11 - P19 - Calc!$E$19), "")</f>
        <v/>
      </c>
      <c r="AA19" s="3">
        <f>IFERROR(IF(Z19="", "", IF(Z19&gt;=Calc!$E$20, "OK", "&lt;0.28m CHECK")), "")</f>
        <v/>
      </c>
      <c r="AB19" s="11" t="n">
        <v>7.93</v>
      </c>
      <c r="AC19" s="3" t="inlineStr">
        <is>
          <t>OK</t>
        </is>
      </c>
      <c r="AD19" s="11">
        <f>IF(A19="","",CONST_TANKS!$C$13+L19+B19)</f>
        <v/>
      </c>
      <c r="AE19" s="11">
        <f>IFERROR(IF(OR(X19="",$B$13="",$B$13=0),"",ROUND(ABS(X19)/$B$13,2)),"")</f>
        <v/>
      </c>
      <c r="AF19" s="11" t="n">
        <v>113.6293436293435</v>
      </c>
      <c r="AG19" s="11" t="n">
        <v>1014.28</v>
      </c>
      <c r="AH19" s="11" t="n">
        <v>3.480066030434783</v>
      </c>
      <c r="AI19" s="12" t="n">
        <v>0</v>
      </c>
      <c r="AJ19" s="13" t="inlineStr">
        <is>
          <t>LIMIT</t>
        </is>
      </c>
      <c r="AK19" s="4" t="n"/>
      <c r="AL19" s="3">
        <f>IF(AK19="", "", IF(AK19&lt;=Calc!$E$24, "OK", "CHECK"))</f>
        <v/>
      </c>
      <c r="AM19" s="11">
        <f>IF(AK19="", 45, 45 + AK19 * 0.545)</f>
        <v/>
      </c>
      <c r="AN19" s="3">
        <f>IF(AM19="", "", IF(AM19&lt;=Calc!$E$37, "OK", "NG"))</f>
        <v/>
      </c>
      <c r="AO19" s="11">
        <f>IF(AK19="", "", AK19/Calc!$E$26)</f>
        <v/>
      </c>
      <c r="AP19" s="3">
        <f>IF(AO19="", "", IF(AO19&lt;=Calc!$E$25, "OK", "CHECK"))</f>
        <v/>
      </c>
      <c r="AQ19" s="11">
        <f>IF(AK19="", "", AK19 * Calc!$E$42)</f>
        <v/>
      </c>
      <c r="AR19" s="11">
        <f>IFERROR(IF(OR($A19="",U19="",AD19="",AD19=0),"",DEGREES((B19*Calc!$E$43)/(AD19*U19))),"")</f>
        <v/>
      </c>
      <c r="AS19" s="11">
        <f>IFERROR(IF(OR($A19="", U19="", AD19="", AD19=0), "", U19 - CONST_TANKS!$E$13 / AD19),"")</f>
        <v/>
      </c>
      <c r="AT19" s="11">
        <f>IF($A19="","",IF(OR($I19="",$I19=0),0,ROUND(H19/$I19,2)))</f>
        <v/>
      </c>
      <c r="AU19" s="11">
        <f>IF($A19="","",AT19 - $L19)</f>
        <v/>
      </c>
      <c r="AV19" s="11">
        <f>IF($A19="","",IF($B$13=0,0,AU19/$B$13))</f>
        <v/>
      </c>
      <c r="AW19" s="11">
        <f>IF(Z19="","",DEGREES(ASIN((Z19-Calc!$E$35)/Calc!$E$33)))</f>
        <v/>
      </c>
      <c r="AX19" s="3">
        <f>IF(AW19="","",IF(AW19&lt;=6,"OK","NG"))</f>
        <v/>
      </c>
      <c r="AY19" s="11">
        <f>IF(AM19="","",(AM19/4)/Calc!$E$36*9.81/1000)</f>
        <v/>
      </c>
      <c r="AZ19" s="3">
        <f>IF(AY19="","",IF(AY19&lt;=188,"OK","NG"))</f>
        <v/>
      </c>
      <c r="BA19" s="11">
        <f>IF(Z19="", "", IF(Z19&gt;=0, 0, ABS(Z19)+0.30))</f>
        <v/>
      </c>
      <c r="BB19" s="3">
        <f>IF(BA19="", "", IF($B$7&gt;=BA19, "OK", "CHECK"))</f>
        <v/>
      </c>
      <c r="BE19" t="inlineStr">
        <is>
          <t>solver</t>
        </is>
      </c>
      <c r="BN19" s="14" t="n">
        <v>3.65</v>
      </c>
    </row>
    <row r="20">
      <c r="A20" t="inlineStr">
        <is>
          <t>Stage 2</t>
        </is>
      </c>
      <c r="B20" s="8" t="n">
        <v>3071.2</v>
      </c>
      <c r="C20" s="8" t="n">
        <v>26.15</v>
      </c>
      <c r="D20" s="8" t="n">
        <v>4</v>
      </c>
      <c r="E20" s="11" t="n">
        <v>878.4167999999997</v>
      </c>
      <c r="F20" s="11" t="n">
        <v>20.59940196542584</v>
      </c>
      <c r="G20" s="11" t="n">
        <v>3.423984122248342</v>
      </c>
      <c r="H20" s="11" t="n">
        <v>3.629978141902601</v>
      </c>
      <c r="I20" s="11">
        <f>IF($A20="","",(IF($R20="",$B$8,$R20) - F20) * $B$9)</f>
        <v/>
      </c>
      <c r="J20" s="11">
        <f>IF(OR(ISBLANK($B$14), ISBLANK($B$10), ISBLANK($B$15), ISERROR($B$10)), "", ROUND($B$14 - ($B$10 + $B$15/2), 2))</f>
        <v/>
      </c>
      <c r="K20" s="11">
        <f>IF(OR($A20="",$J20="", $J20=0),"",ROUND(I20 / $J20, 2))</f>
        <v/>
      </c>
      <c r="L20" s="11">
        <f>IF(OR(K20="", $B$13="", $B$13=0, ISERROR($B$13)), "", ROUND(ABS(K20) / $B$13, 2))</f>
        <v/>
      </c>
      <c r="M20" s="11">
        <f>IF(OR(F20="", OR($B$12="", $B$12=0)), "", ROUND(ABS(F20/100) * 50 * $B$12, 2))</f>
        <v/>
      </c>
      <c r="N20" s="11">
        <f>IF(OR(L20="", $B$13="", $B$13=0, ISERROR($B$13)), "", ROUND(L20 / $B$13, 2))</f>
        <v/>
      </c>
      <c r="O20">
        <f>IF(F20="", "", IF(ABS(F20/100) &lt;= ($B$15/50), "OK", "EXCESSIVE"))</f>
        <v/>
      </c>
      <c r="P20" s="11">
        <f>IF($A20="","",G20)</f>
        <v/>
      </c>
      <c r="Q20" s="11">
        <f>IF($A20="","",H20)</f>
        <v/>
      </c>
      <c r="R20" s="8" t="n">
        <v>165.3962264150943</v>
      </c>
      <c r="S20" s="11">
        <f>IF(P20="", "", $B$11 - P20 + $B$7)</f>
        <v/>
      </c>
      <c r="T20" s="11">
        <f>IF(Q20="", "", $B$11 - Q20 + $B$7)</f>
        <v/>
      </c>
      <c r="U20" s="11" t="n">
        <v>7.29</v>
      </c>
      <c r="V20" s="11">
        <f>P20</f>
        <v/>
      </c>
      <c r="W20" s="3">
        <f>IF(V20="","",IF(V20&lt;=Calc!$E$18,"OK","NG"))</f>
        <v/>
      </c>
      <c r="X20" s="11">
        <f>K20</f>
        <v/>
      </c>
      <c r="Y20" s="4" t="n"/>
      <c r="Z20" s="11">
        <f>IFERROR(IF(P20="","",$B$11 - P20 - Calc!$E$19), "")</f>
        <v/>
      </c>
      <c r="AA20" s="3">
        <f>IFERROR(IF(Z20="", "", IF(Z20&gt;=Calc!$E$20, "OK", "&lt;0.28m CHECK")), "")</f>
        <v/>
      </c>
      <c r="AB20" s="11" t="n">
        <v>7.29</v>
      </c>
      <c r="AC20" s="3" t="inlineStr">
        <is>
          <t>OK</t>
        </is>
      </c>
      <c r="AD20" s="11">
        <f>IF(A20="","",CONST_TANKS!$C$13+L20+B20)</f>
        <v/>
      </c>
      <c r="AE20" s="11">
        <f>IFERROR(IF(OR(X20="",$B$13="",$B$13=0),"",ROUND(ABS(X20)/$B$13,2)),"")</f>
        <v/>
      </c>
      <c r="AF20" s="11" t="n">
        <v>165.3962264150943</v>
      </c>
      <c r="AG20" s="11" t="n">
        <v>1292.49</v>
      </c>
      <c r="AH20" s="11" t="n">
        <v>3.269400955434782</v>
      </c>
      <c r="AI20" s="12" t="n">
        <v>0</v>
      </c>
      <c r="AJ20" s="13" t="inlineStr">
        <is>
          <t>LIMIT</t>
        </is>
      </c>
      <c r="AK20" s="4" t="n"/>
      <c r="AL20" s="3">
        <f>IF(AK20="", "", IF(AK20&lt;=Calc!$E$24, "OK", "CHECK"))</f>
        <v/>
      </c>
      <c r="AM20" s="11">
        <f>IF(AK20="", 45, 45 + AK20 * 0.545)</f>
        <v/>
      </c>
      <c r="AN20" s="3">
        <f>IF(AM20="", "", IF(AM20&lt;=Calc!$E$37, "OK", "NG"))</f>
        <v/>
      </c>
      <c r="AO20" s="11">
        <f>IF(AK20="", "", AK20/Calc!$E$26)</f>
        <v/>
      </c>
      <c r="AP20" s="3">
        <f>IF(AO20="", "", IF(AO20&lt;=Calc!$E$25, "OK", "CHECK"))</f>
        <v/>
      </c>
      <c r="AQ20" s="11">
        <f>IF(AK20="", "", AK20 * Calc!$E$42)</f>
        <v/>
      </c>
      <c r="AR20" s="11">
        <f>IFERROR(IF(OR($A20="",U20="",AD20="",AD20=0),"",DEGREES((B20*Calc!$E$43)/(AD20*U20))),"")</f>
        <v/>
      </c>
      <c r="AS20" s="11">
        <f>IFERROR(IF(OR($A20="", U20="", AD20="", AD20=0), "", U20 - CONST_TANKS!$E$13 / AD20),"")</f>
        <v/>
      </c>
      <c r="AT20" s="11">
        <f>IF($A20="","",IF(OR($I20="",$I20=0),0,ROUND(H20/$I20,2)))</f>
        <v/>
      </c>
      <c r="AU20" s="11">
        <f>IF($A20="","",AT20 - $L20)</f>
        <v/>
      </c>
      <c r="AV20" s="11">
        <f>IF($A20="","",IF($B$13=0,0,AU20/$B$13))</f>
        <v/>
      </c>
      <c r="AW20" s="11">
        <f>IF(Z20="","",DEGREES(ASIN((Z20-Calc!$E$35)/Calc!$E$33)))</f>
        <v/>
      </c>
      <c r="AX20" s="3">
        <f>IF(AW20="","",IF(AW20&lt;=6,"OK","NG"))</f>
        <v/>
      </c>
      <c r="AY20" s="11">
        <f>IF(AM20="","",(AM20/4)/Calc!$E$36*9.81/1000)</f>
        <v/>
      </c>
      <c r="AZ20" s="3">
        <f>IF(AY20="","",IF(AY20&lt;=188,"OK","NG"))</f>
        <v/>
      </c>
      <c r="BA20" s="11">
        <f>IF(Z20="", "", IF(Z20&gt;=0, 0, ABS(Z20)+0.30))</f>
        <v/>
      </c>
      <c r="BB20" s="3">
        <f>IF(BA20="", "", IF($B$7&gt;=BA20, "OK", "CHECK"))</f>
        <v/>
      </c>
      <c r="BE20" t="inlineStr">
        <is>
          <t>solver</t>
        </is>
      </c>
      <c r="BN20" s="14" t="n">
        <v>3.65</v>
      </c>
    </row>
    <row r="21">
      <c r="A21" t="inlineStr">
        <is>
          <t>Stage 3</t>
        </is>
      </c>
      <c r="B21" s="8" t="n">
        <v>3071.2</v>
      </c>
      <c r="C21" s="8" t="n">
        <v>26.15</v>
      </c>
      <c r="D21" s="8" t="n">
        <v>4</v>
      </c>
      <c r="E21" s="11" t="n">
        <v>878.4167999999997</v>
      </c>
      <c r="F21" s="11" t="n">
        <v>20.59940196542584</v>
      </c>
      <c r="G21" s="11" t="n">
        <v>3.423984122248342</v>
      </c>
      <c r="H21" s="11" t="n">
        <v>3.629978141902601</v>
      </c>
      <c r="I21" s="11">
        <f>IF($A21="","",(IF($R21="",$B$8,$R21) - F21) * $B$9)</f>
        <v/>
      </c>
      <c r="J21" s="11">
        <f>IF(OR(ISBLANK($B$14), ISBLANK($B$10), ISBLANK($B$15), ISERROR($B$10)), "", ROUND($B$14 - ($B$10 + $B$15/2), 2))</f>
        <v/>
      </c>
      <c r="K21" s="11">
        <f>IF(OR($A21="",$J21="", $J21=0),"",ROUND(I21 / $J21, 2))</f>
        <v/>
      </c>
      <c r="L21" s="11">
        <f>IF(OR(K21="", $B$13="", $B$13=0, ISERROR($B$13)), "", ROUND(ABS(K21) / $B$13, 2))</f>
        <v/>
      </c>
      <c r="M21" s="11">
        <f>IF(OR(F21="", OR($B$12="", $B$12=0)), "", ROUND(ABS(F21/100) * 50 * $B$12, 2))</f>
        <v/>
      </c>
      <c r="N21" s="11">
        <f>IF(OR(L21="", $B$13="", $B$13=0, ISERROR($B$13)), "", ROUND(L21 / $B$13, 2))</f>
        <v/>
      </c>
      <c r="O21">
        <f>IF(F21="", "", IF(ABS(F21/100) &lt;= ($B$15/50), "OK", "EXCESSIVE"))</f>
        <v/>
      </c>
      <c r="P21" s="11">
        <f>IF($A21="","",G21)</f>
        <v/>
      </c>
      <c r="Q21" s="11">
        <f>IF($A21="","",H21)</f>
        <v/>
      </c>
      <c r="R21" s="8" t="n">
        <v>165.3962264150943</v>
      </c>
      <c r="S21" s="11">
        <f>IF(P21="", "", $B$11 - P21 + $B$7)</f>
        <v/>
      </c>
      <c r="T21" s="11">
        <f>IF(Q21="", "", $B$11 - Q21 + $B$7)</f>
        <v/>
      </c>
      <c r="U21" s="11" t="n">
        <v>7.29</v>
      </c>
      <c r="V21" s="11">
        <f>P21</f>
        <v/>
      </c>
      <c r="W21" s="3">
        <f>IF(V21="","",IF(V21&lt;=Calc!$E$18,"OK","NG"))</f>
        <v/>
      </c>
      <c r="X21" s="11">
        <f>K21</f>
        <v/>
      </c>
      <c r="Y21" s="4" t="n"/>
      <c r="Z21" s="11">
        <f>IFERROR(IF(P21="","",$B$11 - P21 - Calc!$E$19), "")</f>
        <v/>
      </c>
      <c r="AA21" s="3">
        <f>IFERROR(IF(Z21="", "", IF(Z21&gt;=Calc!$E$20, "OK", "&lt;0.28m CHECK")), "")</f>
        <v/>
      </c>
      <c r="AB21" s="11" t="n">
        <v>7.29</v>
      </c>
      <c r="AC21" s="3" t="inlineStr">
        <is>
          <t>OK</t>
        </is>
      </c>
      <c r="AD21" s="11">
        <f>IF(A21="","",CONST_TANKS!$C$13+L21+B21)</f>
        <v/>
      </c>
      <c r="AE21" s="11">
        <f>IFERROR(IF(OR(X21="",$B$13="",$B$13=0),"",ROUND(ABS(X21)/$B$13,2)),"")</f>
        <v/>
      </c>
      <c r="AF21" s="11" t="n">
        <v>165.3962264150943</v>
      </c>
      <c r="AG21" s="11" t="n">
        <v>1292.49</v>
      </c>
      <c r="AH21" s="11" t="n">
        <v>3.269400955434782</v>
      </c>
      <c r="AI21" s="12" t="n">
        <v>0</v>
      </c>
      <c r="AJ21" s="13" t="inlineStr">
        <is>
          <t>LIMIT</t>
        </is>
      </c>
      <c r="AK21" s="4" t="n"/>
      <c r="AL21" s="3">
        <f>IF(AK21="", "", IF(AK21&lt;=Calc!$E$24, "OK", "CHECK"))</f>
        <v/>
      </c>
      <c r="AM21" s="11">
        <f>IF(AK21="", 45, 45 + AK21 * 0.545)</f>
        <v/>
      </c>
      <c r="AN21" s="3">
        <f>IF(AM21="", "", IF(AM21&lt;=Calc!$E$37, "OK", "NG"))</f>
        <v/>
      </c>
      <c r="AO21" s="11">
        <f>IF(AK21="", "", AK21/Calc!$E$26)</f>
        <v/>
      </c>
      <c r="AP21" s="3">
        <f>IF(AO21="", "", IF(AO21&lt;=Calc!$E$25, "OK", "CHECK"))</f>
        <v/>
      </c>
      <c r="AQ21" s="11">
        <f>IF(AK21="", "", AK21 * Calc!$E$42)</f>
        <v/>
      </c>
      <c r="AR21" s="11">
        <f>IFERROR(IF(OR($A21="",U21="",AD21="",AD21=0),"",DEGREES((B21*Calc!$E$43)/(AD21*U21))),"")</f>
        <v/>
      </c>
      <c r="AS21" s="11">
        <f>IFERROR(IF(OR($A21="", U21="", AD21="", AD21=0), "", U21 - CONST_TANKS!$E$13 / AD21),"")</f>
        <v/>
      </c>
      <c r="AT21" s="11">
        <f>IF($A21="","",IF(OR($I21="",$I21=0),0,ROUND(H21/$I21,2)))</f>
        <v/>
      </c>
      <c r="AU21" s="11">
        <f>IF($A21="","",AT21 - $L21)</f>
        <v/>
      </c>
      <c r="AV21" s="11">
        <f>IF($A21="","",IF($B$13=0,0,AU21/$B$13))</f>
        <v/>
      </c>
      <c r="AW21" s="11">
        <f>IF(Z21="","",DEGREES(ASIN((Z21-Calc!$E$35)/Calc!$E$33)))</f>
        <v/>
      </c>
      <c r="AX21" s="3">
        <f>IF(AW21="","",IF(AW21&lt;=6,"OK","NG"))</f>
        <v/>
      </c>
      <c r="AY21" s="11">
        <f>IF(AM21="","",(AM21/4)/Calc!$E$36*9.81/1000)</f>
        <v/>
      </c>
      <c r="AZ21" s="3">
        <f>IF(AY21="","",IF(AY21&lt;=188,"OK","NG"))</f>
        <v/>
      </c>
      <c r="BA21" s="11">
        <f>IF(Z21="", "", IF(Z21&gt;=0, 0, ABS(Z21)+0.30))</f>
        <v/>
      </c>
      <c r="BB21" s="3">
        <f>IF(BA21="", "", IF($B$7&gt;=BA21, "OK", "CHECK"))</f>
        <v/>
      </c>
      <c r="BE21" t="inlineStr">
        <is>
          <t>solver</t>
        </is>
      </c>
      <c r="BN21" s="14" t="n">
        <v>3.65</v>
      </c>
    </row>
    <row r="22">
      <c r="A22" t="inlineStr">
        <is>
          <t>Stage 4</t>
        </is>
      </c>
      <c r="B22" s="8" t="n">
        <v>3071.2</v>
      </c>
      <c r="C22" s="8" t="n">
        <v>25.65</v>
      </c>
      <c r="D22" s="8" t="n">
        <v>4.5</v>
      </c>
      <c r="E22" s="11" t="n">
        <v>1014.0168</v>
      </c>
      <c r="F22" s="11" t="n">
        <v>23.77930347290128</v>
      </c>
      <c r="G22" s="11" t="n">
        <v>3.408084614710965</v>
      </c>
      <c r="H22" s="11" t="n">
        <v>3.645877649439978</v>
      </c>
      <c r="I22" s="11">
        <f>IF($A22="","",(IF($R22="",$B$8,$R22) - F22) * $B$9)</f>
        <v/>
      </c>
      <c r="J22" s="11">
        <f>IF(OR(ISBLANK($B$14), ISBLANK($B$10), ISBLANK($B$15), ISERROR($B$10)), "", ROUND($B$14 - ($B$10 + $B$15/2), 2))</f>
        <v/>
      </c>
      <c r="K22" s="11">
        <f>IF(OR($A22="",$J22="", $J22=0),"",ROUND(I22 / $J22, 2))</f>
        <v/>
      </c>
      <c r="L22" s="11">
        <f>IF(OR(K22="", $B$13="", $B$13=0, ISERROR($B$13)), "", ROUND(ABS(K22) / $B$13, 2))</f>
        <v/>
      </c>
      <c r="M22" s="11">
        <f>IF(OR(F22="", OR($B$12="", $B$12=0)), "", ROUND(ABS(F22/100) * 50 * $B$12, 2))</f>
        <v/>
      </c>
      <c r="N22" s="11">
        <f>IF(OR(L22="", $B$13="", $B$13=0, ISERROR($B$13)), "", ROUND(L22 / $B$13, 2))</f>
        <v/>
      </c>
      <c r="O22">
        <f>IF(F22="", "", IF(ABS(F22/100) &lt;= ($B$15/50), "OK", "EXCESSIVE"))</f>
        <v/>
      </c>
      <c r="P22" s="11">
        <f>IF($A22="","",G22)</f>
        <v/>
      </c>
      <c r="Q22" s="11">
        <f>IF($A22="","",H22)</f>
        <v/>
      </c>
      <c r="R22" s="8" t="n">
        <v>165.3962264150943</v>
      </c>
      <c r="S22" s="11">
        <f>IF(P22="", "", $B$11 - P22 + $B$7)</f>
        <v/>
      </c>
      <c r="T22" s="11">
        <f>IF(Q22="", "", $B$11 - Q22 + $B$7)</f>
        <v/>
      </c>
      <c r="U22" s="11" t="n">
        <v>7.29</v>
      </c>
      <c r="V22" s="11">
        <f>P22</f>
        <v/>
      </c>
      <c r="W22" s="3">
        <f>IF(V22="","",IF(V22&lt;=Calc!$E$18,"OK","NG"))</f>
        <v/>
      </c>
      <c r="X22" s="11">
        <f>K22</f>
        <v/>
      </c>
      <c r="Y22" s="4" t="n"/>
      <c r="Z22" s="11">
        <f>IFERROR(IF(P22="","",$B$11 - P22 - Calc!$E$19), "")</f>
        <v/>
      </c>
      <c r="AA22" s="3">
        <f>IFERROR(IF(Z22="", "", IF(Z22&gt;=Calc!$E$20, "OK", "&lt;0.28m CHECK")), "")</f>
        <v/>
      </c>
      <c r="AB22" s="11" t="n">
        <v>7.29</v>
      </c>
      <c r="AC22" s="3" t="inlineStr">
        <is>
          <t>OK</t>
        </is>
      </c>
      <c r="AD22" s="11">
        <f>IF(A22="","",CONST_TANKS!$C$13+L22+B22)</f>
        <v/>
      </c>
      <c r="AE22" s="11">
        <f>IFERROR(IF(OR(X22="",$B$13="",$B$13=0),"",ROUND(ABS(X22)/$B$13,2)),"")</f>
        <v/>
      </c>
      <c r="AF22" s="11" t="n">
        <v>165.3962264150943</v>
      </c>
      <c r="AG22" s="11" t="n">
        <v>1264.1</v>
      </c>
      <c r="AH22" s="11" t="n">
        <v>3.266415902173913</v>
      </c>
      <c r="AI22" s="12" t="n">
        <v>0</v>
      </c>
      <c r="AJ22" s="13" t="inlineStr">
        <is>
          <t>LIMIT</t>
        </is>
      </c>
      <c r="AK22" s="4" t="n"/>
      <c r="AL22" s="3">
        <f>IF(AK22="", "", IF(AK22&lt;=Calc!$E$24, "OK", "CHECK"))</f>
        <v/>
      </c>
      <c r="AM22" s="11">
        <f>IF(AK22="", 45, 45 + AK22 * 0.545)</f>
        <v/>
      </c>
      <c r="AN22" s="3">
        <f>IF(AM22="", "", IF(AM22&lt;=Calc!$E$37, "OK", "NG"))</f>
        <v/>
      </c>
      <c r="AO22" s="11">
        <f>IF(AK22="", "", AK22/Calc!$E$26)</f>
        <v/>
      </c>
      <c r="AP22" s="3">
        <f>IF(AO22="", "", IF(AO22&lt;=Calc!$E$25, "OK", "CHECK"))</f>
        <v/>
      </c>
      <c r="AQ22" s="11">
        <f>IF(AK22="", "", AK22 * Calc!$E$42)</f>
        <v/>
      </c>
      <c r="AR22" s="11">
        <f>IFERROR(IF(OR($A22="",U22="",AD22="",AD22=0),"",DEGREES((B22*Calc!$E$43)/(AD22*U22))),"")</f>
        <v/>
      </c>
      <c r="AS22" s="11">
        <f>IFERROR(IF(OR($A22="", U22="", AD22="", AD22=0), "", U22 - CONST_TANKS!$E$13 / AD22),"")</f>
        <v/>
      </c>
      <c r="AT22" s="11">
        <f>IF($A22="","",IF(OR($I22="",$I22=0),0,ROUND(H22/$I22,2)))</f>
        <v/>
      </c>
      <c r="AU22" s="11">
        <f>IF($A22="","",AT22 - $L22)</f>
        <v/>
      </c>
      <c r="AV22" s="11">
        <f>IF($A22="","",IF($B$13=0,0,AU22/$B$13))</f>
        <v/>
      </c>
      <c r="AW22" s="11">
        <f>IF(Z22="","",DEGREES(ASIN((Z22-Calc!$E$35)/Calc!$E$33)))</f>
        <v/>
      </c>
      <c r="AX22" s="3">
        <f>IF(AW22="","",IF(AW22&lt;=6,"OK","NG"))</f>
        <v/>
      </c>
      <c r="AY22" s="11">
        <f>IF(AM22="","",(AM22/4)/Calc!$E$36*9.81/1000)</f>
        <v/>
      </c>
      <c r="AZ22" s="3">
        <f>IF(AY22="","",IF(AY22&lt;=188,"OK","NG"))</f>
        <v/>
      </c>
      <c r="BA22" s="11">
        <f>IF(Z22="", "", IF(Z22&gt;=0, 0, ABS(Z22)+0.30))</f>
        <v/>
      </c>
      <c r="BB22" s="3">
        <f>IF(BA22="", "", IF($B$7&gt;=BA22, "OK", "CHECK"))</f>
        <v/>
      </c>
      <c r="BE22" t="inlineStr">
        <is>
          <t>solver</t>
        </is>
      </c>
      <c r="BN22" s="14" t="n">
        <v>3.65</v>
      </c>
    </row>
    <row r="23">
      <c r="A23" t="inlineStr">
        <is>
          <t>Stage 5</t>
        </is>
      </c>
      <c r="B23" s="8" t="n">
        <v>3071.2</v>
      </c>
      <c r="C23" s="8" t="n">
        <v>25.65</v>
      </c>
      <c r="D23" s="8" t="n">
        <v>4.5</v>
      </c>
      <c r="E23" s="11" t="n">
        <v>1014.0168</v>
      </c>
      <c r="F23" s="11" t="n">
        <v>23.77930347290128</v>
      </c>
      <c r="G23" s="11" t="n">
        <v>3.408084614710965</v>
      </c>
      <c r="H23" s="11" t="n">
        <v>3.645877649439978</v>
      </c>
      <c r="I23" s="11">
        <f>IF($A23="","",(IF($R23="",$B$8,$R23) - F23) * $B$9)</f>
        <v/>
      </c>
      <c r="J23" s="11">
        <f>IF(OR(ISBLANK($B$14), ISBLANK($B$10), ISBLANK($B$15), ISERROR($B$10)), "", ROUND($B$14 - ($B$10 + $B$15/2), 2))</f>
        <v/>
      </c>
      <c r="K23" s="11">
        <f>IF(OR($A23="",$J23="", $J23=0),"",ROUND(I23 / $J23, 2))</f>
        <v/>
      </c>
      <c r="L23" s="11">
        <f>IF(OR(K23="", $B$13="", $B$13=0, ISERROR($B$13)), "", ROUND(ABS(K23) / $B$13, 2))</f>
        <v/>
      </c>
      <c r="M23" s="11">
        <f>IF(OR(F23="", OR($B$12="", $B$12=0)), "", ROUND(ABS(F23/100) * 50 * $B$12, 2))</f>
        <v/>
      </c>
      <c r="N23" s="11">
        <f>IF(OR(L23="", $B$13="", $B$13=0, ISERROR($B$13)), "", ROUND(L23 / $B$13, 2))</f>
        <v/>
      </c>
      <c r="O23">
        <f>IF(F23="", "", IF(ABS(F23/100) &lt;= ($B$15/50), "OK", "EXCESSIVE"))</f>
        <v/>
      </c>
      <c r="P23" s="11">
        <f>IF($A23="","",G23)</f>
        <v/>
      </c>
      <c r="Q23" s="11">
        <f>IF($A23="","",H23)</f>
        <v/>
      </c>
      <c r="R23" s="8" t="n">
        <v>165.3962264150943</v>
      </c>
      <c r="S23" s="11">
        <f>IF(P23="", "", $B$11 - P23 + $B$7)</f>
        <v/>
      </c>
      <c r="T23" s="11">
        <f>IF(Q23="", "", $B$11 - Q23 + $B$7)</f>
        <v/>
      </c>
      <c r="U23" s="11" t="n">
        <v>7.29</v>
      </c>
      <c r="V23" s="11">
        <f>P23</f>
        <v/>
      </c>
      <c r="W23" s="3">
        <f>IF(V23="","",IF(V23&lt;=Calc!$E$18,"OK","NG"))</f>
        <v/>
      </c>
      <c r="X23" s="11">
        <f>K23</f>
        <v/>
      </c>
      <c r="Y23" s="4" t="n"/>
      <c r="Z23" s="11">
        <f>IFERROR(IF(P23="","",$B$11 - P23 - Calc!$E$19), "")</f>
        <v/>
      </c>
      <c r="AA23" s="3">
        <f>IFERROR(IF(Z23="", "", IF(Z23&gt;=Calc!$E$20, "OK", "&lt;0.28m CHECK")), "")</f>
        <v/>
      </c>
      <c r="AB23" s="11" t="n">
        <v>7.29</v>
      </c>
      <c r="AC23" s="3" t="inlineStr">
        <is>
          <t>OK</t>
        </is>
      </c>
      <c r="AD23" s="11">
        <f>IF(A23="","",CONST_TANKS!$C$13+L23+B23)</f>
        <v/>
      </c>
      <c r="AE23" s="11">
        <f>IFERROR(IF(OR(X23="",$B$13="",$B$13=0),"",ROUND(ABS(X23)/$B$13,2)),"")</f>
        <v/>
      </c>
      <c r="AF23" s="11" t="n">
        <v>165.3962264150943</v>
      </c>
      <c r="AG23" s="11" t="n">
        <v>1264.1</v>
      </c>
      <c r="AH23" s="11" t="n">
        <v>3.266415902173913</v>
      </c>
      <c r="AI23" s="12" t="n">
        <v>0</v>
      </c>
      <c r="AJ23" s="13" t="inlineStr">
        <is>
          <t>LIMIT</t>
        </is>
      </c>
      <c r="AK23" s="4" t="n"/>
      <c r="AL23" s="3">
        <f>IF(AK23="", "", IF(AK23&lt;=Calc!$E$24, "OK", "CHECK"))</f>
        <v/>
      </c>
      <c r="AM23" s="11">
        <f>IF(AK23="", 45, 45 + AK23 * 0.545)</f>
        <v/>
      </c>
      <c r="AN23" s="3">
        <f>IF(AM23="", "", IF(AM23&lt;=Calc!$E$37, "OK", "NG"))</f>
        <v/>
      </c>
      <c r="AO23" s="11">
        <f>IF(AK23="", "", AK23/Calc!$E$26)</f>
        <v/>
      </c>
      <c r="AP23" s="3">
        <f>IF(AO23="", "", IF(AO23&lt;=Calc!$E$25, "OK", "CHECK"))</f>
        <v/>
      </c>
      <c r="AQ23" s="11">
        <f>IF(AK23="", "", AK23 * Calc!$E$42)</f>
        <v/>
      </c>
      <c r="AR23" s="11">
        <f>IFERROR(IF(OR($A23="",U23="",AD23="",AD23=0),"",DEGREES((B23*Calc!$E$43)/(AD23*U23))),"")</f>
        <v/>
      </c>
      <c r="AS23" s="11">
        <f>IFERROR(IF(OR($A23="", U23="", AD23="", AD23=0), "", U23 - CONST_TANKS!$E$13 / AD23),"")</f>
        <v/>
      </c>
      <c r="AT23" s="11">
        <f>IF($A23="","",IF(OR($I23="",$I23=0),0,ROUND(H23/$I23,2)))</f>
        <v/>
      </c>
      <c r="AU23" s="11">
        <f>IF($A23="","",AT23 - $L23)</f>
        <v/>
      </c>
      <c r="AV23" s="11">
        <f>IF($A23="","",IF($B$13=0,0,AU23/$B$13))</f>
        <v/>
      </c>
      <c r="AW23" s="11">
        <f>IF(Z23="","",DEGREES(ASIN((Z23-Calc!$E$35)/Calc!$E$33)))</f>
        <v/>
      </c>
      <c r="AX23" s="3">
        <f>IF(AW23="","",IF(AW23&lt;=6,"OK","NG"))</f>
        <v/>
      </c>
      <c r="AY23" s="11">
        <f>IF(AM23="","",(AM23/4)/Calc!$E$36*9.81/1000)</f>
        <v/>
      </c>
      <c r="AZ23" s="3">
        <f>IF(AY23="","",IF(AY23&lt;=188,"OK","NG"))</f>
        <v/>
      </c>
      <c r="BA23" s="11">
        <f>IF(Z23="", "", IF(Z23&gt;=0, 0, ABS(Z23)+0.30))</f>
        <v/>
      </c>
      <c r="BB23" s="3">
        <f>IF(BA23="", "", IF($B$7&gt;=BA23, "OK", "CHECK"))</f>
        <v/>
      </c>
      <c r="BE23" t="inlineStr">
        <is>
          <t>solver</t>
        </is>
      </c>
      <c r="BN23" s="14" t="n">
        <v>3.65</v>
      </c>
    </row>
    <row r="24">
      <c r="A24" t="inlineStr">
        <is>
          <t>Stage 5_PreBallast</t>
        </is>
      </c>
      <c r="B24" s="8" t="n">
        <v>3217.2736</v>
      </c>
      <c r="C24" s="8" t="n">
        <v>25.65</v>
      </c>
      <c r="D24" s="8" t="n">
        <v>4.51</v>
      </c>
      <c r="E24" s="11" t="n">
        <v>1128.2868</v>
      </c>
      <c r="F24" s="11" t="n">
        <v>33.18490588235293</v>
      </c>
      <c r="G24" s="11" t="n">
        <v>1.834075470588235</v>
      </c>
      <c r="H24" s="11" t="n">
        <v>2.165924529411765</v>
      </c>
      <c r="I24" s="11">
        <f>IF($A24="","",(IF($R24="",$B$8,$R24) - F24) * $B$9)</f>
        <v/>
      </c>
      <c r="J24" s="11">
        <f>IF(OR(ISBLANK($B$14), ISBLANK($B$10), ISBLANK($B$15), ISERROR($B$10)), "", ROUND($B$14 - ($B$10 + $B$15/2), 2))</f>
        <v/>
      </c>
      <c r="K24" s="11">
        <f>IF(OR($A24="",$J24="", $J24=0),"",ROUND(I24 / $J24, 2))</f>
        <v/>
      </c>
      <c r="L24" s="11">
        <f>IF(OR(K24="", $B$13="", $B$13=0, ISERROR($B$13)), "", ROUND(ABS(K24) / $B$13, 2))</f>
        <v/>
      </c>
      <c r="M24" s="11">
        <f>IF(OR(F24="", OR($B$12="", $B$12=0)), "", ROUND(ABS(F24/100) * 50 * $B$12, 2))</f>
        <v/>
      </c>
      <c r="N24" s="11">
        <f>IF(OR(L24="", $B$13="", $B$13=0, ISERROR($B$13)), "", ROUND(L24 / $B$13, 2))</f>
        <v/>
      </c>
      <c r="O24">
        <f>IF(F24="", "", IF(ABS(F24/100) &lt;= ($B$15/50), "OK", "EXCESSIVE"))</f>
        <v/>
      </c>
      <c r="P24" s="11">
        <f>IF($A24="","",G24)</f>
        <v/>
      </c>
      <c r="Q24" s="11">
        <f>IF($A24="","",H24)</f>
        <v/>
      </c>
      <c r="R24" s="8" t="n">
        <v>192.8722774133084</v>
      </c>
      <c r="S24" s="11">
        <f>IF(P24="", "", $B$11 - P24 + $B$7)</f>
        <v/>
      </c>
      <c r="T24" s="11">
        <f>IF(Q24="", "", $B$11 - Q24 + $B$7)</f>
        <v/>
      </c>
      <c r="U24" s="11" t="n">
        <v>8.449999999999999</v>
      </c>
      <c r="V24" s="11">
        <f>P24</f>
        <v/>
      </c>
      <c r="W24" s="3">
        <f>IF(V24="","",IF(V24&lt;=Calc!$E$18,"OK","NG"))</f>
        <v/>
      </c>
      <c r="X24" s="11">
        <f>K24</f>
        <v/>
      </c>
      <c r="Y24" s="4" t="n"/>
      <c r="Z24" s="11">
        <f>IFERROR(IF(P24="","",$B$11 - P24 - Calc!$E$19), "")</f>
        <v/>
      </c>
      <c r="AA24" s="3">
        <f>IFERROR(IF(Z24="", "", IF(Z24&gt;=Calc!$E$20, "OK", "&lt;0.28m CHECK")), "")</f>
        <v/>
      </c>
      <c r="AB24" s="11" t="n">
        <v>8.449999999999999</v>
      </c>
      <c r="AC24" s="3" t="inlineStr">
        <is>
          <t>OK</t>
        </is>
      </c>
      <c r="AD24" s="11">
        <f>IF(A24="","",CONST_TANKS!$C$13+L24+B24)</f>
        <v/>
      </c>
      <c r="AE24" s="11">
        <f>IFERROR(IF(OR(X24="",$B$13="",$B$13=0),"",ROUND(ABS(X24)/$B$13,2)),"")</f>
        <v/>
      </c>
      <c r="AF24" s="11" t="n">
        <v>192.8722774133084</v>
      </c>
      <c r="AG24" s="11" t="n">
        <v>-370</v>
      </c>
      <c r="AH24" s="11" t="n">
        <v>3.271328853685638</v>
      </c>
      <c r="AI24" s="12" t="n">
        <v>3</v>
      </c>
      <c r="AJ24" s="13" t="inlineStr">
        <is>
          <t>LIMIT</t>
        </is>
      </c>
      <c r="AK24" s="4" t="n"/>
      <c r="AL24" s="3">
        <f>IF(AK24="", "", IF(AK24&lt;=Calc!$E$24, "OK", "CHECK"))</f>
        <v/>
      </c>
      <c r="AM24" s="11">
        <f>IF(AK24="", 45, 45 + AK24 * 0.545)</f>
        <v/>
      </c>
      <c r="AN24" s="3">
        <f>IF(AM24="", "", IF(AM24&lt;=Calc!$E$37, "OK", "NG"))</f>
        <v/>
      </c>
      <c r="AO24" s="11">
        <f>IF(AK24="", "", AK24/Calc!$E$26)</f>
        <v/>
      </c>
      <c r="AP24" s="3">
        <f>IF(AO24="", "", IF(AO24&lt;=Calc!$E$25, "OK", "CHECK"))</f>
        <v/>
      </c>
      <c r="AQ24" s="11">
        <f>IF(AK24="", "", AK24 * Calc!$E$42)</f>
        <v/>
      </c>
      <c r="AR24" s="11">
        <f>IFERROR(IF(OR($A24="",U24="",AD24="",AD24=0),"",DEGREES((B24*Calc!$E$43)/(AD24*U24))),"")</f>
        <v/>
      </c>
      <c r="AS24" s="11">
        <f>IFERROR(IF(OR($A24="", U24="", AD24="", AD24=0), "", U24 - CONST_TANKS!$E$13 / AD24),"")</f>
        <v/>
      </c>
      <c r="AT24" s="11">
        <f>IF($A24="","",IF(OR($I24="",$I24=0),0,ROUND(H24/$I24,2)))</f>
        <v/>
      </c>
      <c r="AU24" s="11">
        <f>IF($A24="","",AT24 - $L24)</f>
        <v/>
      </c>
      <c r="AV24" s="11">
        <f>IF($A24="","",IF($B$13=0,0,AU24/$B$13))</f>
        <v/>
      </c>
      <c r="AW24" s="11">
        <f>IF(Z24="","",DEGREES(ASIN((Z24-Calc!$E$35)/Calc!$E$33)))</f>
        <v/>
      </c>
      <c r="AX24" s="3">
        <f>IF(AW24="","",IF(AW24&lt;=6,"OK","NG"))</f>
        <v/>
      </c>
      <c r="AY24" s="11">
        <f>IF(AM24="","",(AM24/4)/Calc!$E$36*9.81/1000)</f>
        <v/>
      </c>
      <c r="AZ24" s="3">
        <f>IF(AY24="","",IF(AY24&lt;=188,"OK","NG"))</f>
        <v/>
      </c>
      <c r="BA24" s="11">
        <f>IF(Z24="", "", IF(Z24&gt;=0, 0, ABS(Z24)+0.30))</f>
        <v/>
      </c>
      <c r="BB24" s="3">
        <f>IF(BA24="", "", IF($B$7&gt;=BA24, "OK", "CHECK"))</f>
        <v/>
      </c>
      <c r="BE24" t="inlineStr">
        <is>
          <t>solver</t>
        </is>
      </c>
      <c r="BN24" s="14" t="n">
        <v>3.65</v>
      </c>
    </row>
    <row r="25">
      <c r="A25" t="inlineStr">
        <is>
          <t>Stage 6A_Critical (Opt C)</t>
        </is>
      </c>
      <c r="B25" s="8" t="n">
        <v>3372.4</v>
      </c>
      <c r="C25" s="8" t="n">
        <v>25.36</v>
      </c>
      <c r="D25" s="8" t="n">
        <v>4.79</v>
      </c>
      <c r="E25" s="11" t="n">
        <v>2307.7356</v>
      </c>
      <c r="F25" s="11" t="n">
        <v>67.87457647058822</v>
      </c>
      <c r="G25" s="11" t="n">
        <v>1.660627117647059</v>
      </c>
      <c r="H25" s="11" t="n">
        <v>2.339372882352941</v>
      </c>
      <c r="I25" s="11">
        <f>IF($A25="","",(IF($R25="",$B$8,$R25) - F25) * $B$9)</f>
        <v/>
      </c>
      <c r="J25" s="11">
        <f>IF(OR(ISBLANK($B$14), ISBLANK($B$10), ISBLANK($B$15), ISERROR($B$10)), "", ROUND($B$14 - ($B$10 + $B$15/2), 2))</f>
        <v/>
      </c>
      <c r="K25" s="11">
        <f>IF(OR($A25="",$J25="", $J25=0),"",ROUND(I25 / $J25, 2))</f>
        <v/>
      </c>
      <c r="L25" s="11">
        <f>IF(OR(K25="", $B$13="", $B$13=0, ISERROR($B$13)), "", ROUND(ABS(K25) / $B$13, 2))</f>
        <v/>
      </c>
      <c r="M25" s="11">
        <f>IF(OR(F25="", OR($B$12="", $B$12=0)), "", ROUND(ABS(F25/100) * 50 * $B$12, 2))</f>
        <v/>
      </c>
      <c r="N25" s="11">
        <f>IF(OR(L25="", $B$13="", $B$13=0, ISERROR($B$13)), "", ROUND(L25 / $B$13, 2))</f>
        <v/>
      </c>
      <c r="O25">
        <f>IF(F25="", "", IF(ABS(F25/100) &lt;= ($B$15/50), "OK", "EXCESSIVE"))</f>
        <v/>
      </c>
      <c r="P25" s="11">
        <f>IF($A25="","",G25)</f>
        <v/>
      </c>
      <c r="Q25" s="11">
        <f>IF($A25="","",H25)</f>
        <v/>
      </c>
      <c r="R25" s="8" t="n">
        <v>221.9439252336448</v>
      </c>
      <c r="S25" s="11">
        <f>IF(P25="", "", $B$11 - P25 + $B$7)</f>
        <v/>
      </c>
      <c r="T25" s="11">
        <f>IF(Q25="", "", $B$11 - Q25 + $B$7)</f>
        <v/>
      </c>
      <c r="U25" s="11" t="n">
        <v>8.449999999999999</v>
      </c>
      <c r="V25" s="11">
        <f>P25</f>
        <v/>
      </c>
      <c r="W25" s="3">
        <f>IF(V25="","",IF(V25&lt;=Calc!$E$18,"OK","NG"))</f>
        <v/>
      </c>
      <c r="X25" s="11">
        <f>K25</f>
        <v/>
      </c>
      <c r="Y25" s="4" t="n"/>
      <c r="Z25" s="11">
        <f>IFERROR(IF(P25="","",$B$11 - P25 - Calc!$E$19), "")</f>
        <v/>
      </c>
      <c r="AA25" s="3">
        <f>IFERROR(IF(Z25="", "", IF(Z25&gt;=Calc!$E$20, "OK", "&lt;0.28m CHECK")), "")</f>
        <v/>
      </c>
      <c r="AB25" s="11" t="n">
        <v>8.449999999999999</v>
      </c>
      <c r="AC25" s="3" t="inlineStr">
        <is>
          <t>OK</t>
        </is>
      </c>
      <c r="AD25" s="11">
        <f>IF(A25="","",CONST_TANKS!$C$13+L25+B25)</f>
        <v/>
      </c>
      <c r="AE25" s="11">
        <f>IFERROR(IF(OR(X25="",$B$13="",$B$13=0),"",ROUND(ABS(X25)/$B$13,2)),"")</f>
        <v/>
      </c>
      <c r="AF25" s="11" t="n">
        <v>221.9439252336448</v>
      </c>
      <c r="AG25" s="11" t="n">
        <v>-370</v>
      </c>
      <c r="AH25" s="11" t="n">
        <v>3.33955743232923</v>
      </c>
      <c r="AI25" s="12" t="n">
        <v>3</v>
      </c>
      <c r="AJ25" s="13" t="inlineStr">
        <is>
          <t>LIMIT</t>
        </is>
      </c>
      <c r="AK25" s="4" t="n"/>
      <c r="AL25" s="3">
        <f>IF(AK25="", "", IF(AK25&lt;=Calc!$E$24, "OK", "CHECK"))</f>
        <v/>
      </c>
      <c r="AM25" s="11">
        <f>IF(AK25="", 45, 45 + AK25 * 0.545)</f>
        <v/>
      </c>
      <c r="AN25" s="3">
        <f>IF(AM25="", "", IF(AM25&lt;=Calc!$E$37, "OK", "NG"))</f>
        <v/>
      </c>
      <c r="AO25" s="11">
        <f>IF(AK25="", "", AK25/Calc!$E$26)</f>
        <v/>
      </c>
      <c r="AP25" s="3">
        <f>IF(AO25="", "", IF(AO25&lt;=Calc!$E$25, "OK", "CHECK"))</f>
        <v/>
      </c>
      <c r="AQ25" s="11">
        <f>IF(AK25="", "", AK25 * Calc!$E$42)</f>
        <v/>
      </c>
      <c r="AR25" s="11">
        <f>IFERROR(IF(OR($A25="",U25="",AD25="",AD25=0),"",DEGREES((B25*Calc!$E$43)/(AD25*U25))),"")</f>
        <v/>
      </c>
      <c r="AS25" s="11">
        <f>IFERROR(IF(OR($A25="", U25="", AD25="", AD25=0), "", U25 - CONST_TANKS!$E$13 / AD25),"")</f>
        <v/>
      </c>
      <c r="AT25" s="11">
        <f>IF($A25="","",IF(OR($I25="",$I25=0),0,ROUND(H25/$I25,2)))</f>
        <v/>
      </c>
      <c r="AU25" s="11">
        <f>IF($A25="","",AT25 - $L25)</f>
        <v/>
      </c>
      <c r="AV25" s="11">
        <f>IF($A25="","",IF($B$13=0,0,AU25/$B$13))</f>
        <v/>
      </c>
      <c r="AW25" s="11">
        <f>IF(Z25="","",DEGREES(ASIN((Z25-Calc!$E$35)/Calc!$E$33)))</f>
        <v/>
      </c>
      <c r="AX25" s="3">
        <f>IF(AW25="","",IF(AW25&lt;=6,"OK","NG"))</f>
        <v/>
      </c>
      <c r="AY25" s="11">
        <f>IF(AM25="","",(AM25/4)/Calc!$E$36*9.81/1000)</f>
        <v/>
      </c>
      <c r="AZ25" s="3">
        <f>IF(AY25="","",IF(AY25&lt;=188,"OK","NG"))</f>
        <v/>
      </c>
      <c r="BA25" s="11">
        <f>IF(Z25="", "", IF(Z25&gt;=0, 0, ABS(Z25)+0.30))</f>
        <v/>
      </c>
      <c r="BB25" s="3">
        <f>IF(BA25="", "", IF($B$7&gt;=BA25, "OK", "CHECK"))</f>
        <v/>
      </c>
      <c r="BE25" t="inlineStr">
        <is>
          <t>solver</t>
        </is>
      </c>
      <c r="BN25" s="14" t="n">
        <v>3.65</v>
      </c>
    </row>
    <row r="26">
      <c r="A26" t="inlineStr">
        <is>
          <t>Stage 6C_TotalMassOpt</t>
        </is>
      </c>
      <c r="B26" s="8" t="n">
        <v>3372.4</v>
      </c>
      <c r="C26" s="8" t="n">
        <v>27.42</v>
      </c>
      <c r="D26" s="8" t="n">
        <v>2.73</v>
      </c>
      <c r="E26" s="11" t="n">
        <v>1128.0156</v>
      </c>
      <c r="F26" s="11" t="n">
        <v>24.96301373716148</v>
      </c>
      <c r="G26" s="11" t="n">
        <v>3.684904557482417</v>
      </c>
      <c r="H26" s="11" t="n">
        <v>3.934534694854031</v>
      </c>
      <c r="I26" s="11">
        <f>IF($A26="","",(IF($R26="",$B$8,$R26) - F26) * $B$9)</f>
        <v/>
      </c>
      <c r="J26" s="11">
        <f>IF(OR(ISBLANK($B$14), ISBLANK($B$10), ISBLANK($B$15), ISERROR($B$10)), "", ROUND($B$14 - ($B$10 + $B$15/2), 2))</f>
        <v/>
      </c>
      <c r="K26" s="11">
        <f>IF(OR($A26="",$J26="", $J26=0),"",ROUND(I26 / $J26, 2))</f>
        <v/>
      </c>
      <c r="L26" s="11">
        <f>IF(OR(K26="", $B$13="", $B$13=0, ISERROR($B$13)), "", ROUND(ABS(K26) / $B$13, 2))</f>
        <v/>
      </c>
      <c r="M26" s="11">
        <f>IF(OR(F26="", OR($B$12="", $B$12=0)), "", ROUND(ABS(F26/100) * 50 * $B$12, 2))</f>
        <v/>
      </c>
      <c r="N26" s="11">
        <f>IF(OR(L26="", $B$13="", $B$13=0, ISERROR($B$13)), "", ROUND(L26 / $B$13, 2))</f>
        <v/>
      </c>
      <c r="O26">
        <f>IF(F26="", "", IF(ABS(F26/100) &lt;= ($B$15/50), "OK", "EXCESSIVE"))</f>
        <v/>
      </c>
      <c r="P26" s="11">
        <f>IF($A26="","",G26)</f>
        <v/>
      </c>
      <c r="Q26" s="11">
        <f>IF($A26="","",H26)</f>
        <v/>
      </c>
      <c r="R26" s="8" t="n">
        <v>221.9439252336448</v>
      </c>
      <c r="S26" s="11">
        <f>IF(P26="", "", $B$11 - P26 + $B$7)</f>
        <v/>
      </c>
      <c r="T26" s="11">
        <f>IF(Q26="", "", $B$11 - Q26 + $B$7)</f>
        <v/>
      </c>
      <c r="U26" s="11" t="n">
        <v>6.76</v>
      </c>
      <c r="V26" s="11">
        <f>P26</f>
        <v/>
      </c>
      <c r="W26" s="3">
        <f>IF(V26="","",IF(V26&lt;=Calc!$E$18,"OK","NG"))</f>
        <v/>
      </c>
      <c r="X26" s="11">
        <f>K26</f>
        <v/>
      </c>
      <c r="Y26" s="4" t="n"/>
      <c r="Z26" s="11">
        <f>IFERROR(IF(P26="","",$B$11 - P26 - Calc!$E$19), "")</f>
        <v/>
      </c>
      <c r="AA26" s="3">
        <f>IFERROR(IF(Z26="", "", IF(Z26&gt;=Calc!$E$20, "OK", "&lt;0.28m CHECK")), "")</f>
        <v/>
      </c>
      <c r="AB26" s="11" t="n">
        <v>6.76</v>
      </c>
      <c r="AC26" s="3" t="inlineStr">
        <is>
          <t>OK</t>
        </is>
      </c>
      <c r="AD26" s="11">
        <f>IF(A26="","",CONST_TANKS!$C$13+L26+B26)</f>
        <v/>
      </c>
      <c r="AE26" s="11">
        <f>IFERROR(IF(OR(X26="",$B$13="",$B$13=0),"",ROUND(ABS(X26)/$B$13,2)),"")</f>
        <v/>
      </c>
      <c r="AF26" s="11" t="n">
        <v>221.9439252336448</v>
      </c>
      <c r="AG26" s="11" t="n">
        <v>-370</v>
      </c>
      <c r="AH26" s="11" t="n">
        <v>3.480450975173905</v>
      </c>
      <c r="AI26" s="12" t="n">
        <v>3</v>
      </c>
      <c r="AJ26" s="13" t="inlineStr">
        <is>
          <t>LIMIT</t>
        </is>
      </c>
      <c r="AK26" s="4" t="n"/>
      <c r="AL26" s="3">
        <f>IF(AK26="", "", IF(AK26&lt;=Calc!$E$24, "OK", "CHECK"))</f>
        <v/>
      </c>
      <c r="AM26" s="11">
        <f>IF(AK26="", 45, 45 + AK26 * 0.545)</f>
        <v/>
      </c>
      <c r="AN26" s="3">
        <f>IF(AM26="", "", IF(AM26&lt;=Calc!$E$37, "OK", "NG"))</f>
        <v/>
      </c>
      <c r="AO26" s="11">
        <f>IF(AK26="", "", AK26/Calc!$E$26)</f>
        <v/>
      </c>
      <c r="AP26" s="3">
        <f>IF(AO26="", "", IF(AO26&lt;=Calc!$E$25, "OK", "CHECK"))</f>
        <v/>
      </c>
      <c r="AQ26" s="11">
        <f>IF(AK26="", "", AK26 * Calc!$E$42)</f>
        <v/>
      </c>
      <c r="AR26" s="11">
        <f>IFERROR(IF(OR($A26="",U26="",AD26="",AD26=0),"",DEGREES((B26*Calc!$E$43)/(AD26*U26))),"")</f>
        <v/>
      </c>
      <c r="AS26" s="11">
        <f>IFERROR(IF(OR($A26="", U26="", AD26="", AD26=0), "", U26 - CONST_TANKS!$E$13 / AD26),"")</f>
        <v/>
      </c>
      <c r="AT26" s="11">
        <f>IF($A26="","",IF(OR($I26="",$I26=0),0,ROUND(H26/$I26,2)))</f>
        <v/>
      </c>
      <c r="AU26" s="11">
        <f>IF($A26="","",AT26 - $L26)</f>
        <v/>
      </c>
      <c r="AV26" s="11">
        <f>IF($A26="","",IF($B$13=0,0,AU26/$B$13))</f>
        <v/>
      </c>
      <c r="AW26" s="11">
        <f>IF(Z26="","",DEGREES(ASIN((Z26-Calc!$E$35)/Calc!$E$33)))</f>
        <v/>
      </c>
      <c r="AX26" s="3">
        <f>IF(AW26="","",IF(AW26&lt;=6,"OK","NG"))</f>
        <v/>
      </c>
      <c r="AY26" s="11">
        <f>IF(AM26="","",(AM26/4)/Calc!$E$36*9.81/1000)</f>
        <v/>
      </c>
      <c r="AZ26" s="3">
        <f>IF(AY26="","",IF(AY26&lt;=188,"OK","NG"))</f>
        <v/>
      </c>
      <c r="BA26" s="11">
        <f>IF(Z26="", "", IF(Z26&gt;=0, 0, ABS(Z26)+0.30))</f>
        <v/>
      </c>
      <c r="BB26" s="3">
        <f>IF(BA26="", "", IF($B$7&gt;=BA26, "OK", "CHECK"))</f>
        <v/>
      </c>
      <c r="BE26" t="inlineStr">
        <is>
          <t>solver</t>
        </is>
      </c>
      <c r="BN26" s="14" t="n">
        <v>3.65</v>
      </c>
    </row>
    <row r="27">
      <c r="A27" t="inlineStr">
        <is>
          <t>Stage 6C</t>
        </is>
      </c>
      <c r="B27" s="8" t="n">
        <v>3372.4</v>
      </c>
      <c r="C27" s="8" t="n">
        <v>27.42</v>
      </c>
      <c r="D27" s="8" t="n">
        <v>2.73</v>
      </c>
      <c r="E27" s="11" t="n">
        <v>1128.0156</v>
      </c>
      <c r="F27" s="11" t="n">
        <v>24.96301373716148</v>
      </c>
      <c r="G27" s="11" t="n">
        <v>3.684904557482417</v>
      </c>
      <c r="H27" s="11" t="n">
        <v>3.934534694854031</v>
      </c>
      <c r="I27" s="11">
        <f>IF($A27="","",(IF($R27="",$B$8,$R27) - F27) * $B$9)</f>
        <v/>
      </c>
      <c r="J27" s="11">
        <f>IF(OR(ISBLANK($B$14), ISBLANK($B$10), ISBLANK($B$15), ISERROR($B$10)), "", ROUND($B$14 - ($B$10 + $B$15/2), 2))</f>
        <v/>
      </c>
      <c r="K27" s="11">
        <f>IF(OR($A27="",$J27="", $J27=0),"",ROUND(I27 / $J27, 2))</f>
        <v/>
      </c>
      <c r="L27" s="11">
        <f>IF(OR(K27="", $B$13="", $B$13=0, ISERROR($B$13)), "", ROUND(ABS(K27) / $B$13, 2))</f>
        <v/>
      </c>
      <c r="M27" s="11">
        <f>IF(OR(F27="", OR($B$12="", $B$12=0)), "", ROUND(ABS(F27/100) * 50 * $B$12, 2))</f>
        <v/>
      </c>
      <c r="N27" s="11">
        <f>IF(OR(L27="", $B$13="", $B$13=0, ISERROR($B$13)), "", ROUND(L27 / $B$13, 2))</f>
        <v/>
      </c>
      <c r="O27">
        <f>IF(F27="", "", IF(ABS(F27/100) &lt;= ($B$15/50), "OK", "EXCESSIVE"))</f>
        <v/>
      </c>
      <c r="P27" s="11">
        <f>IF($A27="","",G27)</f>
        <v/>
      </c>
      <c r="Q27" s="11">
        <f>IF($A27="","",H27)</f>
        <v/>
      </c>
      <c r="R27" s="8" t="n">
        <v>221.9439252336448</v>
      </c>
      <c r="S27" s="11">
        <f>IF(P27="", "", $B$11 - P27 + $B$7)</f>
        <v/>
      </c>
      <c r="T27" s="11">
        <f>IF(Q27="", "", $B$11 - Q27 + $B$7)</f>
        <v/>
      </c>
      <c r="U27" s="11" t="n">
        <v>6.76</v>
      </c>
      <c r="V27" s="11">
        <f>P27</f>
        <v/>
      </c>
      <c r="W27" s="3">
        <f>IF(V27="","",IF(V27&lt;=Calc!$E$18,"OK","NG"))</f>
        <v/>
      </c>
      <c r="X27" s="11">
        <f>K27</f>
        <v/>
      </c>
      <c r="Y27" s="4" t="n"/>
      <c r="Z27" s="11">
        <f>IFERROR(IF(P27="","",$B$11 - P27 - Calc!$E$19), "")</f>
        <v/>
      </c>
      <c r="AA27" s="3">
        <f>IFERROR(IF(Z27="", "", IF(Z27&gt;=Calc!$E$20, "OK", "&lt;0.28m CHECK")), "")</f>
        <v/>
      </c>
      <c r="AB27" s="11" t="n">
        <v>6.76</v>
      </c>
      <c r="AC27" s="3" t="inlineStr">
        <is>
          <t>OK</t>
        </is>
      </c>
      <c r="AD27" s="11">
        <f>IF(A27="","",CONST_TANKS!$C$13+L27+B27)</f>
        <v/>
      </c>
      <c r="AE27" s="11">
        <f>IFERROR(IF(OR(X27="",$B$13="",$B$13=0),"",ROUND(ABS(X27)/$B$13,2)),"")</f>
        <v/>
      </c>
      <c r="AF27" s="11" t="n">
        <v>221.9439252336448</v>
      </c>
      <c r="AG27" s="11" t="n">
        <v>-370</v>
      </c>
      <c r="AH27" s="11" t="n">
        <v>3.480450975173905</v>
      </c>
      <c r="AI27" s="12" t="n">
        <v>3</v>
      </c>
      <c r="AJ27" s="13" t="inlineStr">
        <is>
          <t>LIMIT</t>
        </is>
      </c>
      <c r="AK27" s="4" t="n"/>
      <c r="AL27" s="3">
        <f>IF(AK27="", "", IF(AK27&lt;=Calc!$E$24, "OK", "CHECK"))</f>
        <v/>
      </c>
      <c r="AM27" s="11">
        <f>IF(AK27="", 45, 45 + AK27 * 0.545)</f>
        <v/>
      </c>
      <c r="AN27" s="3">
        <f>IF(AM27="", "", IF(AM27&lt;=Calc!$E$37, "OK", "NG"))</f>
        <v/>
      </c>
      <c r="AO27" s="11">
        <f>IF(AK27="", "", AK27/Calc!$E$26)</f>
        <v/>
      </c>
      <c r="AP27" s="3">
        <f>IF(AO27="", "", IF(AO27&lt;=Calc!$E$25, "OK", "CHECK"))</f>
        <v/>
      </c>
      <c r="AQ27" s="11">
        <f>IF(AK27="", "", AK27 * Calc!$E$42)</f>
        <v/>
      </c>
      <c r="AR27" s="11">
        <f>IFERROR(IF(OR($A27="",U27="",AD27="",AD27=0),"",DEGREES((B27*Calc!$E$43)/(AD27*U27))),"")</f>
        <v/>
      </c>
      <c r="AS27" s="11">
        <f>IFERROR(IF(OR($A27="", U27="", AD27="", AD27=0), "", U27 - CONST_TANKS!$E$13 / AD27),"")</f>
        <v/>
      </c>
      <c r="AT27" s="11">
        <f>IF($A27="","",IF(OR($I27="",$I27=0),0,ROUND(H27/$I27,2)))</f>
        <v/>
      </c>
      <c r="AU27" s="11">
        <f>IF($A27="","",AT27 - $L27)</f>
        <v/>
      </c>
      <c r="AV27" s="11">
        <f>IF($A27="","",IF($B$13=0,0,AU27/$B$13))</f>
        <v/>
      </c>
      <c r="AW27" s="11">
        <f>IF(Z27="","",DEGREES(ASIN((Z27-Calc!$E$35)/Calc!$E$33)))</f>
        <v/>
      </c>
      <c r="AX27" s="3">
        <f>IF(AW27="","",IF(AW27&lt;=6,"OK","NG"))</f>
        <v/>
      </c>
      <c r="AY27" s="11">
        <f>IF(AM27="","",(AM27/4)/Calc!$E$36*9.81/1000)</f>
        <v/>
      </c>
      <c r="AZ27" s="3">
        <f>IF(AY27="","",IF(AY27&lt;=188,"OK","NG"))</f>
        <v/>
      </c>
      <c r="BA27" s="11">
        <f>IF(Z27="", "", IF(Z27&gt;=0, 0, ABS(Z27)+0.30))</f>
        <v/>
      </c>
      <c r="BB27" s="3">
        <f>IF(BA27="", "", IF($B$7&gt;=BA27, "OK", "CHECK"))</f>
        <v/>
      </c>
      <c r="BE27" t="inlineStr">
        <is>
          <t>solver</t>
        </is>
      </c>
      <c r="BN27" s="14" t="n">
        <v>3.65</v>
      </c>
    </row>
    <row r="28">
      <c r="A28" t="inlineStr">
        <is>
          <t>Stage 7</t>
        </is>
      </c>
      <c r="B28" s="8" t="n">
        <v>2800</v>
      </c>
      <c r="C28" s="8" t="inlineStr"/>
      <c r="D28" s="8" t="n">
        <v>0</v>
      </c>
      <c r="E28" s="11" t="n">
        <v>0</v>
      </c>
      <c r="F28" s="11" t="n">
        <v>0</v>
      </c>
      <c r="G28" s="11" t="n">
        <v>3.268146718146718</v>
      </c>
      <c r="H28" s="11" t="n">
        <v>3.268146718146718</v>
      </c>
      <c r="I28" s="11">
        <f>IF($A28="","",(IF($R28="",$B$8,$R28) - F28) * $B$9)</f>
        <v/>
      </c>
      <c r="J28" s="11">
        <f>IF(OR(ISBLANK($B$14), ISBLANK($B$10), ISBLANK($B$15), ISERROR($B$10)), "", ROUND($B$14 - ($B$10 + $B$15/2), 2))</f>
        <v/>
      </c>
      <c r="K28" s="11">
        <f>IF(OR($A28="",$J28="", $J28=0),"",ROUND(I28 / $J28, 2))</f>
        <v/>
      </c>
      <c r="L28" s="11">
        <f>IF(OR(K28="", $B$13="", $B$13=0, ISERROR($B$13)), "", ROUND(ABS(K28) / $B$13, 2))</f>
        <v/>
      </c>
      <c r="M28" s="11">
        <f>IF(OR(F28="", OR($B$12="", $B$12=0)), "", ROUND(ABS(F28/100) * 50 * $B$12, 2))</f>
        <v/>
      </c>
      <c r="N28" s="11">
        <f>IF(OR(L28="", $B$13="", $B$13=0, ISERROR($B$13)), "", ROUND(L28 / $B$13, 2))</f>
        <v/>
      </c>
      <c r="O28">
        <f>IF(F28="", "", IF(ABS(F28/100) &lt;= ($B$15/50), "OK", "EXCESSIVE"))</f>
        <v/>
      </c>
      <c r="P28" s="11">
        <f>IF($A28="","",G28)</f>
        <v/>
      </c>
      <c r="Q28" s="11">
        <f>IF($A28="","",H28)</f>
        <v/>
      </c>
      <c r="R28" s="8" t="n">
        <v>113.6293436293435</v>
      </c>
      <c r="S28" s="11">
        <f>IF(P28="", "", $B$11 - P28 + $B$7)</f>
        <v/>
      </c>
      <c r="T28" s="11">
        <f>IF(Q28="", "", $B$11 - Q28 + $B$7)</f>
        <v/>
      </c>
      <c r="U28" s="11" t="n">
        <v>7.93</v>
      </c>
      <c r="V28" s="11">
        <f>P28</f>
        <v/>
      </c>
      <c r="W28" s="3">
        <f>IF(V28="","",IF(V28&lt;=Calc!$E$18,"OK","NG"))</f>
        <v/>
      </c>
      <c r="X28" s="11">
        <f>K28</f>
        <v/>
      </c>
      <c r="Y28" s="4" t="n"/>
      <c r="Z28" s="11">
        <f>IFERROR(IF(P28="","",$B$11 - P28 - Calc!$E$19), "")</f>
        <v/>
      </c>
      <c r="AA28" s="3">
        <f>IFERROR(IF(Z28="", "", IF(Z28&gt;=Calc!$E$20, "OK", "&lt;0.28m CHECK")), "")</f>
        <v/>
      </c>
      <c r="AB28" s="11" t="n">
        <v>7.93</v>
      </c>
      <c r="AC28" s="3" t="inlineStr">
        <is>
          <t>OK</t>
        </is>
      </c>
      <c r="AD28" s="11">
        <f>IF(A28="","",CONST_TANKS!$C$13+L28+B28)</f>
        <v/>
      </c>
      <c r="AE28" s="11">
        <f>IFERROR(IF(OR(X28="",$B$13="",$B$13=0),"",ROUND(ABS(X28)/$B$13,2)),"")</f>
        <v/>
      </c>
      <c r="AF28" s="11" t="n">
        <v>113.6293436293435</v>
      </c>
      <c r="AG28" s="11" t="n">
        <v>1014.28</v>
      </c>
      <c r="AH28" s="11" t="n">
        <v>3.480066030434783</v>
      </c>
      <c r="AI28" s="12" t="n">
        <v>0</v>
      </c>
      <c r="AJ28" s="13" t="inlineStr">
        <is>
          <t>LIMIT</t>
        </is>
      </c>
      <c r="AK28" s="4" t="n"/>
      <c r="AL28" s="3">
        <f>IF(AK28="", "", IF(AK28&lt;=Calc!$E$24, "OK", "CHECK"))</f>
        <v/>
      </c>
      <c r="AM28" s="11">
        <f>IF(AK28="", 45, 45 + AK28 * 0.545)</f>
        <v/>
      </c>
      <c r="AN28" s="3">
        <f>IF(AM28="", "", IF(AM28&lt;=Calc!$E$37, "OK", "NG"))</f>
        <v/>
      </c>
      <c r="AO28" s="11">
        <f>IF(AK28="", "", AK28/Calc!$E$26)</f>
        <v/>
      </c>
      <c r="AP28" s="3">
        <f>IF(AO28="", "", IF(AO28&lt;=Calc!$E$25, "OK", "CHECK"))</f>
        <v/>
      </c>
      <c r="AQ28" s="11">
        <f>IF(AK28="", "", AK28 * Calc!$E$42)</f>
        <v/>
      </c>
      <c r="AR28" s="11">
        <f>IFERROR(IF(OR($A28="",U28="",AD28="",AD28=0),"",DEGREES((B28*Calc!$E$43)/(AD28*U28))),"")</f>
        <v/>
      </c>
      <c r="AS28" s="11">
        <f>IFERROR(IF(OR($A28="", U28="", AD28="", AD28=0), "", U28 - CONST_TANKS!$E$13 / AD28),"")</f>
        <v/>
      </c>
      <c r="AT28" s="11">
        <f>IF($A28="","",IF(OR($I28="",$I28=0),0,ROUND(H28/$I28,2)))</f>
        <v/>
      </c>
      <c r="AU28" s="11">
        <f>IF($A28="","",AT28 - $L28)</f>
        <v/>
      </c>
      <c r="AV28" s="11">
        <f>IF($A28="","",IF($B$13=0,0,AU28/$B$13))</f>
        <v/>
      </c>
      <c r="AW28" s="11">
        <f>IF(Z28="","",DEGREES(ASIN((Z28-Calc!$E$35)/Calc!$E$33)))</f>
        <v/>
      </c>
      <c r="AX28" s="3">
        <f>IF(AW28="","",IF(AW28&lt;=6,"OK","NG"))</f>
        <v/>
      </c>
      <c r="AY28" s="11">
        <f>IF(AM28="","",(AM28/4)/Calc!$E$36*9.81/1000)</f>
        <v/>
      </c>
      <c r="AZ28" s="3">
        <f>IF(AY28="","",IF(AY28&lt;=188,"OK","NG"))</f>
        <v/>
      </c>
      <c r="BA28" s="11">
        <f>IF(Z28="", "", IF(Z28&gt;=0, 0, ABS(Z28)+0.30))</f>
        <v/>
      </c>
      <c r="BB28" s="3">
        <f>IF(BA28="", "", IF($B$7&gt;=BA28, "OK", "CHECK"))</f>
        <v/>
      </c>
      <c r="BE28" t="inlineStr">
        <is>
          <t>solver</t>
        </is>
      </c>
      <c r="BN28" s="14" t="n">
        <v>3.65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RORO Stage ΔTM &amp; Lever Arm Verification Report</t>
        </is>
      </c>
    </row>
    <row r="3">
      <c r="A3" s="3" t="inlineStr">
        <is>
          <t>주의: ΔTM(Python) vs ΔTM(Excel) 비교. |ΔTM_diff| &gt; 0.50 → Flag=CHECK.</t>
        </is>
      </c>
    </row>
    <row r="5">
      <c r="A5" s="15" t="inlineStr">
        <is>
          <t>Stage</t>
        </is>
      </c>
      <c r="B5" s="15" t="inlineStr">
        <is>
          <t>W_stage_t</t>
        </is>
      </c>
      <c r="C5" s="15" t="inlineStr">
        <is>
          <t>x_stage_m</t>
        </is>
      </c>
      <c r="D5" s="15" t="inlineStr">
        <is>
          <t>Trim_cm (Python)</t>
        </is>
      </c>
      <c r="E5" s="15" t="inlineStr">
        <is>
          <t>Trim_target_stage_cm</t>
        </is>
      </c>
      <c r="F5" s="15" t="inlineStr">
        <is>
          <t>MTC_t_m_per_cm</t>
        </is>
      </c>
      <c r="G5" s="15" t="inlineStr">
        <is>
          <t>ΔTM_cm_tm (Python)</t>
        </is>
      </c>
      <c r="H5" s="15" t="inlineStr">
        <is>
          <t>ΔTM_cm_tm (Excel)</t>
        </is>
      </c>
      <c r="I5" s="15" t="inlineStr">
        <is>
          <t>ΔTM_diff (Py-XL)</t>
        </is>
      </c>
      <c r="J5" s="15" t="inlineStr">
        <is>
          <t>Flag (|ΔTM_diff|&gt;0.50)</t>
        </is>
      </c>
      <c r="K5" s="15" t="inlineStr">
        <is>
          <t>Lever_arm_m (Python)</t>
        </is>
      </c>
      <c r="L5" s="15" t="inlineStr">
        <is>
          <t>Ballast_t_calc (Python)</t>
        </is>
      </c>
      <c r="M5" s="15" t="inlineStr">
        <is>
          <t>비고</t>
        </is>
      </c>
    </row>
    <row r="6">
      <c r="A6" s="3" t="inlineStr">
        <is>
          <t>Stage 1</t>
        </is>
      </c>
      <c r="B6" s="11" t="n">
        <v>2800</v>
      </c>
      <c r="C6" s="11" t="n">
        <v>0</v>
      </c>
      <c r="D6" s="11" t="n">
        <v>0</v>
      </c>
      <c r="E6" s="11" t="n">
        <v>10</v>
      </c>
      <c r="F6" s="11" t="n">
        <v>0</v>
      </c>
      <c r="G6" s="11" t="n">
        <v>0</v>
      </c>
      <c r="J6" s="3" t="inlineStr">
        <is>
          <t>NO_DATA</t>
        </is>
      </c>
      <c r="K6" s="11" t="n">
        <v>-30.03</v>
      </c>
      <c r="L6" s="11" t="n">
        <v>-0</v>
      </c>
      <c r="M6" s="3" t="inlineStr">
        <is>
          <t>MTC=0.0; Excel ΔTM 없음</t>
        </is>
      </c>
    </row>
    <row r="7">
      <c r="A7" s="3" t="inlineStr">
        <is>
          <t>Stage 2</t>
        </is>
      </c>
      <c r="B7" s="11" t="n">
        <v>3071.2</v>
      </c>
      <c r="C7" s="11" t="n">
        <v>4</v>
      </c>
      <c r="D7" s="11" t="n">
        <v>20.6</v>
      </c>
      <c r="E7" s="11" t="n">
        <v>-96.5</v>
      </c>
      <c r="F7" s="11" t="n">
        <v>0</v>
      </c>
      <c r="G7" s="11" t="n">
        <v>0</v>
      </c>
      <c r="J7" s="3" t="inlineStr">
        <is>
          <t>NO_DATA</t>
        </is>
      </c>
      <c r="K7" s="11" t="n">
        <v>-30.03</v>
      </c>
      <c r="L7" s="11" t="n">
        <v>-0</v>
      </c>
      <c r="M7" s="3" t="inlineStr">
        <is>
          <t>MTC=0.0; Excel ΔTM 없음</t>
        </is>
      </c>
    </row>
    <row r="8">
      <c r="A8" s="3" t="inlineStr">
        <is>
          <t>Stage 3</t>
        </is>
      </c>
      <c r="B8" s="11" t="n">
        <v>3071.2</v>
      </c>
      <c r="C8" s="11" t="n">
        <v>4</v>
      </c>
      <c r="D8" s="11" t="n">
        <v>20.6</v>
      </c>
      <c r="E8" s="11" t="n">
        <v>-96.5</v>
      </c>
      <c r="F8" s="11" t="n">
        <v>0</v>
      </c>
      <c r="G8" s="11" t="n">
        <v>0</v>
      </c>
      <c r="J8" s="3" t="inlineStr">
        <is>
          <t>NO_DATA</t>
        </is>
      </c>
      <c r="K8" s="11" t="n">
        <v>-30.03</v>
      </c>
      <c r="L8" s="11" t="n">
        <v>-0</v>
      </c>
      <c r="M8" s="3" t="inlineStr">
        <is>
          <t>MTC=0.0; Excel ΔTM 없음</t>
        </is>
      </c>
    </row>
    <row r="9">
      <c r="A9" s="3" t="inlineStr">
        <is>
          <t>Stage 4</t>
        </is>
      </c>
      <c r="B9" s="11" t="n">
        <v>3071.2</v>
      </c>
      <c r="C9" s="11" t="n">
        <v>4.5</v>
      </c>
      <c r="D9" s="11" t="n">
        <v>23.78</v>
      </c>
      <c r="E9" s="11" t="n">
        <v>-96.5</v>
      </c>
      <c r="F9" s="11" t="n">
        <v>0</v>
      </c>
      <c r="G9" s="11" t="n">
        <v>0</v>
      </c>
      <c r="J9" s="3" t="inlineStr">
        <is>
          <t>NO_DATA</t>
        </is>
      </c>
      <c r="K9" s="11" t="n">
        <v>-30.03</v>
      </c>
      <c r="L9" s="11" t="n">
        <v>-0</v>
      </c>
      <c r="M9" s="3" t="inlineStr">
        <is>
          <t>MTC=0.0; Excel ΔTM 없음</t>
        </is>
      </c>
    </row>
    <row r="10">
      <c r="A10" s="3" t="inlineStr">
        <is>
          <t>Stage 5</t>
        </is>
      </c>
      <c r="B10" s="11" t="n">
        <v>3071.2</v>
      </c>
      <c r="C10" s="11" t="n">
        <v>4.5</v>
      </c>
      <c r="D10" s="11" t="n">
        <v>23.78</v>
      </c>
      <c r="E10" s="11" t="n">
        <v>-89.58</v>
      </c>
      <c r="F10" s="11" t="n">
        <v>0</v>
      </c>
      <c r="G10" s="11" t="n">
        <v>0</v>
      </c>
      <c r="J10" s="3" t="inlineStr">
        <is>
          <t>NO_DATA</t>
        </is>
      </c>
      <c r="K10" s="11" t="n">
        <v>-30.03</v>
      </c>
      <c r="L10" s="11" t="n">
        <v>-0</v>
      </c>
      <c r="M10" s="3" t="inlineStr">
        <is>
          <t>MTC=0.0; Excel ΔTM 없음</t>
        </is>
      </c>
    </row>
    <row r="11">
      <c r="A11" s="3" t="inlineStr">
        <is>
          <t>Stage 5_PreBallast</t>
        </is>
      </c>
      <c r="B11" s="11" t="n">
        <v>3217.27</v>
      </c>
      <c r="C11" s="11" t="n">
        <v>4.51</v>
      </c>
      <c r="D11" s="11" t="n">
        <v>33.18</v>
      </c>
      <c r="E11" s="11" t="n">
        <v>240</v>
      </c>
      <c r="F11" s="11" t="n">
        <v>0</v>
      </c>
      <c r="G11" s="11" t="n">
        <v>0</v>
      </c>
      <c r="J11" s="3" t="inlineStr">
        <is>
          <t>NO_DATA</t>
        </is>
      </c>
      <c r="K11" s="11" t="n">
        <v>-30.03</v>
      </c>
      <c r="L11" s="11" t="n">
        <v>-0</v>
      </c>
      <c r="M11" s="3" t="inlineStr">
        <is>
          <t>MTC=0.0; Excel ΔTM 없음</t>
        </is>
      </c>
    </row>
    <row r="12">
      <c r="A12" s="3" t="inlineStr">
        <is>
          <t>Stage 6A_Critical (Opt C)</t>
        </is>
      </c>
      <c r="B12" s="11" t="n">
        <v>3372.4</v>
      </c>
      <c r="C12" s="11" t="n">
        <v>4.79</v>
      </c>
      <c r="D12" s="11" t="n">
        <v>67.87</v>
      </c>
      <c r="E12" s="11" t="n">
        <v>10</v>
      </c>
      <c r="F12" s="11" t="n">
        <v>0</v>
      </c>
      <c r="G12" s="11" t="n">
        <v>0</v>
      </c>
      <c r="J12" s="3" t="inlineStr">
        <is>
          <t>NO_DATA</t>
        </is>
      </c>
      <c r="K12" s="11" t="n">
        <v>-30.03</v>
      </c>
      <c r="L12" s="11" t="n">
        <v>-0</v>
      </c>
      <c r="M12" s="3" t="inlineStr">
        <is>
          <t>MTC=0.0; Excel ΔTM 없음</t>
        </is>
      </c>
    </row>
    <row r="13">
      <c r="A13" s="3" t="inlineStr">
        <is>
          <t>Stage 6C_TotalMassOpt</t>
        </is>
      </c>
      <c r="B13" s="11" t="n">
        <v>3372.4</v>
      </c>
      <c r="C13" s="11" t="n">
        <v>2.73</v>
      </c>
      <c r="D13" s="11" t="n">
        <v>24.96</v>
      </c>
      <c r="E13" s="11" t="n">
        <v>-96.5</v>
      </c>
      <c r="F13" s="11" t="n">
        <v>0</v>
      </c>
      <c r="G13" s="11" t="n">
        <v>0</v>
      </c>
      <c r="J13" s="3" t="inlineStr">
        <is>
          <t>NO_DATA</t>
        </is>
      </c>
      <c r="K13" s="11" t="n">
        <v>-30.03</v>
      </c>
      <c r="L13" s="11" t="n">
        <v>-0</v>
      </c>
      <c r="M13" s="3" t="inlineStr">
        <is>
          <t>MTC=0.0; Excel ΔTM 없음</t>
        </is>
      </c>
    </row>
    <row r="14">
      <c r="A14" s="3" t="inlineStr">
        <is>
          <t>Stage 6C</t>
        </is>
      </c>
      <c r="B14" s="11" t="n">
        <v>3372.4</v>
      </c>
      <c r="C14" s="11" t="n">
        <v>2.73</v>
      </c>
      <c r="D14" s="11" t="n">
        <v>24.96</v>
      </c>
      <c r="E14" s="11" t="n">
        <v>-96.5</v>
      </c>
      <c r="F14" s="11" t="n">
        <v>0</v>
      </c>
      <c r="G14" s="11" t="n">
        <v>0</v>
      </c>
      <c r="J14" s="3" t="inlineStr">
        <is>
          <t>NO_DATA</t>
        </is>
      </c>
      <c r="K14" s="11" t="n">
        <v>-30.03</v>
      </c>
      <c r="L14" s="11" t="n">
        <v>-0</v>
      </c>
      <c r="M14" s="3" t="inlineStr">
        <is>
          <t>MTC=0.0; Excel ΔTM 없음</t>
        </is>
      </c>
    </row>
    <row r="15">
      <c r="A15" s="3" t="inlineStr">
        <is>
          <t>Stage 7</t>
        </is>
      </c>
      <c r="B15" s="11" t="n">
        <v>2800</v>
      </c>
      <c r="C15" s="11" t="n">
        <v>0</v>
      </c>
      <c r="D15" s="11" t="n">
        <v>0</v>
      </c>
      <c r="E15" s="11" t="n">
        <v>10</v>
      </c>
      <c r="F15" s="11" t="n">
        <v>0</v>
      </c>
      <c r="G15" s="11" t="n">
        <v>0</v>
      </c>
      <c r="J15" s="3" t="inlineStr">
        <is>
          <t>NO_DATA</t>
        </is>
      </c>
      <c r="K15" s="11" t="n">
        <v>-30.03</v>
      </c>
      <c r="L15" s="11" t="n">
        <v>-0</v>
      </c>
      <c r="M15" s="3" t="inlineStr">
        <is>
          <t>MTC=0.0; Excel ΔTM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RORO Stage Draft &amp; Freeboard Margin Check</t>
        </is>
      </c>
    </row>
    <row r="3">
      <c r="A3" s="3" t="inlineStr">
        <is>
          <t>FWD limit=2.70 m, Linkspan min freeboard=0.28 m 기준.</t>
        </is>
      </c>
    </row>
    <row r="5">
      <c r="A5" s="15" t="inlineStr">
        <is>
          <t>Stage</t>
        </is>
      </c>
      <c r="B5" s="15" t="inlineStr">
        <is>
          <t>Dfwd_m</t>
        </is>
      </c>
      <c r="C5" s="15" t="inlineStr">
        <is>
          <t>Daft_m</t>
        </is>
      </c>
      <c r="D5" s="15" t="inlineStr">
        <is>
          <t>FWD_margin_m (limit-DFWD)</t>
        </is>
      </c>
      <c r="E5" s="15" t="inlineStr">
        <is>
          <t>FWD_Flag</t>
        </is>
      </c>
      <c r="F5" s="15" t="inlineStr">
        <is>
          <t>FWD_Freeboard_m (D-Dfwd)</t>
        </is>
      </c>
      <c r="G5" s="15" t="inlineStr">
        <is>
          <t>Linkspan_margin_m</t>
        </is>
      </c>
      <c r="H5" s="15" t="inlineStr">
        <is>
          <t>Linkspan_Flag</t>
        </is>
      </c>
      <c r="I5" s="15" t="inlineStr">
        <is>
          <t>Final_Flag</t>
        </is>
      </c>
      <c r="J5" s="15" t="inlineStr">
        <is>
          <t>비고</t>
        </is>
      </c>
    </row>
    <row r="6">
      <c r="A6" s="3" t="inlineStr">
        <is>
          <t>Stage 1</t>
        </is>
      </c>
      <c r="B6" s="11" t="n">
        <v>3.268</v>
      </c>
      <c r="C6" s="11" t="n">
        <v>3.268</v>
      </c>
      <c r="D6" s="11" t="n">
        <v>-0.5679999999999999</v>
      </c>
      <c r="E6" s="3" t="inlineStr">
        <is>
          <t>LIMIT</t>
        </is>
      </c>
      <c r="F6" s="11" t="n">
        <v>0.382</v>
      </c>
      <c r="G6" s="11" t="n">
        <v>0.102</v>
      </c>
      <c r="H6" s="3" t="inlineStr">
        <is>
          <t>OK</t>
        </is>
      </c>
      <c r="I6" s="3" t="inlineStr">
        <is>
          <t>LIMIT</t>
        </is>
      </c>
      <c r="J6" s="3" t="inlineStr"/>
    </row>
    <row r="7">
      <c r="A7" s="3" t="inlineStr">
        <is>
          <t>Stage 2</t>
        </is>
      </c>
      <c r="B7" s="11" t="n">
        <v>3.424</v>
      </c>
      <c r="C7" s="11" t="n">
        <v>3.63</v>
      </c>
      <c r="D7" s="11" t="n">
        <v>-0.724</v>
      </c>
      <c r="E7" s="3" t="inlineStr">
        <is>
          <t>LIMIT</t>
        </is>
      </c>
      <c r="F7" s="11" t="n">
        <v>0.226</v>
      </c>
      <c r="G7" s="11" t="n">
        <v>-0.054</v>
      </c>
      <c r="H7" s="3" t="inlineStr">
        <is>
          <t>CONTACT</t>
        </is>
      </c>
      <c r="I7" s="3" t="inlineStr">
        <is>
          <t>LIMIT</t>
        </is>
      </c>
      <c r="J7" s="3" t="inlineStr"/>
    </row>
    <row r="8">
      <c r="A8" s="3" t="inlineStr">
        <is>
          <t>Stage 3</t>
        </is>
      </c>
      <c r="B8" s="11" t="n">
        <v>3.424</v>
      </c>
      <c r="C8" s="11" t="n">
        <v>3.63</v>
      </c>
      <c r="D8" s="11" t="n">
        <v>-0.724</v>
      </c>
      <c r="E8" s="3" t="inlineStr">
        <is>
          <t>LIMIT</t>
        </is>
      </c>
      <c r="F8" s="11" t="n">
        <v>0.226</v>
      </c>
      <c r="G8" s="11" t="n">
        <v>-0.054</v>
      </c>
      <c r="H8" s="3" t="inlineStr">
        <is>
          <t>CONTACT</t>
        </is>
      </c>
      <c r="I8" s="3" t="inlineStr">
        <is>
          <t>LIMIT</t>
        </is>
      </c>
      <c r="J8" s="3" t="inlineStr"/>
    </row>
    <row r="9">
      <c r="A9" s="3" t="inlineStr">
        <is>
          <t>Stage 4</t>
        </is>
      </c>
      <c r="B9" s="11" t="n">
        <v>3.408</v>
      </c>
      <c r="C9" s="11" t="n">
        <v>3.646</v>
      </c>
      <c r="D9" s="11" t="n">
        <v>-0.708</v>
      </c>
      <c r="E9" s="3" t="inlineStr">
        <is>
          <t>LIMIT</t>
        </is>
      </c>
      <c r="F9" s="11" t="n">
        <v>0.242</v>
      </c>
      <c r="G9" s="11" t="n">
        <v>-0.038</v>
      </c>
      <c r="H9" s="3" t="inlineStr">
        <is>
          <t>CONTACT</t>
        </is>
      </c>
      <c r="I9" s="3" t="inlineStr">
        <is>
          <t>LIMIT</t>
        </is>
      </c>
      <c r="J9" s="3" t="inlineStr"/>
    </row>
    <row r="10">
      <c r="A10" s="3" t="inlineStr">
        <is>
          <t>Stage 5</t>
        </is>
      </c>
      <c r="B10" s="11" t="n">
        <v>3.408</v>
      </c>
      <c r="C10" s="11" t="n">
        <v>3.646</v>
      </c>
      <c r="D10" s="11" t="n">
        <v>-0.708</v>
      </c>
      <c r="E10" s="3" t="inlineStr">
        <is>
          <t>LIMIT</t>
        </is>
      </c>
      <c r="F10" s="11" t="n">
        <v>0.242</v>
      </c>
      <c r="G10" s="11" t="n">
        <v>-0.038</v>
      </c>
      <c r="H10" s="3" t="inlineStr">
        <is>
          <t>CONTACT</t>
        </is>
      </c>
      <c r="I10" s="3" t="inlineStr">
        <is>
          <t>LIMIT</t>
        </is>
      </c>
      <c r="J10" s="3" t="inlineStr"/>
    </row>
    <row r="11">
      <c r="A11" s="3" t="inlineStr">
        <is>
          <t>Stage 5_PreBallast</t>
        </is>
      </c>
      <c r="B11" s="11" t="n">
        <v>1.834</v>
      </c>
      <c r="C11" s="11" t="n">
        <v>2.166</v>
      </c>
      <c r="D11" s="11" t="n">
        <v>0.866</v>
      </c>
      <c r="E11" s="3" t="inlineStr">
        <is>
          <t>OK</t>
        </is>
      </c>
      <c r="F11" s="11" t="n">
        <v>1.816</v>
      </c>
      <c r="G11" s="11" t="n">
        <v>1.536</v>
      </c>
      <c r="H11" s="3" t="inlineStr">
        <is>
          <t>OK</t>
        </is>
      </c>
      <c r="I11" s="3" t="inlineStr">
        <is>
          <t>OK</t>
        </is>
      </c>
      <c r="J11" s="3" t="inlineStr"/>
    </row>
    <row r="12">
      <c r="A12" s="3" t="inlineStr">
        <is>
          <t>Stage 6A_Critical (Opt C)</t>
        </is>
      </c>
      <c r="B12" s="11" t="n">
        <v>1.661</v>
      </c>
      <c r="C12" s="11" t="n">
        <v>2.339</v>
      </c>
      <c r="D12" s="11" t="n">
        <v>1.039</v>
      </c>
      <c r="E12" s="3" t="inlineStr">
        <is>
          <t>OK</t>
        </is>
      </c>
      <c r="F12" s="11" t="n">
        <v>1.989</v>
      </c>
      <c r="G12" s="11" t="n">
        <v>1.709</v>
      </c>
      <c r="H12" s="3" t="inlineStr">
        <is>
          <t>OK</t>
        </is>
      </c>
      <c r="I12" s="3" t="inlineStr">
        <is>
          <t>OK</t>
        </is>
      </c>
      <c r="J12" s="3" t="inlineStr"/>
    </row>
    <row r="13">
      <c r="A13" s="3" t="inlineStr">
        <is>
          <t>Stage 6C_TotalMassOpt</t>
        </is>
      </c>
      <c r="B13" s="11" t="n">
        <v>3.685</v>
      </c>
      <c r="C13" s="11" t="n">
        <v>3.935</v>
      </c>
      <c r="D13" s="11" t="n">
        <v>-0.985</v>
      </c>
      <c r="E13" s="3" t="inlineStr">
        <is>
          <t>LIMIT</t>
        </is>
      </c>
      <c r="F13" s="11" t="n">
        <v>0</v>
      </c>
      <c r="G13" s="11" t="n">
        <v>-0.28</v>
      </c>
      <c r="H13" s="3" t="inlineStr">
        <is>
          <t>CONTACT</t>
        </is>
      </c>
      <c r="I13" s="3" t="inlineStr">
        <is>
          <t>LIMIT</t>
        </is>
      </c>
      <c r="J13" s="3" t="inlineStr"/>
    </row>
    <row r="14">
      <c r="A14" s="3" t="inlineStr">
        <is>
          <t>Stage 6C</t>
        </is>
      </c>
      <c r="B14" s="11" t="n">
        <v>3.685</v>
      </c>
      <c r="C14" s="11" t="n">
        <v>3.935</v>
      </c>
      <c r="D14" s="11" t="n">
        <v>-0.985</v>
      </c>
      <c r="E14" s="3" t="inlineStr">
        <is>
          <t>LIMIT</t>
        </is>
      </c>
      <c r="F14" s="11" t="n">
        <v>0</v>
      </c>
      <c r="G14" s="11" t="n">
        <v>-0.28</v>
      </c>
      <c r="H14" s="3" t="inlineStr">
        <is>
          <t>CONTACT</t>
        </is>
      </c>
      <c r="I14" s="3" t="inlineStr">
        <is>
          <t>LIMIT</t>
        </is>
      </c>
      <c r="J14" s="3" t="inlineStr"/>
    </row>
    <row r="15">
      <c r="A15" s="3" t="inlineStr">
        <is>
          <t>Stage 7</t>
        </is>
      </c>
      <c r="B15" s="11" t="n">
        <v>3.268</v>
      </c>
      <c r="C15" s="11" t="n">
        <v>3.268</v>
      </c>
      <c r="D15" s="11" t="n">
        <v>-0.5679999999999999</v>
      </c>
      <c r="E15" s="3" t="inlineStr">
        <is>
          <t>LIMIT</t>
        </is>
      </c>
      <c r="F15" s="11" t="n">
        <v>0.382</v>
      </c>
      <c r="G15" s="11" t="n">
        <v>0.102</v>
      </c>
      <c r="H15" s="3" t="inlineStr">
        <is>
          <t>OK</t>
        </is>
      </c>
      <c r="I15" s="3" t="inlineStr">
        <is>
          <t>LIMIT</t>
        </is>
      </c>
      <c r="J15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Ballast Scenario Comparison (Option 1 / 2 / 3)</t>
        </is>
      </c>
    </row>
    <row r="3">
      <c r="A3" s="3" t="inlineStr">
        <is>
          <t>각 시나리오별 총 Ballast, Pump 시간, FWD Draft margin, Linkspan freeboard margin 비교.</t>
        </is>
      </c>
    </row>
    <row r="5">
      <c r="A5" s="15" t="inlineStr">
        <is>
          <t>Scenario</t>
        </is>
      </c>
      <c r="B5" s="15" t="inlineStr">
        <is>
          <t>Total Ballast_t</t>
        </is>
      </c>
      <c r="C5" s="15" t="inlineStr">
        <is>
          <t>Pump Time_h</t>
        </is>
      </c>
      <c r="D5" s="15" t="inlineStr">
        <is>
          <t>FWD Draft Margin_m</t>
        </is>
      </c>
      <c r="E5" s="15" t="inlineStr">
        <is>
          <t>Linkspan Freeboard Margin_m</t>
        </is>
      </c>
      <c r="F5" s="15" t="inlineStr">
        <is>
          <t>Risk Comment</t>
        </is>
      </c>
    </row>
    <row r="6">
      <c r="A6" s="3" t="inlineStr">
        <is>
          <t>Option 1 – Pre-ballast Only</t>
        </is>
      </c>
      <c r="B6" s="11" t="n">
        <v>1425.41</v>
      </c>
      <c r="C6" s="11" t="n">
        <v>142.54</v>
      </c>
      <c r="D6" s="11" t="n">
        <v>0.87</v>
      </c>
      <c r="E6" s="11" t="n">
        <v>1.54</v>
      </c>
      <c r="F6" s="3" t="inlineStr"/>
    </row>
    <row r="7">
      <c r="A7" s="3" t="inlineStr">
        <is>
          <t>Option 2 – D-Day Dynamic</t>
        </is>
      </c>
      <c r="B7" s="11" t="n">
        <v>1375.26</v>
      </c>
      <c r="C7" s="11" t="n">
        <v>137.53</v>
      </c>
      <c r="D7" s="11" t="n">
        <v>1.04</v>
      </c>
      <c r="E7" s="11" t="n">
        <v>1.71</v>
      </c>
      <c r="F7" s="3" t="inlineStr"/>
    </row>
    <row r="8">
      <c r="A8" s="3" t="inlineStr">
        <is>
          <t>Option 3 – Split Stage</t>
        </is>
      </c>
      <c r="B8" s="11" t="n">
        <v>3133.56</v>
      </c>
      <c r="C8" s="11" t="n">
        <v>313.36</v>
      </c>
      <c r="D8" s="11" t="n">
        <v>-0.98</v>
      </c>
      <c r="E8" s="11" t="n">
        <v>-0.28</v>
      </c>
      <c r="F8" s="3" t="inlineStr">
        <is>
          <t>FWD margin &lt; 0.10m; Linkspan margin &lt; 0.10m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IS Code (2008) – General Criteria Check (GZ-based)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A0-30 (m-rad)</t>
        </is>
      </c>
      <c r="E3" s="7" t="inlineStr">
        <is>
          <t>A0-40 (m-rad)</t>
        </is>
      </c>
      <c r="F3" s="7" t="inlineStr">
        <is>
          <t>A30-40 (m-rad)</t>
        </is>
      </c>
      <c r="G3" s="7" t="inlineStr">
        <is>
          <t>GZmax (m)</t>
        </is>
      </c>
      <c r="H3" s="7" t="inlineStr">
        <is>
          <t>Ang@GZmax (deg)</t>
        </is>
      </c>
      <c r="I3" s="7" t="inlineStr">
        <is>
          <t>StableRange (deg)</t>
        </is>
      </c>
      <c r="J3" s="7" t="inlineStr">
        <is>
          <t>Basis/Missing</t>
        </is>
      </c>
    </row>
    <row r="4">
      <c r="A4" t="inlineStr">
        <is>
          <t>Stage 1</t>
        </is>
      </c>
      <c r="B4" t="inlineStr">
        <is>
          <t>Y</t>
        </is>
      </c>
      <c r="C4" t="inlineStr">
        <is>
          <t>PASS</t>
        </is>
      </c>
      <c r="D4" s="14" t="n">
        <v>0.2356194490192345</v>
      </c>
      <c r="E4" s="14" t="n">
        <v>0.4188790204786391</v>
      </c>
      <c r="F4" s="14" t="n">
        <v>0.1832595714594046</v>
      </c>
      <c r="G4" s="14" t="n">
        <v>1.2</v>
      </c>
      <c r="H4" s="14" t="n">
        <v>40</v>
      </c>
      <c r="I4" s="14" t="n">
        <v>40</v>
      </c>
      <c r="J4" t="inlineStr">
        <is>
          <t>map:data/GZ_Curves.json</t>
        </is>
      </c>
    </row>
    <row r="5">
      <c r="A5" t="inlineStr">
        <is>
          <t>Stage 2</t>
        </is>
      </c>
      <c r="B5" t="inlineStr">
        <is>
          <t>Y</t>
        </is>
      </c>
      <c r="C5" t="inlineStr">
        <is>
          <t>PASS</t>
        </is>
      </c>
      <c r="D5" s="14" t="n">
        <v>0.2356194490192345</v>
      </c>
      <c r="E5" s="14" t="n">
        <v>0.4188790204786391</v>
      </c>
      <c r="F5" s="14" t="n">
        <v>0.1832595714594046</v>
      </c>
      <c r="G5" s="14" t="n">
        <v>1.2</v>
      </c>
      <c r="H5" s="14" t="n">
        <v>40</v>
      </c>
      <c r="I5" s="14" t="n">
        <v>40</v>
      </c>
      <c r="J5" t="inlineStr">
        <is>
          <t>map:data/GZ_Curves.json</t>
        </is>
      </c>
    </row>
    <row r="6">
      <c r="A6" t="inlineStr">
        <is>
          <t>Stage 3</t>
        </is>
      </c>
      <c r="B6" t="inlineStr">
        <is>
          <t>Y</t>
        </is>
      </c>
      <c r="C6" t="inlineStr">
        <is>
          <t>PASS</t>
        </is>
      </c>
      <c r="D6" s="14" t="n">
        <v>0.2356194490192345</v>
      </c>
      <c r="E6" s="14" t="n">
        <v>0.4188790204786391</v>
      </c>
      <c r="F6" s="14" t="n">
        <v>0.1832595714594046</v>
      </c>
      <c r="G6" s="14" t="n">
        <v>1.2</v>
      </c>
      <c r="H6" s="14" t="n">
        <v>40</v>
      </c>
      <c r="I6" s="14" t="n">
        <v>40</v>
      </c>
      <c r="J6" t="inlineStr">
        <is>
          <t>map:data/GZ_Curves.json</t>
        </is>
      </c>
    </row>
    <row r="7">
      <c r="A7" t="inlineStr">
        <is>
          <t>Stage 4</t>
        </is>
      </c>
      <c r="B7" t="inlineStr">
        <is>
          <t>Y</t>
        </is>
      </c>
      <c r="C7" t="inlineStr">
        <is>
          <t>PASS</t>
        </is>
      </c>
      <c r="D7" s="14" t="n">
        <v>0.2356194490192345</v>
      </c>
      <c r="E7" s="14" t="n">
        <v>0.4188790204786391</v>
      </c>
      <c r="F7" s="14" t="n">
        <v>0.1832595714594046</v>
      </c>
      <c r="G7" s="14" t="n">
        <v>1.2</v>
      </c>
      <c r="H7" s="14" t="n">
        <v>40</v>
      </c>
      <c r="I7" s="14" t="n">
        <v>40</v>
      </c>
      <c r="J7" t="inlineStr">
        <is>
          <t>map:data/GZ_Curves.json</t>
        </is>
      </c>
    </row>
    <row r="8">
      <c r="A8" t="inlineStr">
        <is>
          <t>Stage 5</t>
        </is>
      </c>
      <c r="B8" t="inlineStr">
        <is>
          <t>Y</t>
        </is>
      </c>
      <c r="C8" t="inlineStr">
        <is>
          <t>PASS</t>
        </is>
      </c>
      <c r="D8" s="14" t="n">
        <v>0.2356194490192345</v>
      </c>
      <c r="E8" s="14" t="n">
        <v>0.4188790204786391</v>
      </c>
      <c r="F8" s="14" t="n">
        <v>0.1832595714594046</v>
      </c>
      <c r="G8" s="14" t="n">
        <v>1.2</v>
      </c>
      <c r="H8" s="14" t="n">
        <v>40</v>
      </c>
      <c r="I8" s="14" t="n">
        <v>40</v>
      </c>
      <c r="J8" t="inlineStr">
        <is>
          <t>map:data/GZ_Curves.json</t>
        </is>
      </c>
    </row>
    <row r="9">
      <c r="A9" t="inlineStr">
        <is>
          <t>Stage 5_PreBallast</t>
        </is>
      </c>
      <c r="B9" t="inlineStr">
        <is>
          <t>Y</t>
        </is>
      </c>
      <c r="C9" t="inlineStr">
        <is>
          <t>PASS</t>
        </is>
      </c>
      <c r="D9" s="14" t="n">
        <v>0.3141592653589793</v>
      </c>
      <c r="E9" s="14" t="n">
        <v>0.5585053606381855</v>
      </c>
      <c r="F9" s="14" t="n">
        <v>0.2443460952792061</v>
      </c>
      <c r="G9" s="14" t="n">
        <v>1.6</v>
      </c>
      <c r="H9" s="14" t="n">
        <v>40</v>
      </c>
      <c r="I9" s="14" t="n">
        <v>40</v>
      </c>
      <c r="J9" t="inlineStr">
        <is>
          <t>map:data/GZ_Curves.json</t>
        </is>
      </c>
    </row>
    <row r="10">
      <c r="A10" t="inlineStr">
        <is>
          <t>Stage 6A_Critical (Opt C)</t>
        </is>
      </c>
      <c r="B10" t="inlineStr">
        <is>
          <t>Y</t>
        </is>
      </c>
      <c r="C10" t="inlineStr">
        <is>
          <t>PASS</t>
        </is>
      </c>
      <c r="D10" s="14" t="n">
        <v>0.3141592653589793</v>
      </c>
      <c r="E10" s="14" t="n">
        <v>0.5585053606381855</v>
      </c>
      <c r="F10" s="14" t="n">
        <v>0.2443460952792061</v>
      </c>
      <c r="G10" s="14" t="n">
        <v>1.6</v>
      </c>
      <c r="H10" s="14" t="n">
        <v>40</v>
      </c>
      <c r="I10" s="14" t="n">
        <v>40</v>
      </c>
      <c r="J10" t="inlineStr">
        <is>
          <t>map:data/GZ_Curves.json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GZ curve points (provide data/GZ/&lt;stage&gt;.json or data/GZ_Curves.json)</t>
        </is>
      </c>
    </row>
    <row r="12">
      <c r="A12" t="inlineStr">
        <is>
          <t>Stage 6C</t>
        </is>
      </c>
      <c r="B12" t="inlineStr">
        <is>
          <t>Y</t>
        </is>
      </c>
      <c r="C12" t="inlineStr">
        <is>
          <t>PASS</t>
        </is>
      </c>
      <c r="D12" s="14" t="n">
        <v>0.2356194490192345</v>
      </c>
      <c r="E12" s="14" t="n">
        <v>0.4188790204786391</v>
      </c>
      <c r="F12" s="14" t="n">
        <v>0.1832595714594046</v>
      </c>
      <c r="G12" s="14" t="n">
        <v>1.2</v>
      </c>
      <c r="H12" s="14" t="n">
        <v>40</v>
      </c>
      <c r="I12" s="14" t="n">
        <v>40</v>
      </c>
      <c r="J12" t="inlineStr">
        <is>
          <t>map:data/GZ_Curves.json</t>
        </is>
      </c>
    </row>
    <row r="13">
      <c r="A13" t="inlineStr">
        <is>
          <t>Stage 7</t>
        </is>
      </c>
      <c r="B13" t="inlineStr">
        <is>
          <t>Y</t>
        </is>
      </c>
      <c r="C13" t="inlineStr">
        <is>
          <t>PASS</t>
        </is>
      </c>
      <c r="D13" s="14" t="n">
        <v>0.2356194490192345</v>
      </c>
      <c r="E13" s="14" t="n">
        <v>0.4188790204786391</v>
      </c>
      <c r="F13" s="14" t="n">
        <v>0.1832595714594046</v>
      </c>
      <c r="G13" s="14" t="n">
        <v>1.2</v>
      </c>
      <c r="H13" s="14" t="n">
        <v>40</v>
      </c>
      <c r="I13" s="14" t="n">
        <v>40</v>
      </c>
      <c r="J13" t="inlineStr">
        <is>
          <t>map:data/GZ_Curves.json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MWS / Harbour Master – Acceptance Criteria Gate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WindMax, HsMax, CurrentMax, UKCMin, RampAngleMax, AftDraftMax</t>
        </is>
      </c>
      <c r="E4" t="inlineStr">
        <is>
          <t>FwdDraftMax:3.268146718146718 &lt;= 2.7</t>
        </is>
      </c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WindMax, HsMax, CurrentMax, UKCMin, RampAngleMax, AftDraftMax</t>
        </is>
      </c>
      <c r="E5" t="inlineStr">
        <is>
          <t>FwdDraftMax:3.4239841222483425 &lt;= 2.7</t>
        </is>
      </c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WindMax, HsMax, CurrentMax, UKCMin, RampAngleMax, AftDraftMax</t>
        </is>
      </c>
      <c r="E6" t="inlineStr">
        <is>
          <t>FwdDraftMax:3.4239841222483425 &lt;= 2.7</t>
        </is>
      </c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WindMax, HsMax, CurrentMax, UKCMin, RampAngleMax, AftDraftMax</t>
        </is>
      </c>
      <c r="E7" t="inlineStr">
        <is>
          <t>FwdDraftMax:3.4080846147109654 &lt;= 2.7</t>
        </is>
      </c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WindMax, HsMax, CurrentMax, UKCMin, RampAngleMax, AftDraftMax</t>
        </is>
      </c>
      <c r="E8" t="inlineStr">
        <is>
          <t>FwdDraftMax:3.4080846147109654 &lt;= 2.7</t>
        </is>
      </c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WindMax, HsMax, CurrentMax, UKCMin, RampAngleMax, AftDraftMax</t>
        </is>
      </c>
      <c r="E9" t="inlineStr">
        <is>
          <t>FwdDraftMax:1.8340754705882354 &lt;= 2.7</t>
        </is>
      </c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WindMax, HsMax, CurrentMax, UKCMin, RampAngleMax, AftDraftMax</t>
        </is>
      </c>
      <c r="E10" t="inlineStr">
        <is>
          <t>FwdDraftMax:1.6606271176470588 &lt;= 2.7</t>
        </is>
      </c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WindMax, HsMax, CurrentMax, UKCMin, RampAngleMax, AftDraftMax</t>
        </is>
      </c>
      <c r="E11" t="inlineStr">
        <is>
          <t>FwdDraftMax:3.684904557482417 &lt;= 2.7</t>
        </is>
      </c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WindMax, HsMax, CurrentMax, UKCMin, RampAngleMax, AftDraftMax</t>
        </is>
      </c>
      <c r="E12" t="inlineStr">
        <is>
          <t>FwdDraftMax:3.684904557482417 &lt;= 2.7</t>
        </is>
      </c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WindMax, HsMax, CurrentMax, UKCMin, RampAngleMax, AftDraftMax</t>
        </is>
      </c>
      <c r="E13" t="inlineStr">
        <is>
          <t>FwdDraftMax:3.268146718146718 &lt;= 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5" max="5"/>
  </cols>
  <sheetData>
    <row r="1">
      <c r="A1" s="1" t="inlineStr">
        <is>
          <t>Structural Gate – Deck / Ramp / Point Load (data-driven)</t>
        </is>
      </c>
    </row>
    <row r="3">
      <c r="A3" s="7" t="inlineStr">
        <is>
          <t>Stage</t>
        </is>
      </c>
      <c r="B3" s="7" t="inlineStr">
        <is>
          <t>Available</t>
        </is>
      </c>
      <c r="C3" s="7" t="inlineStr">
        <is>
          <t>PASS</t>
        </is>
      </c>
      <c r="D3" s="7" t="inlineStr">
        <is>
          <t>Missing</t>
        </is>
      </c>
      <c r="E3" s="7" t="inlineStr">
        <is>
          <t>Checks (key: value op limit)</t>
        </is>
      </c>
    </row>
    <row r="4">
      <c r="A4" t="inlineStr">
        <is>
          <t>Stage 1</t>
        </is>
      </c>
      <c r="B4" t="inlineStr">
        <is>
          <t>N</t>
        </is>
      </c>
      <c r="C4" t="inlineStr">
        <is>
          <t>FAIL</t>
        </is>
      </c>
      <c r="D4" t="inlineStr">
        <is>
          <t>DeckPressure, PointLoad, RampPlate</t>
        </is>
      </c>
      <c r="E4" t="inlineStr"/>
    </row>
    <row r="5">
      <c r="A5" t="inlineStr">
        <is>
          <t>Stage 2</t>
        </is>
      </c>
      <c r="B5" t="inlineStr">
        <is>
          <t>N</t>
        </is>
      </c>
      <c r="C5" t="inlineStr">
        <is>
          <t>FAIL</t>
        </is>
      </c>
      <c r="D5" t="inlineStr">
        <is>
          <t>DeckPressure, PointLoad, RampPlate</t>
        </is>
      </c>
      <c r="E5" t="inlineStr"/>
    </row>
    <row r="6">
      <c r="A6" t="inlineStr">
        <is>
          <t>Stage 3</t>
        </is>
      </c>
      <c r="B6" t="inlineStr">
        <is>
          <t>N</t>
        </is>
      </c>
      <c r="C6" t="inlineStr">
        <is>
          <t>FAIL</t>
        </is>
      </c>
      <c r="D6" t="inlineStr">
        <is>
          <t>DeckPressure, PointLoad, RampPlate</t>
        </is>
      </c>
      <c r="E6" t="inlineStr"/>
    </row>
    <row r="7">
      <c r="A7" t="inlineStr">
        <is>
          <t>Stage 4</t>
        </is>
      </c>
      <c r="B7" t="inlineStr">
        <is>
          <t>N</t>
        </is>
      </c>
      <c r="C7" t="inlineStr">
        <is>
          <t>FAIL</t>
        </is>
      </c>
      <c r="D7" t="inlineStr">
        <is>
          <t>DeckPressure, PointLoad, RampPlate</t>
        </is>
      </c>
      <c r="E7" t="inlineStr"/>
    </row>
    <row r="8">
      <c r="A8" t="inlineStr">
        <is>
          <t>Stage 5</t>
        </is>
      </c>
      <c r="B8" t="inlineStr">
        <is>
          <t>N</t>
        </is>
      </c>
      <c r="C8" t="inlineStr">
        <is>
          <t>FAIL</t>
        </is>
      </c>
      <c r="D8" t="inlineStr">
        <is>
          <t>DeckPressure, PointLoad, RampPlate</t>
        </is>
      </c>
      <c r="E8" t="inlineStr"/>
    </row>
    <row r="9">
      <c r="A9" t="inlineStr">
        <is>
          <t>Stage 5_PreBallast</t>
        </is>
      </c>
      <c r="B9" t="inlineStr">
        <is>
          <t>N</t>
        </is>
      </c>
      <c r="C9" t="inlineStr">
        <is>
          <t>FAIL</t>
        </is>
      </c>
      <c r="D9" t="inlineStr">
        <is>
          <t>DeckPressure, PointLoad, RampPlate</t>
        </is>
      </c>
      <c r="E9" t="inlineStr"/>
    </row>
    <row r="10">
      <c r="A10" t="inlineStr">
        <is>
          <t>Stage 6A_Critical (Opt C)</t>
        </is>
      </c>
      <c r="B10" t="inlineStr">
        <is>
          <t>N</t>
        </is>
      </c>
      <c r="C10" t="inlineStr">
        <is>
          <t>FAIL</t>
        </is>
      </c>
      <c r="D10" t="inlineStr">
        <is>
          <t>DeckPressure, PointLoad, RampPlate</t>
        </is>
      </c>
      <c r="E10" t="inlineStr"/>
    </row>
    <row r="11">
      <c r="A11" t="inlineStr">
        <is>
          <t>Stage 6C_TotalMassOpt</t>
        </is>
      </c>
      <c r="B11" t="inlineStr">
        <is>
          <t>N</t>
        </is>
      </c>
      <c r="C11" t="inlineStr">
        <is>
          <t>FAIL</t>
        </is>
      </c>
      <c r="D11" t="inlineStr">
        <is>
          <t>DeckPressure, PointLoad, RampPlate</t>
        </is>
      </c>
      <c r="E11" t="inlineStr"/>
    </row>
    <row r="12">
      <c r="A12" t="inlineStr">
        <is>
          <t>Stage 6C</t>
        </is>
      </c>
      <c r="B12" t="inlineStr">
        <is>
          <t>N</t>
        </is>
      </c>
      <c r="C12" t="inlineStr">
        <is>
          <t>FAIL</t>
        </is>
      </c>
      <c r="D12" t="inlineStr">
        <is>
          <t>DeckPressure, PointLoad, RampPlate</t>
        </is>
      </c>
      <c r="E12" t="inlineStr"/>
    </row>
    <row r="13">
      <c r="A13" t="inlineStr">
        <is>
          <t>Stage 7</t>
        </is>
      </c>
      <c r="B13" t="inlineStr">
        <is>
          <t>N</t>
        </is>
      </c>
      <c r="C13" t="inlineStr">
        <is>
          <t>FAIL</t>
        </is>
      </c>
      <c r="D13" t="inlineStr">
        <is>
          <t>DeckPressure, PointLoad, RampPlate</t>
        </is>
      </c>
      <c r="E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0" customWidth="1" min="5" max="5"/>
  </cols>
  <sheetData>
    <row r="1">
      <c r="A1" s="1" t="inlineStr">
        <is>
          <t>CSM Traceability – Inputs used for securing (CSS Code / CSM)</t>
        </is>
      </c>
    </row>
    <row r="3">
      <c r="A3" t="inlineStr">
        <is>
          <t>Available</t>
        </is>
      </c>
      <c r="B3" t="inlineStr">
        <is>
          <t>Y</t>
        </is>
      </c>
    </row>
    <row r="4">
      <c r="A4" t="inlineStr">
        <is>
          <t>Basis</t>
        </is>
      </c>
      <c r="B4" t="inlineStr">
        <is>
          <t>Securing_Input.json</t>
        </is>
      </c>
    </row>
    <row r="5">
      <c r="A5" t="inlineStr">
        <is>
          <t>Missing</t>
        </is>
      </c>
      <c r="B5" t="inlineStr"/>
    </row>
    <row r="7">
      <c r="A7" s="7" t="inlineStr">
        <is>
          <t>id</t>
        </is>
      </c>
      <c r="B7" s="7" t="inlineStr">
        <is>
          <t>type</t>
        </is>
      </c>
      <c r="C7" s="7" t="inlineStr">
        <is>
          <t>wll_t</t>
        </is>
      </c>
      <c r="D7" s="7" t="inlineStr">
        <is>
          <t>qty</t>
        </is>
      </c>
      <c r="E7" s="7" t="inlineStr">
        <is>
          <t>remarks</t>
        </is>
      </c>
    </row>
    <row r="8">
      <c r="A8" t="inlineStr">
        <is>
          <t>L01</t>
        </is>
      </c>
      <c r="B8" t="inlineStr">
        <is>
          <t>chain</t>
        </is>
      </c>
      <c r="C8" s="14" t="n">
        <v>20</v>
      </c>
      <c r="D8" t="n">
        <v>0</v>
      </c>
      <c r="E8" t="inlineStr">
        <is>
          <t>TO_BE_FILLED</t>
        </is>
      </c>
    </row>
    <row r="9">
      <c r="A9" t="inlineStr">
        <is>
          <t>L02</t>
        </is>
      </c>
      <c r="B9" t="inlineStr">
        <is>
          <t>wire</t>
        </is>
      </c>
      <c r="C9" s="14" t="n">
        <v>15</v>
      </c>
      <c r="D9" t="n">
        <v>0</v>
      </c>
      <c r="E9" t="inlineStr">
        <is>
          <t>TO_BE_FILLED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60" customWidth="1" min="4" max="4"/>
  </cols>
  <sheetData>
    <row r="1">
      <c r="A1" s="1" t="inlineStr">
        <is>
          <t>MWS-ready Pack Index (B+) – Evidence &amp; Submittals Checklist</t>
        </is>
      </c>
    </row>
    <row r="3">
      <c r="A3" s="7" t="inlineStr">
        <is>
          <t>Item</t>
        </is>
      </c>
      <c r="B3" s="7" t="inlineStr">
        <is>
          <t>Owner</t>
        </is>
      </c>
      <c r="C3" s="7" t="inlineStr">
        <is>
          <t>Status</t>
        </is>
      </c>
      <c r="D3" s="7" t="inlineStr">
        <is>
          <t>Remarks / Where to attach</t>
        </is>
      </c>
    </row>
    <row r="4">
      <c r="A4" t="inlineStr">
        <is>
          <t>Approved Stability Booklet / Hydro Tables</t>
        </is>
      </c>
      <c r="B4" t="inlineStr">
        <is>
          <t>Vessel Owner</t>
        </is>
      </c>
      <c r="C4" t="inlineStr">
        <is>
          <t>REQ</t>
        </is>
      </c>
      <c r="D4" t="inlineStr">
        <is>
          <t>Hydro_Table_Engineering.json + GM_Min_Curve.json</t>
        </is>
      </c>
    </row>
    <row r="5">
      <c r="A5" t="inlineStr">
        <is>
          <t>GZ Curve (per stage) for IS Code check</t>
        </is>
      </c>
      <c r="B5" t="inlineStr">
        <is>
          <t>Naval Arch.</t>
        </is>
      </c>
      <c r="C5" t="inlineStr">
        <is>
          <t>REQ</t>
        </is>
      </c>
      <c r="D5" t="inlineStr">
        <is>
          <t>data/GZ/&lt;stage&gt;.json or data/GZ_Curves.json</t>
        </is>
      </c>
    </row>
    <row r="6">
      <c r="A6" t="inlineStr">
        <is>
          <t>Cargo Securing Manual (CSM) / Lashing Plan</t>
        </is>
      </c>
      <c r="B6" t="inlineStr">
        <is>
          <t>3PL / Marine</t>
        </is>
      </c>
      <c r="C6" t="inlineStr">
        <is>
          <t>REQ</t>
        </is>
      </c>
      <c r="D6" t="inlineStr">
        <is>
          <t>Securing_Input.json (trace) + drawings</t>
        </is>
      </c>
    </row>
    <row r="7">
      <c r="A7" t="inlineStr">
        <is>
          <t>Ramp Plate Certificate / Deck Load Chart</t>
        </is>
      </c>
      <c r="B7" t="inlineStr">
        <is>
          <t>Port / Vessel</t>
        </is>
      </c>
      <c r="C7" t="inlineStr">
        <is>
          <t>REQ</t>
        </is>
      </c>
      <c r="D7" t="inlineStr">
        <is>
          <t>Structural_Limits.json + cert scan</t>
        </is>
      </c>
    </row>
    <row r="8">
      <c r="A8" t="inlineStr">
        <is>
          <t>Method Statement / Operation Manual</t>
        </is>
      </c>
      <c r="B8" t="inlineStr">
        <is>
          <t>Contractor</t>
        </is>
      </c>
      <c r="C8" t="inlineStr">
        <is>
          <t>REQ</t>
        </is>
      </c>
      <c r="D8" t="inlineStr">
        <is>
          <t>Attach in submission pack</t>
        </is>
      </c>
    </row>
    <row r="9">
      <c r="A9" t="inlineStr">
        <is>
          <t>Weather Window / Alpha factor basis</t>
        </is>
      </c>
      <c r="B9" t="inlineStr">
        <is>
          <t>MWS</t>
        </is>
      </c>
      <c r="C9" t="inlineStr">
        <is>
          <t>REQ</t>
        </is>
      </c>
      <c r="D9" t="inlineStr">
        <is>
          <t>Acceptance_Criteria.json + forecast tie-out</t>
        </is>
      </c>
    </row>
    <row r="10">
      <c r="A10" t="inlineStr">
        <is>
          <t>Tow / Mooring / Pilotage plan (AGI)</t>
        </is>
      </c>
      <c r="B10" t="inlineStr">
        <is>
          <t>Marine Ops</t>
        </is>
      </c>
      <c r="C10" t="inlineStr">
        <is>
          <t>REQ</t>
        </is>
      </c>
      <c r="D10" t="inlineStr">
        <is>
          <t>Attach drawings + approvals</t>
        </is>
      </c>
    </row>
    <row r="11">
      <c r="A11" t="inlineStr">
        <is>
          <t>Evidence photos/videos + timestamps</t>
        </is>
      </c>
      <c r="B11" t="inlineStr">
        <is>
          <t>Marine Ops</t>
        </is>
      </c>
      <c r="C11" t="inlineStr">
        <is>
          <t>REQ</t>
        </is>
      </c>
      <c r="D11" t="inlineStr">
        <is>
          <t>15+ photos tagged per site rule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2" t="inlineStr">
        <is>
          <t>TankName</t>
        </is>
      </c>
      <c r="B1" s="2" t="inlineStr">
        <is>
          <t>x_from_mid_m</t>
        </is>
      </c>
      <c r="C1" s="2" t="inlineStr">
        <is>
          <t>max_t</t>
        </is>
      </c>
      <c r="D1" s="2" t="inlineStr">
        <is>
          <t>SG</t>
        </is>
      </c>
      <c r="E1" s="2" t="inlineStr">
        <is>
          <t>use_flag</t>
        </is>
      </c>
      <c r="F1" s="2" t="inlineStr">
        <is>
          <t>air_vent_mm</t>
        </is>
      </c>
    </row>
    <row r="2">
      <c r="A2" s="16" t="inlineStr">
        <is>
          <t>FWB1.P</t>
        </is>
      </c>
      <c r="B2" s="17" t="n">
        <v>-27.37</v>
      </c>
      <c r="C2" s="17" t="n">
        <v>50.57</v>
      </c>
      <c r="D2" s="17" t="n">
        <v>1</v>
      </c>
      <c r="E2" s="17" t="inlineStr">
        <is>
          <t>Y</t>
        </is>
      </c>
      <c r="F2" s="17" t="n">
        <v>80</v>
      </c>
    </row>
    <row r="3">
      <c r="A3" s="16" t="inlineStr">
        <is>
          <t>FWB1.S</t>
        </is>
      </c>
      <c r="B3" s="17" t="n">
        <v>-27.37</v>
      </c>
      <c r="C3" s="17" t="n">
        <v>50.57</v>
      </c>
      <c r="D3" s="17" t="n">
        <v>1</v>
      </c>
      <c r="E3" s="17" t="inlineStr">
        <is>
          <t>Y</t>
        </is>
      </c>
      <c r="F3" s="17" t="n">
        <v>80</v>
      </c>
    </row>
    <row r="4">
      <c r="A4" s="16" t="inlineStr">
        <is>
          <t>FWB2.P</t>
        </is>
      </c>
      <c r="B4" s="17" t="n">
        <v>-19.89</v>
      </c>
      <c r="C4" s="17" t="n">
        <v>109.98</v>
      </c>
      <c r="D4" s="17" t="n">
        <v>1</v>
      </c>
      <c r="E4" s="17" t="inlineStr">
        <is>
          <t>Y</t>
        </is>
      </c>
      <c r="F4" s="17" t="n">
        <v>80</v>
      </c>
    </row>
    <row r="5">
      <c r="A5" s="16" t="inlineStr">
        <is>
          <t>FWB2.S</t>
        </is>
      </c>
      <c r="B5" s="17" t="n">
        <v>-19.89</v>
      </c>
      <c r="C5" s="17" t="n">
        <v>109.98</v>
      </c>
      <c r="D5" s="17" t="n">
        <v>1</v>
      </c>
      <c r="E5" s="17" t="inlineStr">
        <is>
          <t>Y</t>
        </is>
      </c>
      <c r="F5" s="17" t="n">
        <v>80</v>
      </c>
    </row>
    <row r="6">
      <c r="A6" s="16" t="inlineStr">
        <is>
          <t>FWCARGO1.P</t>
        </is>
      </c>
      <c r="B6" s="17" t="n">
        <v>-12.6</v>
      </c>
      <c r="C6" s="17" t="n">
        <v>148.35</v>
      </c>
      <c r="D6" s="17" t="n">
        <v>1</v>
      </c>
      <c r="E6" s="17" t="inlineStr">
        <is>
          <t>N</t>
        </is>
      </c>
      <c r="F6" s="17" t="n">
        <v>125</v>
      </c>
    </row>
    <row r="7">
      <c r="A7" s="16" t="inlineStr">
        <is>
          <t>FWCARGO1.S</t>
        </is>
      </c>
      <c r="B7" s="17" t="n">
        <v>-12.6</v>
      </c>
      <c r="C7" s="17" t="n">
        <v>148.35</v>
      </c>
      <c r="D7" s="17" t="n">
        <v>1</v>
      </c>
      <c r="E7" s="17" t="inlineStr">
        <is>
          <t>N</t>
        </is>
      </c>
      <c r="F7" s="17" t="n">
        <v>125</v>
      </c>
    </row>
    <row r="8">
      <c r="A8" s="16" t="inlineStr">
        <is>
          <t>FWCARGO2.P</t>
        </is>
      </c>
      <c r="B8" s="17" t="n">
        <v>-5.1</v>
      </c>
      <c r="C8" s="17" t="n">
        <v>148.36</v>
      </c>
      <c r="D8" s="17" t="n">
        <v>1</v>
      </c>
      <c r="E8" s="17" t="inlineStr">
        <is>
          <t>N</t>
        </is>
      </c>
      <c r="F8" s="17" t="n">
        <v>125</v>
      </c>
    </row>
    <row r="9">
      <c r="A9" s="16" t="inlineStr">
        <is>
          <t>FWCARGO2.S</t>
        </is>
      </c>
      <c r="B9" s="17" t="n">
        <v>-5.1</v>
      </c>
      <c r="C9" s="17" t="n">
        <v>148.36</v>
      </c>
      <c r="D9" s="17" t="n">
        <v>1</v>
      </c>
      <c r="E9" s="17" t="inlineStr">
        <is>
          <t>N</t>
        </is>
      </c>
      <c r="F9" s="17" t="n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B1" s="18" t="inlineStr">
        <is>
          <t>CONST_TANKS – Permanent Loads (Fuel/FW)</t>
        </is>
      </c>
    </row>
    <row r="3">
      <c r="A3" s="2" t="inlineStr">
        <is>
          <t>Tank</t>
        </is>
      </c>
      <c r="B3" s="2" t="inlineStr">
        <is>
          <t>Type</t>
        </is>
      </c>
      <c r="C3" s="2" t="inlineStr">
        <is>
          <t>Weight_t</t>
        </is>
      </c>
      <c r="D3" s="2" t="inlineStr">
        <is>
          <t>LCG_m</t>
        </is>
      </c>
      <c r="E3" s="2" t="inlineStr">
        <is>
          <t>FSM_mt_m</t>
        </is>
      </c>
      <c r="F3" s="2" t="inlineStr">
        <is>
          <t>Remarks</t>
        </is>
      </c>
    </row>
    <row r="4">
      <c r="A4" s="16" t="inlineStr">
        <is>
          <t>DO.P</t>
        </is>
      </c>
      <c r="B4" s="16" t="inlineStr">
        <is>
          <t>Fuel</t>
        </is>
      </c>
      <c r="C4" s="17" t="n">
        <v>3.05</v>
      </c>
      <c r="D4" s="17" t="n">
        <v>11.25</v>
      </c>
      <c r="E4" s="17" t="n">
        <v>0.34</v>
      </c>
      <c r="F4" s="16" t="inlineStr">
        <is>
          <t>default</t>
        </is>
      </c>
    </row>
    <row r="5">
      <c r="A5" s="16" t="inlineStr">
        <is>
          <t>DO.S</t>
        </is>
      </c>
      <c r="B5" s="16" t="inlineStr">
        <is>
          <t>Fuel</t>
        </is>
      </c>
      <c r="C5" s="17" t="n">
        <v>3.05</v>
      </c>
      <c r="D5" s="17" t="n">
        <v>11.25</v>
      </c>
      <c r="E5" s="17" t="n">
        <v>0.34</v>
      </c>
      <c r="F5" s="16" t="inlineStr">
        <is>
          <t>default</t>
        </is>
      </c>
    </row>
    <row r="6">
      <c r="A6" s="16" t="inlineStr">
        <is>
          <t>LRFO.P</t>
        </is>
      </c>
      <c r="B6" s="16" t="inlineStr">
        <is>
          <t>Fuel</t>
        </is>
      </c>
      <c r="C6" s="17" t="n">
        <v>154.89</v>
      </c>
      <c r="D6" s="17" t="n">
        <v>19.5</v>
      </c>
      <c r="E6" s="17" t="n">
        <v>133.89</v>
      </c>
      <c r="F6" s="16" t="inlineStr">
        <is>
          <t>default</t>
        </is>
      </c>
    </row>
    <row r="7">
      <c r="A7" s="16" t="inlineStr">
        <is>
          <t>LRFO.S</t>
        </is>
      </c>
      <c r="B7" s="16" t="inlineStr">
        <is>
          <t>Fuel</t>
        </is>
      </c>
      <c r="C7" s="17" t="n">
        <v>154.89</v>
      </c>
      <c r="D7" s="17" t="n">
        <v>19.5</v>
      </c>
      <c r="E7" s="17" t="n">
        <v>133.89</v>
      </c>
      <c r="F7" s="16" t="inlineStr">
        <is>
          <t>default</t>
        </is>
      </c>
    </row>
    <row r="8">
      <c r="A8" s="16" t="inlineStr">
        <is>
          <t>FW1.P</t>
        </is>
      </c>
      <c r="B8" s="16" t="inlineStr">
        <is>
          <t>FreshWater</t>
        </is>
      </c>
      <c r="C8" s="17" t="n">
        <v>23.16</v>
      </c>
      <c r="D8" s="17" t="n">
        <v>5.98</v>
      </c>
      <c r="E8" s="17" t="n">
        <v>1.15</v>
      </c>
      <c r="F8" s="16" t="inlineStr">
        <is>
          <t>default</t>
        </is>
      </c>
    </row>
    <row r="9">
      <c r="A9" s="16" t="inlineStr">
        <is>
          <t>FW1.S</t>
        </is>
      </c>
      <c r="B9" s="16" t="inlineStr">
        <is>
          <t>FreshWater</t>
        </is>
      </c>
      <c r="C9" s="17" t="n">
        <v>23.16</v>
      </c>
      <c r="D9" s="17" t="n">
        <v>5.98</v>
      </c>
      <c r="E9" s="17" t="n">
        <v>1.15</v>
      </c>
      <c r="F9" s="16" t="inlineStr">
        <is>
          <t>default</t>
        </is>
      </c>
    </row>
    <row r="10">
      <c r="A10" s="16" t="inlineStr">
        <is>
          <t>FW2.P</t>
        </is>
      </c>
      <c r="B10" s="16" t="inlineStr">
        <is>
          <t>FreshWater</t>
        </is>
      </c>
      <c r="C10" s="17" t="n">
        <v>13.92</v>
      </c>
      <c r="D10" s="17" t="n">
        <v>0.12</v>
      </c>
      <c r="E10" s="17" t="n">
        <v>3.71</v>
      </c>
      <c r="F10" s="16" t="inlineStr">
        <is>
          <t>default</t>
        </is>
      </c>
    </row>
    <row r="11">
      <c r="A11" s="16" t="inlineStr">
        <is>
          <t>FW2.S</t>
        </is>
      </c>
      <c r="B11" s="16" t="inlineStr">
        <is>
          <t>FreshWater</t>
        </is>
      </c>
      <c r="C11" s="17" t="n">
        <v>13.92</v>
      </c>
      <c r="D11" s="17" t="n">
        <v>0.12</v>
      </c>
      <c r="E11" s="17" t="n">
        <v>3.71</v>
      </c>
      <c r="F11" s="16" t="inlineStr">
        <is>
          <t>default</t>
        </is>
      </c>
    </row>
    <row r="12">
      <c r="C12" s="19" t="inlineStr">
        <is>
          <t>Total Weight [t]</t>
        </is>
      </c>
      <c r="E12" s="19" t="inlineStr">
        <is>
          <t>Total FSM [mt·m]</t>
        </is>
      </c>
    </row>
    <row r="13">
      <c r="C13" s="20">
        <f>SUM(C4:C11)</f>
        <v/>
      </c>
      <c r="E13" s="20">
        <f>SUM(E4:E11)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Disp_t</t>
        </is>
      </c>
      <c r="B1" s="2" t="inlineStr">
        <is>
          <t>Tmean_m</t>
        </is>
      </c>
      <c r="C1" s="2" t="inlineStr">
        <is>
          <t>Trim_m</t>
        </is>
      </c>
      <c r="D1" s="2" t="inlineStr">
        <is>
          <t>GM_m</t>
        </is>
      </c>
      <c r="E1" s="2" t="inlineStr">
        <is>
          <t>Draft_FWD</t>
        </is>
      </c>
      <c r="F1" s="2" t="inlineStr">
        <is>
          <t>Draft_AFT</t>
        </is>
      </c>
      <c r="G1" s="2" t="inlineStr">
        <is>
          <t>LCF_m_from_midship</t>
        </is>
      </c>
      <c r="H1" s="2" t="inlineStr">
        <is>
          <t>MCTC_t_m_per_cm</t>
        </is>
      </c>
      <c r="I1" s="2" t="inlineStr">
        <is>
          <t>TPC_t_per_cm</t>
        </is>
      </c>
      <c r="J1" s="2" t="inlineStr">
        <is>
          <t>GM_min_m</t>
        </is>
      </c>
      <c r="K1" s="2" t="inlineStr">
        <is>
          <t>LCF_m</t>
        </is>
      </c>
      <c r="L1" s="2" t="inlineStr">
        <is>
          <t>KM_m</t>
        </is>
      </c>
    </row>
    <row r="2">
      <c r="A2" s="21" t="n">
        <v>2524.4</v>
      </c>
      <c r="B2" s="21" t="n">
        <v>3</v>
      </c>
      <c r="C2" s="21" t="n">
        <v>0</v>
      </c>
      <c r="D2" s="21" t="n">
        <v>8.449999999999999</v>
      </c>
      <c r="E2" s="21" t="n">
        <v>3</v>
      </c>
      <c r="F2" s="21" t="n">
        <v>3</v>
      </c>
      <c r="G2" s="21" t="n">
        <v>0.76</v>
      </c>
      <c r="H2" s="21" t="n">
        <v>38.3</v>
      </c>
      <c r="I2" s="21" t="n">
        <v>10.2</v>
      </c>
      <c r="J2" s="21" t="n">
        <v>1.5</v>
      </c>
      <c r="K2" s="21" t="n">
        <v>0.76</v>
      </c>
      <c r="L2" s="21" t="n">
        <v>12.341</v>
      </c>
    </row>
    <row r="3">
      <c r="A3" s="21" t="n">
        <v>2626.6</v>
      </c>
      <c r="B3" s="21" t="n">
        <v>3.1</v>
      </c>
      <c r="C3" s="21" t="n">
        <v>0</v>
      </c>
      <c r="D3" s="21" t="n">
        <v>8.18</v>
      </c>
      <c r="E3" s="21" t="n">
        <v>3.1</v>
      </c>
      <c r="F3" s="21" t="n">
        <v>3.1</v>
      </c>
      <c r="G3" s="21" t="n">
        <v>0.76</v>
      </c>
      <c r="H3" s="21" t="n">
        <v>39.1</v>
      </c>
      <c r="I3" s="21" t="n">
        <v>10.3</v>
      </c>
      <c r="J3" s="21" t="n">
        <v>1.5</v>
      </c>
      <c r="K3" s="21" t="n">
        <v>0.76</v>
      </c>
      <c r="L3" s="21" t="n">
        <v>12.072</v>
      </c>
    </row>
    <row r="4">
      <c r="A4" s="21" t="n">
        <v>2729.4</v>
      </c>
      <c r="B4" s="21" t="n">
        <v>3.2</v>
      </c>
      <c r="C4" s="21" t="n">
        <v>0</v>
      </c>
      <c r="D4" s="21" t="n">
        <v>7.93</v>
      </c>
      <c r="E4" s="21" t="n">
        <v>3.2</v>
      </c>
      <c r="F4" s="21" t="n">
        <v>3.2</v>
      </c>
      <c r="G4" s="21" t="n">
        <v>0.76</v>
      </c>
      <c r="H4" s="21" t="n">
        <v>39.9</v>
      </c>
      <c r="I4" s="21" t="n">
        <v>10.3</v>
      </c>
      <c r="J4" s="21" t="n">
        <v>1.5</v>
      </c>
      <c r="K4" s="21" t="n">
        <v>0.76</v>
      </c>
      <c r="L4" s="21" t="n">
        <v>11.823</v>
      </c>
    </row>
    <row r="5">
      <c r="A5" s="21" t="n">
        <v>2833</v>
      </c>
      <c r="B5" s="21" t="n">
        <v>3.3</v>
      </c>
      <c r="C5" s="21" t="n">
        <v>0</v>
      </c>
      <c r="D5" s="21" t="n">
        <v>7.7</v>
      </c>
      <c r="E5" s="21" t="n">
        <v>3.3</v>
      </c>
      <c r="F5" s="21" t="n">
        <v>3.3</v>
      </c>
      <c r="G5" s="21" t="n">
        <v>0.76</v>
      </c>
      <c r="H5" s="21" t="n">
        <v>40.7</v>
      </c>
      <c r="I5" s="21" t="n">
        <v>10.4</v>
      </c>
      <c r="J5" s="21" t="n">
        <v>1.5</v>
      </c>
      <c r="K5" s="21" t="n">
        <v>0.76</v>
      </c>
      <c r="L5" s="21" t="n">
        <v>11.592</v>
      </c>
    </row>
    <row r="6">
      <c r="A6" s="21" t="n">
        <v>2937.5</v>
      </c>
      <c r="B6" s="21" t="n">
        <v>3.4</v>
      </c>
      <c r="C6" s="21" t="n">
        <v>0</v>
      </c>
      <c r="D6" s="21" t="n">
        <v>7.49</v>
      </c>
      <c r="E6" s="21" t="n">
        <v>3.4</v>
      </c>
      <c r="F6" s="21" t="n">
        <v>3.4</v>
      </c>
      <c r="G6" s="21" t="n">
        <v>0.76</v>
      </c>
      <c r="H6" s="21" t="n">
        <v>41.6</v>
      </c>
      <c r="I6" s="21" t="n">
        <v>10.5</v>
      </c>
      <c r="J6" s="21" t="n">
        <v>1.5</v>
      </c>
      <c r="K6" s="21" t="n">
        <v>0.76</v>
      </c>
      <c r="L6" s="21" t="n">
        <v>11.378</v>
      </c>
    </row>
    <row r="7">
      <c r="A7" s="21" t="n">
        <v>3042.6</v>
      </c>
      <c r="B7" s="21" t="n">
        <v>3.5</v>
      </c>
      <c r="C7" s="21" t="n">
        <v>0</v>
      </c>
      <c r="D7" s="21" t="n">
        <v>7.29</v>
      </c>
      <c r="E7" s="21" t="n">
        <v>3.5</v>
      </c>
      <c r="F7" s="21" t="n">
        <v>3.5</v>
      </c>
      <c r="G7" s="21" t="n">
        <v>0.76</v>
      </c>
      <c r="H7" s="21" t="n">
        <v>42.4</v>
      </c>
      <c r="I7" s="21" t="n">
        <v>10.6</v>
      </c>
      <c r="J7" s="21" t="n">
        <v>1.5</v>
      </c>
      <c r="K7" s="21" t="n">
        <v>0.76</v>
      </c>
      <c r="L7" s="21" t="n">
        <v>11.18</v>
      </c>
    </row>
    <row r="8">
      <c r="A8" s="21" t="n">
        <v>3148.6</v>
      </c>
      <c r="B8" s="21" t="n">
        <v>3.6</v>
      </c>
      <c r="C8" s="21" t="n">
        <v>0</v>
      </c>
      <c r="D8" s="21" t="n">
        <v>7.1</v>
      </c>
      <c r="E8" s="21" t="n">
        <v>3.6</v>
      </c>
      <c r="F8" s="21" t="n">
        <v>3.6</v>
      </c>
      <c r="G8" s="21" t="n">
        <v>0.76</v>
      </c>
      <c r="H8" s="21" t="n">
        <v>43.3</v>
      </c>
      <c r="I8" s="21" t="n">
        <v>10.6</v>
      </c>
      <c r="J8" s="21" t="n">
        <v>1.5</v>
      </c>
      <c r="K8" s="21" t="n">
        <v>0.76</v>
      </c>
      <c r="L8" s="21" t="n">
        <v>10.995</v>
      </c>
    </row>
    <row r="9">
      <c r="A9" s="21" t="n">
        <v>3255.3</v>
      </c>
      <c r="B9" s="21" t="n">
        <v>3.7</v>
      </c>
      <c r="C9" s="21" t="n">
        <v>0</v>
      </c>
      <c r="D9" s="21" t="n">
        <v>6.93</v>
      </c>
      <c r="E9" s="21" t="n">
        <v>3.7</v>
      </c>
      <c r="F9" s="21" t="n">
        <v>3.7</v>
      </c>
      <c r="G9" s="21" t="n">
        <v>0.76</v>
      </c>
      <c r="H9" s="21" t="n">
        <v>44.2</v>
      </c>
      <c r="I9" s="21" t="n">
        <v>10.7</v>
      </c>
      <c r="J9" s="21" t="n">
        <v>1.5</v>
      </c>
      <c r="K9" s="21" t="n">
        <v>0.76</v>
      </c>
      <c r="L9" s="21" t="n">
        <v>10.824</v>
      </c>
    </row>
    <row r="10">
      <c r="A10" s="21" t="n">
        <v>3362</v>
      </c>
      <c r="B10" s="21" t="n">
        <v>3.8</v>
      </c>
      <c r="C10" s="21" t="n">
        <v>0</v>
      </c>
      <c r="D10" s="21" t="n">
        <v>6.76</v>
      </c>
      <c r="E10" s="21" t="n">
        <v>3.8</v>
      </c>
      <c r="F10" s="21" t="n">
        <v>3.8</v>
      </c>
      <c r="G10" s="21" t="n">
        <v>0.76</v>
      </c>
      <c r="H10" s="21" t="n">
        <v>45.1</v>
      </c>
      <c r="I10" s="21" t="n">
        <v>10.8</v>
      </c>
      <c r="J10" s="21" t="n">
        <v>1.5</v>
      </c>
      <c r="K10" s="21" t="n">
        <v>0.76</v>
      </c>
      <c r="L10" s="21" t="n">
        <v>10.66</v>
      </c>
    </row>
    <row r="11">
      <c r="A11" s="21" t="n">
        <v>3469</v>
      </c>
      <c r="B11" s="21" t="n">
        <v>3.9</v>
      </c>
      <c r="C11" s="21" t="n">
        <v>0</v>
      </c>
      <c r="D11" s="21" t="n">
        <v>6.59</v>
      </c>
      <c r="E11" s="21" t="n">
        <v>3.9</v>
      </c>
      <c r="F11" s="21" t="n">
        <v>3.9</v>
      </c>
      <c r="G11" s="21" t="n">
        <v>0.76</v>
      </c>
      <c r="H11" s="21" t="n">
        <v>46</v>
      </c>
      <c r="I11" s="21" t="n">
        <v>10.9</v>
      </c>
      <c r="J11" s="21" t="n">
        <v>1.5</v>
      </c>
      <c r="K11" s="21" t="n">
        <v>0.76</v>
      </c>
      <c r="L11" s="21" t="n">
        <v>10.5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2" t="inlineStr">
        <is>
          <t>Fr</t>
        </is>
      </c>
      <c r="B1" s="2" t="inlineStr">
        <is>
          <t>x_from_mid_m</t>
        </is>
      </c>
      <c r="C1" s="2" t="inlineStr">
        <is>
          <t>비고</t>
        </is>
      </c>
    </row>
    <row r="2">
      <c r="A2" s="6" t="n">
        <v>0</v>
      </c>
      <c r="B2" s="6" t="n">
        <v>30.15</v>
      </c>
      <c r="C2" s="3" t="inlineStr">
        <is>
          <t>Ramp hinge</t>
        </is>
      </c>
    </row>
    <row r="3">
      <c r="A3" s="6" t="n">
        <v>0.5</v>
      </c>
      <c r="B3" s="6" t="n">
        <v>29.65</v>
      </c>
      <c r="C3" s="3" t="inlineStr"/>
    </row>
    <row r="4">
      <c r="A4" s="6" t="n">
        <v>1</v>
      </c>
      <c r="B4" s="6" t="n">
        <v>29.15</v>
      </c>
      <c r="C4" s="3" t="inlineStr"/>
    </row>
    <row r="5">
      <c r="A5" s="6" t="n">
        <v>1.5</v>
      </c>
      <c r="B5" s="6" t="n">
        <v>28.65</v>
      </c>
      <c r="C5" s="3" t="inlineStr"/>
    </row>
    <row r="6">
      <c r="A6" s="6" t="n">
        <v>2</v>
      </c>
      <c r="B6" s="6" t="n">
        <v>28.15</v>
      </c>
      <c r="C6" s="3" t="inlineStr"/>
    </row>
    <row r="7">
      <c r="A7" s="6" t="n">
        <v>2.5</v>
      </c>
      <c r="B7" s="6" t="n">
        <v>27.65</v>
      </c>
      <c r="C7" s="3" t="inlineStr"/>
    </row>
    <row r="8">
      <c r="A8" s="6" t="n">
        <v>3</v>
      </c>
      <c r="B8" s="6" t="n">
        <v>27.15</v>
      </c>
      <c r="C8" s="3" t="inlineStr"/>
    </row>
    <row r="9">
      <c r="A9" s="6" t="n">
        <v>3.5</v>
      </c>
      <c r="B9" s="6" t="n">
        <v>26.65</v>
      </c>
      <c r="C9" s="3" t="inlineStr"/>
    </row>
    <row r="10">
      <c r="A10" s="6" t="n">
        <v>4</v>
      </c>
      <c r="B10" s="6" t="n">
        <v>26.15</v>
      </c>
      <c r="C10" s="3" t="inlineStr"/>
    </row>
    <row r="11">
      <c r="A11" s="6" t="n">
        <v>4.5</v>
      </c>
      <c r="B11" s="6" t="n">
        <v>25.65</v>
      </c>
      <c r="C11" s="3" t="inlineStr"/>
    </row>
    <row r="12">
      <c r="A12" s="6" t="n">
        <v>5</v>
      </c>
      <c r="B12" s="6" t="n">
        <v>25.15</v>
      </c>
      <c r="C12" s="3" t="inlineStr"/>
    </row>
    <row r="13">
      <c r="A13" s="6" t="n">
        <v>5.5</v>
      </c>
      <c r="B13" s="6" t="n">
        <v>24.65</v>
      </c>
      <c r="C13" s="3" t="inlineStr"/>
    </row>
    <row r="14">
      <c r="A14" s="6" t="n">
        <v>6</v>
      </c>
      <c r="B14" s="6" t="n">
        <v>24.15</v>
      </c>
      <c r="C14" s="3" t="inlineStr"/>
    </row>
    <row r="15">
      <c r="A15" s="6" t="n">
        <v>6.5</v>
      </c>
      <c r="B15" s="6" t="n">
        <v>23.65</v>
      </c>
      <c r="C15" s="3" t="inlineStr"/>
    </row>
    <row r="16">
      <c r="A16" s="6" t="n">
        <v>7</v>
      </c>
      <c r="B16" s="6" t="n">
        <v>23.15</v>
      </c>
      <c r="C16" s="3" t="inlineStr"/>
    </row>
    <row r="17">
      <c r="A17" s="6" t="n">
        <v>7.5</v>
      </c>
      <c r="B17" s="6" t="n">
        <v>22.65</v>
      </c>
      <c r="C17" s="3" t="inlineStr"/>
    </row>
    <row r="18">
      <c r="A18" s="6" t="n">
        <v>8</v>
      </c>
      <c r="B18" s="6" t="n">
        <v>22.15</v>
      </c>
      <c r="C18" s="3" t="inlineStr"/>
    </row>
    <row r="19">
      <c r="A19" s="6" t="n">
        <v>8.5</v>
      </c>
      <c r="B19" s="6" t="n">
        <v>21.65</v>
      </c>
      <c r="C19" s="3" t="inlineStr"/>
    </row>
    <row r="20">
      <c r="A20" s="6" t="n">
        <v>9</v>
      </c>
      <c r="B20" s="6" t="n">
        <v>21.15</v>
      </c>
      <c r="C20" s="3" t="inlineStr"/>
    </row>
    <row r="21">
      <c r="A21" s="6" t="n">
        <v>9.5</v>
      </c>
      <c r="B21" s="6" t="n">
        <v>20.65</v>
      </c>
      <c r="C21" s="3" t="inlineStr"/>
    </row>
    <row r="22">
      <c r="A22" s="6" t="n">
        <v>10</v>
      </c>
      <c r="B22" s="6" t="n">
        <v>20.15</v>
      </c>
      <c r="C22" s="3" t="inlineStr"/>
    </row>
    <row r="23">
      <c r="A23" s="6" t="n">
        <v>10.5</v>
      </c>
      <c r="B23" s="6" t="n">
        <v>19.65</v>
      </c>
      <c r="C23" s="3" t="inlineStr"/>
    </row>
    <row r="24">
      <c r="A24" s="6" t="n">
        <v>11</v>
      </c>
      <c r="B24" s="6" t="n">
        <v>19.15</v>
      </c>
      <c r="C24" s="3" t="inlineStr"/>
    </row>
    <row r="25">
      <c r="A25" s="6" t="n">
        <v>11.5</v>
      </c>
      <c r="B25" s="6" t="n">
        <v>18.65</v>
      </c>
      <c r="C25" s="3" t="inlineStr"/>
    </row>
    <row r="26">
      <c r="A26" s="6" t="n">
        <v>12</v>
      </c>
      <c r="B26" s="6" t="n">
        <v>18.15</v>
      </c>
      <c r="C26" s="3" t="inlineStr"/>
    </row>
    <row r="27">
      <c r="A27" s="6" t="n">
        <v>12.5</v>
      </c>
      <c r="B27" s="6" t="n">
        <v>17.65</v>
      </c>
      <c r="C27" s="3" t="inlineStr"/>
    </row>
    <row r="28">
      <c r="A28" s="6" t="n">
        <v>13</v>
      </c>
      <c r="B28" s="6" t="n">
        <v>17.15</v>
      </c>
      <c r="C28" s="3" t="inlineStr"/>
    </row>
    <row r="29">
      <c r="A29" s="6" t="n">
        <v>13.5</v>
      </c>
      <c r="B29" s="6" t="n">
        <v>16.65</v>
      </c>
      <c r="C29" s="3" t="inlineStr"/>
    </row>
    <row r="30">
      <c r="A30" s="6" t="n">
        <v>14</v>
      </c>
      <c r="B30" s="6" t="n">
        <v>16.15</v>
      </c>
      <c r="C30" s="3" t="inlineStr"/>
    </row>
    <row r="31">
      <c r="A31" s="6" t="n">
        <v>14.5</v>
      </c>
      <c r="B31" s="6" t="n">
        <v>15.65</v>
      </c>
      <c r="C31" s="3" t="inlineStr"/>
    </row>
    <row r="32">
      <c r="A32" s="6" t="n">
        <v>15</v>
      </c>
      <c r="B32" s="6" t="n">
        <v>15.15</v>
      </c>
      <c r="C32" s="3" t="inlineStr"/>
    </row>
    <row r="33">
      <c r="A33" s="6" t="n">
        <v>15.5</v>
      </c>
      <c r="B33" s="6" t="n">
        <v>14.65</v>
      </c>
      <c r="C33" s="3" t="inlineStr"/>
    </row>
    <row r="34">
      <c r="A34" s="6" t="n">
        <v>16</v>
      </c>
      <c r="B34" s="6" t="n">
        <v>14.15</v>
      </c>
      <c r="C34" s="3" t="inlineStr"/>
    </row>
    <row r="35">
      <c r="A35" s="6" t="n">
        <v>16.5</v>
      </c>
      <c r="B35" s="6" t="n">
        <v>13.65</v>
      </c>
      <c r="C35" s="3" t="inlineStr"/>
    </row>
    <row r="36">
      <c r="A36" s="6" t="n">
        <v>17</v>
      </c>
      <c r="B36" s="6" t="n">
        <v>13.15</v>
      </c>
      <c r="C36" s="3" t="inlineStr"/>
    </row>
    <row r="37">
      <c r="A37" s="6" t="n">
        <v>17.5</v>
      </c>
      <c r="B37" s="6" t="n">
        <v>12.65</v>
      </c>
      <c r="C37" s="3" t="inlineStr"/>
    </row>
    <row r="38">
      <c r="A38" s="6" t="n">
        <v>18</v>
      </c>
      <c r="B38" s="6" t="n">
        <v>12.15</v>
      </c>
      <c r="C38" s="3" t="inlineStr"/>
    </row>
    <row r="39">
      <c r="A39" s="6" t="n">
        <v>18.5</v>
      </c>
      <c r="B39" s="6" t="n">
        <v>11.65</v>
      </c>
      <c r="C39" s="3" t="inlineStr"/>
    </row>
    <row r="40">
      <c r="A40" s="6" t="n">
        <v>19</v>
      </c>
      <c r="B40" s="6" t="n">
        <v>11.15</v>
      </c>
      <c r="C40" s="3" t="inlineStr"/>
    </row>
    <row r="41">
      <c r="A41" s="6" t="n">
        <v>19.5</v>
      </c>
      <c r="B41" s="6" t="n">
        <v>10.65</v>
      </c>
      <c r="C41" s="3" t="inlineStr"/>
    </row>
    <row r="42">
      <c r="A42" s="6" t="n">
        <v>20</v>
      </c>
      <c r="B42" s="6" t="n">
        <v>10.15</v>
      </c>
      <c r="C42" s="3" t="inlineStr"/>
    </row>
    <row r="43">
      <c r="A43" s="6" t="n">
        <v>20.5</v>
      </c>
      <c r="B43" s="6" t="n">
        <v>9.65</v>
      </c>
      <c r="C43" s="3" t="inlineStr"/>
    </row>
    <row r="44">
      <c r="A44" s="6" t="n">
        <v>21</v>
      </c>
      <c r="B44" s="6" t="n">
        <v>9.15</v>
      </c>
      <c r="C44" s="3" t="inlineStr"/>
    </row>
    <row r="45">
      <c r="A45" s="6" t="n">
        <v>21.5</v>
      </c>
      <c r="B45" s="6" t="n">
        <v>8.65</v>
      </c>
      <c r="C45" s="3" t="inlineStr"/>
    </row>
    <row r="46">
      <c r="A46" s="6" t="n">
        <v>22</v>
      </c>
      <c r="B46" s="6" t="n">
        <v>8.15</v>
      </c>
      <c r="C46" s="3" t="inlineStr"/>
    </row>
    <row r="47">
      <c r="A47" s="6" t="n">
        <v>22.5</v>
      </c>
      <c r="B47" s="6" t="n">
        <v>7.65</v>
      </c>
      <c r="C47" s="3" t="inlineStr"/>
    </row>
    <row r="48">
      <c r="A48" s="6" t="n">
        <v>23</v>
      </c>
      <c r="B48" s="6" t="n">
        <v>7.15</v>
      </c>
      <c r="C48" s="3" t="inlineStr"/>
    </row>
    <row r="49">
      <c r="A49" s="6" t="n">
        <v>23.5</v>
      </c>
      <c r="B49" s="6" t="n">
        <v>6.65</v>
      </c>
      <c r="C49" s="3" t="inlineStr"/>
    </row>
    <row r="50">
      <c r="A50" s="6" t="n">
        <v>24</v>
      </c>
      <c r="B50" s="6" t="n">
        <v>6.15</v>
      </c>
      <c r="C50" s="3" t="inlineStr"/>
    </row>
    <row r="51">
      <c r="A51" s="6" t="n">
        <v>24.5</v>
      </c>
      <c r="B51" s="6" t="n">
        <v>5.65</v>
      </c>
      <c r="C51" s="3" t="inlineStr"/>
    </row>
    <row r="52">
      <c r="A52" s="6" t="n">
        <v>25</v>
      </c>
      <c r="B52" s="6" t="n">
        <v>5.15</v>
      </c>
      <c r="C52" s="3" t="inlineStr"/>
    </row>
    <row r="53">
      <c r="A53" s="6" t="n">
        <v>25.5</v>
      </c>
      <c r="B53" s="6" t="n">
        <v>4.65</v>
      </c>
      <c r="C53" s="3" t="inlineStr"/>
    </row>
    <row r="54">
      <c r="A54" s="6" t="n">
        <v>26</v>
      </c>
      <c r="B54" s="6" t="n">
        <v>4.15</v>
      </c>
      <c r="C54" s="3" t="inlineStr"/>
    </row>
    <row r="55">
      <c r="A55" s="6" t="n">
        <v>26.5</v>
      </c>
      <c r="B55" s="6" t="n">
        <v>3.65</v>
      </c>
      <c r="C55" s="3" t="inlineStr"/>
    </row>
    <row r="56">
      <c r="A56" s="6" t="n">
        <v>27</v>
      </c>
      <c r="B56" s="6" t="n">
        <v>3.15</v>
      </c>
      <c r="C56" s="3" t="inlineStr"/>
    </row>
    <row r="57">
      <c r="A57" s="6" t="n">
        <v>27.5</v>
      </c>
      <c r="B57" s="6" t="n">
        <v>2.65</v>
      </c>
      <c r="C57" s="3" t="inlineStr"/>
    </row>
    <row r="58">
      <c r="A58" s="6" t="n">
        <v>28</v>
      </c>
      <c r="B58" s="6" t="n">
        <v>2.15</v>
      </c>
      <c r="C58" s="3" t="inlineStr"/>
    </row>
    <row r="59">
      <c r="A59" s="6" t="n">
        <v>28.5</v>
      </c>
      <c r="B59" s="6" t="n">
        <v>1.65</v>
      </c>
      <c r="C59" s="3" t="inlineStr"/>
    </row>
    <row r="60">
      <c r="A60" s="6" t="n">
        <v>29</v>
      </c>
      <c r="B60" s="6" t="n">
        <v>1.15</v>
      </c>
      <c r="C60" s="3" t="inlineStr"/>
    </row>
    <row r="61">
      <c r="A61" s="6" t="n">
        <v>29.5</v>
      </c>
      <c r="B61" s="6" t="n">
        <v>0.65</v>
      </c>
      <c r="C61" s="3" t="inlineStr"/>
    </row>
    <row r="62">
      <c r="A62" s="6" t="n">
        <v>30</v>
      </c>
      <c r="B62" s="6" t="n">
        <v>0.15</v>
      </c>
      <c r="C62" s="3" t="inlineStr"/>
    </row>
    <row r="63">
      <c r="A63" s="6" t="n">
        <v>30.5</v>
      </c>
      <c r="B63" s="6" t="n">
        <v>-0.35</v>
      </c>
      <c r="C63" s="3" t="inlineStr"/>
    </row>
    <row r="64">
      <c r="A64" s="6" t="n">
        <v>31</v>
      </c>
      <c r="B64" s="6" t="n">
        <v>-0.85</v>
      </c>
      <c r="C64" s="3" t="inlineStr"/>
    </row>
    <row r="65">
      <c r="A65" s="6" t="n">
        <v>31.5</v>
      </c>
      <c r="B65" s="6" t="n">
        <v>-1.35</v>
      </c>
      <c r="C65" s="3" t="inlineStr"/>
    </row>
    <row r="66">
      <c r="A66" s="6" t="n">
        <v>32</v>
      </c>
      <c r="B66" s="6" t="n">
        <v>-1.85</v>
      </c>
      <c r="C66" s="3" t="inlineStr"/>
    </row>
    <row r="67">
      <c r="A67" s="6" t="n">
        <v>32.5</v>
      </c>
      <c r="B67" s="6" t="n">
        <v>-2.35</v>
      </c>
      <c r="C67" s="3" t="inlineStr"/>
    </row>
    <row r="68">
      <c r="A68" s="6" t="n">
        <v>33</v>
      </c>
      <c r="B68" s="6" t="n">
        <v>-2.85</v>
      </c>
      <c r="C68" s="3" t="inlineStr"/>
    </row>
    <row r="69">
      <c r="A69" s="6" t="n">
        <v>33.5</v>
      </c>
      <c r="B69" s="6" t="n">
        <v>-3.35</v>
      </c>
      <c r="C69" s="3" t="inlineStr"/>
    </row>
    <row r="70">
      <c r="A70" s="6" t="n">
        <v>34</v>
      </c>
      <c r="B70" s="6" t="n">
        <v>-3.85</v>
      </c>
      <c r="C70" s="3" t="inlineStr"/>
    </row>
    <row r="71">
      <c r="A71" s="6" t="n">
        <v>34.5</v>
      </c>
      <c r="B71" s="6" t="n">
        <v>-4.35</v>
      </c>
      <c r="C71" s="3" t="inlineStr"/>
    </row>
    <row r="72">
      <c r="A72" s="6" t="n">
        <v>35</v>
      </c>
      <c r="B72" s="6" t="n">
        <v>-4.85</v>
      </c>
      <c r="C72" s="3" t="inlineStr"/>
    </row>
    <row r="73">
      <c r="A73" s="6" t="n">
        <v>35.5</v>
      </c>
      <c r="B73" s="6" t="n">
        <v>-5.35</v>
      </c>
      <c r="C73" s="3" t="inlineStr"/>
    </row>
    <row r="74">
      <c r="A74" s="6" t="n">
        <v>36</v>
      </c>
      <c r="B74" s="6" t="n">
        <v>-5.85</v>
      </c>
      <c r="C74" s="3" t="inlineStr"/>
    </row>
    <row r="75">
      <c r="A75" s="6" t="n">
        <v>36.5</v>
      </c>
      <c r="B75" s="6" t="n">
        <v>-6.35</v>
      </c>
      <c r="C75" s="3" t="inlineStr"/>
    </row>
    <row r="76">
      <c r="A76" s="6" t="n">
        <v>37</v>
      </c>
      <c r="B76" s="6" t="n">
        <v>-6.85</v>
      </c>
      <c r="C76" s="3" t="inlineStr"/>
    </row>
    <row r="77">
      <c r="A77" s="6" t="n">
        <v>37.5</v>
      </c>
      <c r="B77" s="6" t="n">
        <v>-7.35</v>
      </c>
      <c r="C77" s="3" t="inlineStr"/>
    </row>
    <row r="78">
      <c r="A78" s="6" t="n">
        <v>38</v>
      </c>
      <c r="B78" s="6" t="n">
        <v>-7.85</v>
      </c>
      <c r="C78" s="3" t="inlineStr">
        <is>
          <t>6B ramp 중간</t>
        </is>
      </c>
    </row>
    <row r="79">
      <c r="A79" s="6" t="n">
        <v>38.5</v>
      </c>
      <c r="B79" s="6" t="n">
        <v>-8.35</v>
      </c>
      <c r="C79" s="3" t="inlineStr"/>
    </row>
    <row r="80">
      <c r="A80" s="6" t="n">
        <v>39</v>
      </c>
      <c r="B80" s="6" t="n">
        <v>-8.85</v>
      </c>
      <c r="C80" s="3" t="inlineStr"/>
    </row>
    <row r="81">
      <c r="A81" s="6" t="n">
        <v>39.5</v>
      </c>
      <c r="B81" s="6" t="n">
        <v>-9.35</v>
      </c>
      <c r="C81" s="3" t="inlineStr"/>
    </row>
    <row r="82">
      <c r="A82" s="6" t="n">
        <v>40</v>
      </c>
      <c r="B82" s="6" t="n">
        <v>-9.85</v>
      </c>
      <c r="C82" s="3" t="inlineStr">
        <is>
          <t>6C 대칭</t>
        </is>
      </c>
    </row>
    <row r="83">
      <c r="A83" s="6" t="n">
        <v>40.5</v>
      </c>
      <c r="B83" s="6" t="n">
        <v>-10.35</v>
      </c>
      <c r="C83" s="3" t="inlineStr"/>
    </row>
    <row r="84">
      <c r="A84" s="6" t="n">
        <v>41</v>
      </c>
      <c r="B84" s="6" t="n">
        <v>-10.85</v>
      </c>
      <c r="C84" s="3" t="inlineStr"/>
    </row>
    <row r="85">
      <c r="A85" s="6" t="n">
        <v>41.5</v>
      </c>
      <c r="B85" s="6" t="n">
        <v>-11.35</v>
      </c>
      <c r="C85" s="3" t="inlineStr"/>
    </row>
    <row r="86">
      <c r="A86" s="6" t="n">
        <v>42</v>
      </c>
      <c r="B86" s="6" t="n">
        <v>-11.85</v>
      </c>
      <c r="C86" s="3" t="inlineStr">
        <is>
          <t>6A 1번 TR 최종</t>
        </is>
      </c>
    </row>
    <row r="87">
      <c r="A87" s="6" t="n">
        <v>42.5</v>
      </c>
      <c r="B87" s="6" t="n">
        <v>-12.35</v>
      </c>
      <c r="C87" s="3" t="inlineStr"/>
    </row>
    <row r="88">
      <c r="A88" s="6" t="n">
        <v>43</v>
      </c>
      <c r="B88" s="6" t="n">
        <v>-12.85</v>
      </c>
      <c r="C88" s="3" t="inlineStr"/>
    </row>
    <row r="89">
      <c r="A89" s="6" t="n">
        <v>43.5</v>
      </c>
      <c r="B89" s="6" t="n">
        <v>-13.35</v>
      </c>
      <c r="C89" s="3" t="inlineStr"/>
    </row>
    <row r="90">
      <c r="A90" s="6" t="n">
        <v>44</v>
      </c>
      <c r="B90" s="6" t="n">
        <v>-13.85</v>
      </c>
      <c r="C90" s="3" t="inlineStr"/>
    </row>
    <row r="91">
      <c r="A91" s="6" t="n">
        <v>44.5</v>
      </c>
      <c r="B91" s="6" t="n">
        <v>-14.35</v>
      </c>
      <c r="C91" s="3" t="inlineStr"/>
    </row>
    <row r="92">
      <c r="A92" s="6" t="n">
        <v>45</v>
      </c>
      <c r="B92" s="6" t="n">
        <v>-14.85</v>
      </c>
      <c r="C92" s="3" t="inlineStr"/>
    </row>
    <row r="93">
      <c r="A93" s="6" t="n">
        <v>45.5</v>
      </c>
      <c r="B93" s="6" t="n">
        <v>-15.35</v>
      </c>
      <c r="C93" s="3" t="inlineStr"/>
    </row>
    <row r="94">
      <c r="A94" s="6" t="n">
        <v>46</v>
      </c>
      <c r="B94" s="6" t="n">
        <v>-15.85</v>
      </c>
      <c r="C94" s="3" t="inlineStr"/>
    </row>
    <row r="95">
      <c r="A95" s="6" t="n">
        <v>46.5</v>
      </c>
      <c r="B95" s="6" t="n">
        <v>-16.35</v>
      </c>
      <c r="C95" s="3" t="inlineStr"/>
    </row>
    <row r="96">
      <c r="A96" s="6" t="n">
        <v>47</v>
      </c>
      <c r="B96" s="6" t="n">
        <v>-16.85</v>
      </c>
      <c r="C96" s="3" t="inlineStr"/>
    </row>
    <row r="97">
      <c r="A97" s="6" t="n">
        <v>47.5</v>
      </c>
      <c r="B97" s="6" t="n">
        <v>-17.35</v>
      </c>
      <c r="C97" s="3" t="inlineStr"/>
    </row>
    <row r="98">
      <c r="A98" s="6" t="n">
        <v>48</v>
      </c>
      <c r="B98" s="6" t="n">
        <v>-17.85</v>
      </c>
      <c r="C98" s="3" t="inlineStr"/>
    </row>
    <row r="99">
      <c r="A99" s="6" t="n">
        <v>48.5</v>
      </c>
      <c r="B99" s="6" t="n">
        <v>-18.35</v>
      </c>
      <c r="C99" s="3" t="inlineStr"/>
    </row>
    <row r="100">
      <c r="A100" s="6" t="n">
        <v>49</v>
      </c>
      <c r="B100" s="6" t="n">
        <v>-18.85</v>
      </c>
      <c r="C100" s="3" t="inlineStr"/>
    </row>
    <row r="101">
      <c r="A101" s="6" t="n">
        <v>49.5</v>
      </c>
      <c r="B101" s="6" t="n">
        <v>-19.35</v>
      </c>
      <c r="C101" s="3" t="inlineStr"/>
    </row>
    <row r="102">
      <c r="A102" s="6" t="n">
        <v>50</v>
      </c>
      <c r="B102" s="6" t="n">
        <v>-19.85</v>
      </c>
      <c r="C102" s="3" t="inlineStr"/>
    </row>
    <row r="103">
      <c r="A103" s="6" t="n">
        <v>50.5</v>
      </c>
      <c r="B103" s="6" t="n">
        <v>-20.35</v>
      </c>
      <c r="C103" s="3" t="inlineStr"/>
    </row>
    <row r="104">
      <c r="A104" s="6" t="n">
        <v>51</v>
      </c>
      <c r="B104" s="6" t="n">
        <v>-20.85</v>
      </c>
      <c r="C104" s="3" t="inlineStr"/>
    </row>
    <row r="105">
      <c r="A105" s="6" t="n">
        <v>51.5</v>
      </c>
      <c r="B105" s="6" t="n">
        <v>-21.35</v>
      </c>
      <c r="C105" s="3" t="inlineStr"/>
    </row>
    <row r="106">
      <c r="A106" s="6" t="n">
        <v>52</v>
      </c>
      <c r="B106" s="6" t="n">
        <v>-21.85</v>
      </c>
      <c r="C106" s="3" t="inlineStr"/>
    </row>
    <row r="107">
      <c r="A107" s="6" t="n">
        <v>52.5</v>
      </c>
      <c r="B107" s="6" t="n">
        <v>-22.35</v>
      </c>
      <c r="C107" s="3" t="inlineStr"/>
    </row>
    <row r="108">
      <c r="A108" s="6" t="n">
        <v>53</v>
      </c>
      <c r="B108" s="6" t="n">
        <v>-22.85</v>
      </c>
      <c r="C108" s="3" t="inlineStr"/>
    </row>
    <row r="109">
      <c r="A109" s="6" t="n">
        <v>53.5</v>
      </c>
      <c r="B109" s="6" t="n">
        <v>-23.35</v>
      </c>
      <c r="C109" s="3" t="inlineStr"/>
    </row>
    <row r="110">
      <c r="A110" s="6" t="n">
        <v>54</v>
      </c>
      <c r="B110" s="6" t="n">
        <v>-23.85</v>
      </c>
      <c r="C110" s="3" t="inlineStr"/>
    </row>
    <row r="111">
      <c r="A111" s="6" t="n">
        <v>54.5</v>
      </c>
      <c r="B111" s="6" t="n">
        <v>-24.35</v>
      </c>
      <c r="C111" s="3" t="inlineStr"/>
    </row>
    <row r="112">
      <c r="A112" s="6" t="n">
        <v>55</v>
      </c>
      <c r="B112" s="6" t="n">
        <v>-24.85</v>
      </c>
      <c r="C112" s="3" t="inlineStr"/>
    </row>
    <row r="113">
      <c r="A113" s="6" t="n">
        <v>55.5</v>
      </c>
      <c r="B113" s="6" t="n">
        <v>-25.35</v>
      </c>
      <c r="C113" s="3" t="inlineStr"/>
    </row>
    <row r="114">
      <c r="A114" s="6" t="n">
        <v>56</v>
      </c>
      <c r="B114" s="6" t="n">
        <v>-25.85</v>
      </c>
      <c r="C114" s="3" t="inlineStr"/>
    </row>
    <row r="115">
      <c r="A115" s="6" t="n">
        <v>56.5</v>
      </c>
      <c r="B115" s="6" t="n">
        <v>-26.35</v>
      </c>
      <c r="C115" s="3" t="inlineStr"/>
    </row>
    <row r="116">
      <c r="A116" s="6" t="n">
        <v>57</v>
      </c>
      <c r="B116" s="6" t="n">
        <v>-26.85</v>
      </c>
      <c r="C116" s="3" t="inlineStr"/>
    </row>
    <row r="117">
      <c r="A117" s="6" t="n">
        <v>57.5</v>
      </c>
      <c r="B117" s="6" t="n">
        <v>-27.35</v>
      </c>
      <c r="C117" s="3" t="inlineStr"/>
    </row>
    <row r="118">
      <c r="A118" s="6" t="n">
        <v>58</v>
      </c>
      <c r="B118" s="6" t="n">
        <v>-27.85</v>
      </c>
      <c r="C118" s="3" t="inlineStr"/>
    </row>
    <row r="119">
      <c r="A119" s="6" t="n">
        <v>58.5</v>
      </c>
      <c r="B119" s="6" t="n">
        <v>-28.35</v>
      </c>
      <c r="C119" s="3" t="inlineStr"/>
    </row>
    <row r="120">
      <c r="A120" s="6" t="n">
        <v>59</v>
      </c>
      <c r="B120" s="6" t="n">
        <v>-28.85</v>
      </c>
      <c r="C120" s="3" t="inlineStr"/>
    </row>
    <row r="121">
      <c r="A121" s="6" t="n">
        <v>59.5</v>
      </c>
      <c r="B121" s="6" t="n">
        <v>-29.35</v>
      </c>
      <c r="C121" s="3" t="inlineStr"/>
    </row>
    <row r="122">
      <c r="A122" s="6" t="n">
        <v>60</v>
      </c>
      <c r="B122" s="6" t="n">
        <v>-29.85</v>
      </c>
      <c r="C12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6" max="6"/>
    <col width="15" customWidth="1" min="8" max="8"/>
    <col width="50" customWidth="1" min="9" max="9"/>
  </cols>
  <sheetData>
    <row r="1">
      <c r="A1" s="22" t="inlineStr">
        <is>
          <t>LCT BUSHRA – OPERATION SUMMARY (DAS METHOD)</t>
        </is>
      </c>
    </row>
    <row r="3">
      <c r="A3" s="23" t="inlineStr">
        <is>
          <t>1. OPERATIONAL LIMITS</t>
        </is>
      </c>
    </row>
    <row r="4">
      <c r="A4" s="7" t="inlineStr">
        <is>
          <t>PARAMETER</t>
        </is>
      </c>
      <c r="B4" s="7" t="inlineStr">
        <is>
          <t>LIMIT</t>
        </is>
      </c>
      <c r="C4" s="7" t="inlineStr">
        <is>
          <t>UNIT</t>
        </is>
      </c>
      <c r="D4" s="7" t="inlineStr">
        <is>
          <t>REMARK</t>
        </is>
      </c>
    </row>
    <row r="5">
      <c r="A5" s="24" t="inlineStr">
        <is>
          <t>Summer Draft Max</t>
        </is>
      </c>
      <c r="B5" s="25" t="n">
        <v>2.7</v>
      </c>
      <c r="C5" s="24" t="inlineStr">
        <is>
          <t>m</t>
        </is>
      </c>
      <c r="D5" s="24" t="inlineStr">
        <is>
          <t>Operational Limit (Harbour: Check Depth)</t>
        </is>
      </c>
    </row>
    <row r="6">
      <c r="A6" s="24" t="inlineStr">
        <is>
          <t>Min Freeboard</t>
        </is>
      </c>
      <c r="B6" s="25" t="n">
        <v>0.28</v>
      </c>
      <c r="C6" s="24" t="inlineStr">
        <is>
          <t>m</t>
        </is>
      </c>
      <c r="D6" s="24" t="inlineStr">
        <is>
          <t>Linkspan Connection Safety</t>
        </is>
      </c>
    </row>
    <row r="7">
      <c r="A7" s="24" t="inlineStr">
        <is>
          <t>Min GM</t>
        </is>
      </c>
      <c r="B7" s="25" t="n">
        <v>1.5</v>
      </c>
      <c r="C7" s="24" t="inlineStr">
        <is>
          <t>m</t>
        </is>
      </c>
      <c r="D7" s="24" t="inlineStr">
        <is>
          <t>Stability Requirement</t>
        </is>
      </c>
    </row>
    <row r="8">
      <c r="A8" s="24" t="inlineStr">
        <is>
          <t>Max Ramp Angle</t>
        </is>
      </c>
      <c r="B8" s="25" t="n">
        <v>6</v>
      </c>
      <c r="C8" s="24" t="inlineStr">
        <is>
          <t>deg</t>
        </is>
      </c>
      <c r="D8" s="24" t="inlineStr">
        <is>
          <t>SPMT Climbing Limit</t>
        </is>
      </c>
    </row>
    <row r="9">
      <c r="A9" s="23" t="inlineStr">
        <is>
          <t>2. STAGE-BY-STAGE SAFETY CHECK</t>
        </is>
      </c>
    </row>
    <row r="10">
      <c r="A10" s="7" t="inlineStr">
        <is>
          <t>Stage</t>
        </is>
      </c>
      <c r="B10" s="7" t="inlineStr">
        <is>
          <t>Condition</t>
        </is>
      </c>
      <c r="C10" s="7" t="inlineStr">
        <is>
          <t>Trim (m)</t>
        </is>
      </c>
      <c r="D10" s="7" t="inlineStr">
        <is>
          <t>Fwd Draft</t>
        </is>
      </c>
      <c r="E10" s="7" t="inlineStr">
        <is>
          <t>Aft Draft</t>
        </is>
      </c>
      <c r="F10" s="7" t="inlineStr">
        <is>
          <t>Draft Check</t>
        </is>
      </c>
      <c r="G10" s="7" t="inlineStr">
        <is>
          <t>Freeboard</t>
        </is>
      </c>
      <c r="H10" s="7" t="inlineStr">
        <is>
          <t>Deck Check</t>
        </is>
      </c>
      <c r="I10" s="7" t="inlineStr">
        <is>
          <t>Action / Note</t>
        </is>
      </c>
    </row>
    <row r="11">
      <c r="A11" s="26">
        <f>'RORO_Stage_Scenarios'!A19</f>
        <v/>
      </c>
      <c r="B11" s="26">
        <f>IF(ISNUMBER(SEARCH("PreBallast",A11)),"PRE-BALLAST",IF(ISNUMBER(SEARCH("Critical",A11)),"CRITICAL","NORMAL"))</f>
        <v/>
      </c>
      <c r="C11" s="27">
        <f>'RORO_Stage_Scenarios'!F19</f>
        <v/>
      </c>
      <c r="D11" s="27">
        <f>'RORO_Stage_Scenarios'!O19</f>
        <v/>
      </c>
      <c r="E11" s="27">
        <f>'RORO_Stage_Scenarios'!P19</f>
        <v/>
      </c>
      <c r="F11" s="26">
        <f>IF(B11="PRE-BALLAST", "CHECK DEPTH", IF(MAX(D11,E11)&lt;=$B$5, "OK", "OVER DRAFT"))</f>
        <v/>
      </c>
      <c r="G11" s="27">
        <f>'RORO_Stage_Scenarios'!Z19</f>
        <v/>
      </c>
      <c r="H11" s="26">
        <f>IF(G11&gt;=$B$6, "OK", "SUBMERGED/LOW")</f>
        <v/>
      </c>
      <c r="I11" s="28">
        <f>'RORO_Stage_Scenarios'!G6</f>
        <v/>
      </c>
    </row>
    <row r="12">
      <c r="A12" s="26">
        <f>'RORO_Stage_Scenarios'!A20</f>
        <v/>
      </c>
      <c r="B12" s="26">
        <f>IF(ISNUMBER(SEARCH("PreBallast",A12)),"PRE-BALLAST",IF(ISNUMBER(SEARCH("Critical",A12)),"CRITICAL","NORMAL"))</f>
        <v/>
      </c>
      <c r="C12" s="27">
        <f>'RORO_Stage_Scenarios'!F20</f>
        <v/>
      </c>
      <c r="D12" s="27">
        <f>'RORO_Stage_Scenarios'!O20</f>
        <v/>
      </c>
      <c r="E12" s="27">
        <f>'RORO_Stage_Scenarios'!P20</f>
        <v/>
      </c>
      <c r="F12" s="26">
        <f>IF(B12="PRE-BALLAST", "CHECK DEPTH", IF(MAX(D12,E12)&lt;=$B$5, "OK", "OVER DRAFT"))</f>
        <v/>
      </c>
      <c r="G12" s="27">
        <f>'RORO_Stage_Scenarios'!Z20</f>
        <v/>
      </c>
      <c r="H12" s="26">
        <f>IF(G12&gt;=$B$6, "OK", "SUBMERGED/LOW")</f>
        <v/>
      </c>
      <c r="I12" s="28">
        <f>'RORO_Stage_Scenarios'!G7</f>
        <v/>
      </c>
    </row>
    <row r="13">
      <c r="A13" s="26">
        <f>'RORO_Stage_Scenarios'!A21</f>
        <v/>
      </c>
      <c r="B13" s="26">
        <f>IF(ISNUMBER(SEARCH("PreBallast",A13)),"PRE-BALLAST",IF(ISNUMBER(SEARCH("Critical",A13)),"CRITICAL","NORMAL"))</f>
        <v/>
      </c>
      <c r="C13" s="27">
        <f>'RORO_Stage_Scenarios'!F21</f>
        <v/>
      </c>
      <c r="D13" s="27">
        <f>'RORO_Stage_Scenarios'!O21</f>
        <v/>
      </c>
      <c r="E13" s="27">
        <f>'RORO_Stage_Scenarios'!P21</f>
        <v/>
      </c>
      <c r="F13" s="26">
        <f>IF(B13="PRE-BALLAST", "CHECK DEPTH", IF(MAX(D13,E13)&lt;=$B$5, "OK", "OVER DRAFT"))</f>
        <v/>
      </c>
      <c r="G13" s="27">
        <f>'RORO_Stage_Scenarios'!Z21</f>
        <v/>
      </c>
      <c r="H13" s="26">
        <f>IF(G13&gt;=$B$6, "OK", "SUBMERGED/LOW")</f>
        <v/>
      </c>
      <c r="I13" s="28">
        <f>'RORO_Stage_Scenarios'!G8</f>
        <v/>
      </c>
    </row>
    <row r="14">
      <c r="A14" s="26">
        <f>'RORO_Stage_Scenarios'!A22</f>
        <v/>
      </c>
      <c r="B14" s="26">
        <f>IF(ISNUMBER(SEARCH("PreBallast",A14)),"PRE-BALLAST",IF(ISNUMBER(SEARCH("Critical",A14)),"CRITICAL","NORMAL"))</f>
        <v/>
      </c>
      <c r="C14" s="27">
        <f>'RORO_Stage_Scenarios'!F22</f>
        <v/>
      </c>
      <c r="D14" s="27">
        <f>'RORO_Stage_Scenarios'!O22</f>
        <v/>
      </c>
      <c r="E14" s="27">
        <f>'RORO_Stage_Scenarios'!P22</f>
        <v/>
      </c>
      <c r="F14" s="26">
        <f>IF(B14="PRE-BALLAST", "CHECK DEPTH", IF(MAX(D14,E14)&lt;=$B$5, "OK", "OVER DRAFT"))</f>
        <v/>
      </c>
      <c r="G14" s="27">
        <f>'RORO_Stage_Scenarios'!Z22</f>
        <v/>
      </c>
      <c r="H14" s="26">
        <f>IF(G14&gt;=$B$6, "OK", "SUBMERGED/LOW")</f>
        <v/>
      </c>
      <c r="I14" s="28">
        <f>'RORO_Stage_Scenarios'!G9</f>
        <v/>
      </c>
    </row>
    <row r="15">
      <c r="A15" s="26">
        <f>'RORO_Stage_Scenarios'!A23</f>
        <v/>
      </c>
      <c r="B15" s="26">
        <f>IF(ISNUMBER(SEARCH("PreBallast",A15)),"PRE-BALLAST",IF(ISNUMBER(SEARCH("Critical",A15)),"CRITICAL","NORMAL"))</f>
        <v/>
      </c>
      <c r="C15" s="27">
        <f>'RORO_Stage_Scenarios'!F23</f>
        <v/>
      </c>
      <c r="D15" s="27">
        <f>'RORO_Stage_Scenarios'!O23</f>
        <v/>
      </c>
      <c r="E15" s="27">
        <f>'RORO_Stage_Scenarios'!P23</f>
        <v/>
      </c>
      <c r="F15" s="26">
        <f>IF(B15="PRE-BALLAST", "CHECK DEPTH", IF(MAX(D15,E15)&lt;=$B$5, "OK", "OVER DRAFT"))</f>
        <v/>
      </c>
      <c r="G15" s="27">
        <f>'RORO_Stage_Scenarios'!Z23</f>
        <v/>
      </c>
      <c r="H15" s="26">
        <f>IF(G15&gt;=$B$6, "OK", "SUBMERGED/LOW")</f>
        <v/>
      </c>
      <c r="I15" s="28">
        <f>'RORO_Stage_Scenarios'!G10</f>
        <v/>
      </c>
    </row>
    <row r="16">
      <c r="A16" s="29">
        <f>'RORO_Stage_Scenarios'!A24</f>
        <v/>
      </c>
      <c r="B16" s="29">
        <f>IF(ISNUMBER(SEARCH("PreBallast",A16)),"PRE-BALLAST",IF(ISNUMBER(SEARCH("Critical",A16)),"CRITICAL","NORMAL"))</f>
        <v/>
      </c>
      <c r="C16" s="30">
        <f>'RORO_Stage_Scenarios'!F24</f>
        <v/>
      </c>
      <c r="D16" s="30">
        <f>'RORO_Stage_Scenarios'!O24</f>
        <v/>
      </c>
      <c r="E16" s="30">
        <f>'RORO_Stage_Scenarios'!P24</f>
        <v/>
      </c>
      <c r="F16" s="29">
        <f>IF(B16="PRE-BALLAST", "CHECK DEPTH", IF(MAX(D16,E16)&lt;=$B$5, "OK", "OVER DRAFT"))</f>
        <v/>
      </c>
      <c r="G16" s="30">
        <f>'RORO_Stage_Scenarios'!Z24</f>
        <v/>
      </c>
      <c r="H16" s="29">
        <f>IF(G16&gt;=$B$6, "OK", "SUBMERGED/LOW")</f>
        <v/>
      </c>
      <c r="I16" s="31">
        <f>'RORO_Stage_Scenarios'!G11</f>
        <v/>
      </c>
    </row>
    <row r="17">
      <c r="A17" s="29">
        <f>'RORO_Stage_Scenarios'!A25</f>
        <v/>
      </c>
      <c r="B17" s="29">
        <f>IF(ISNUMBER(SEARCH("PreBallast",A17)),"PRE-BALLAST",IF(ISNUMBER(SEARCH("Critical",A17)),"CRITICAL","NORMAL"))</f>
        <v/>
      </c>
      <c r="C17" s="30">
        <f>'RORO_Stage_Scenarios'!F25</f>
        <v/>
      </c>
      <c r="D17" s="30">
        <f>'RORO_Stage_Scenarios'!O25</f>
        <v/>
      </c>
      <c r="E17" s="30">
        <f>'RORO_Stage_Scenarios'!P25</f>
        <v/>
      </c>
      <c r="F17" s="29">
        <f>IF(B17="PRE-BALLAST", "CHECK DEPTH", IF(MAX(D17,E17)&lt;=$B$5, "OK", "OVER DRAFT"))</f>
        <v/>
      </c>
      <c r="G17" s="30">
        <f>'RORO_Stage_Scenarios'!Z25</f>
        <v/>
      </c>
      <c r="H17" s="29">
        <f>IF(G17&gt;=$B$6, "OK", "SUBMERGED/LOW")</f>
        <v/>
      </c>
      <c r="I17" s="31">
        <f>'RORO_Stage_Scenarios'!G12</f>
        <v/>
      </c>
    </row>
    <row r="18">
      <c r="A18" s="26">
        <f>'RORO_Stage_Scenarios'!A26</f>
        <v/>
      </c>
      <c r="B18" s="26">
        <f>IF(ISNUMBER(SEARCH("PreBallast",A18)),"PRE-BALLAST",IF(ISNUMBER(SEARCH("Critical",A18)),"CRITICAL","NORMAL"))</f>
        <v/>
      </c>
      <c r="C18" s="27">
        <f>'RORO_Stage_Scenarios'!F26</f>
        <v/>
      </c>
      <c r="D18" s="27">
        <f>'RORO_Stage_Scenarios'!O26</f>
        <v/>
      </c>
      <c r="E18" s="27">
        <f>'RORO_Stage_Scenarios'!P26</f>
        <v/>
      </c>
      <c r="F18" s="26">
        <f>IF(B18="PRE-BALLAST", "CHECK DEPTH", IF(MAX(D18,E18)&lt;=$B$5, "OK", "OVER DRAFT"))</f>
        <v/>
      </c>
      <c r="G18" s="27">
        <f>'RORO_Stage_Scenarios'!Z26</f>
        <v/>
      </c>
      <c r="H18" s="26">
        <f>IF(G18&gt;=$B$6, "OK", "SUBMERGED/LOW")</f>
        <v/>
      </c>
      <c r="I18" s="28">
        <f>'RORO_Stage_Scenarios'!G13</f>
        <v/>
      </c>
    </row>
    <row r="19">
      <c r="A19" s="26">
        <f>'RORO_Stage_Scenarios'!A27</f>
        <v/>
      </c>
      <c r="B19" s="26">
        <f>IF(ISNUMBER(SEARCH("PreBallast",A19)),"PRE-BALLAST",IF(ISNUMBER(SEARCH("Critical",A19)),"CRITICAL","NORMAL"))</f>
        <v/>
      </c>
      <c r="C19" s="27">
        <f>'RORO_Stage_Scenarios'!F27</f>
        <v/>
      </c>
      <c r="D19" s="27">
        <f>'RORO_Stage_Scenarios'!O27</f>
        <v/>
      </c>
      <c r="E19" s="27">
        <f>'RORO_Stage_Scenarios'!P27</f>
        <v/>
      </c>
      <c r="F19" s="26">
        <f>IF(B19="PRE-BALLAST", "CHECK DEPTH", IF(MAX(D19,E19)&lt;=$B$5, "OK", "OVER DRAFT"))</f>
        <v/>
      </c>
      <c r="G19" s="27">
        <f>'RORO_Stage_Scenarios'!Z27</f>
        <v/>
      </c>
      <c r="H19" s="26">
        <f>IF(G19&gt;=$B$6, "OK", "SUBMERGED/LOW")</f>
        <v/>
      </c>
      <c r="I19" s="28">
        <f>'RORO_Stage_Scenarios'!G14</f>
        <v/>
      </c>
    </row>
    <row r="20">
      <c r="A20" s="26">
        <f>'RORO_Stage_Scenarios'!A28</f>
        <v/>
      </c>
      <c r="B20" s="26">
        <f>IF(ISNUMBER(SEARCH("PreBallast",A20)),"PRE-BALLAST",IF(ISNUMBER(SEARCH("Critical",A20)),"CRITICAL","NORMAL"))</f>
        <v/>
      </c>
      <c r="C20" s="27">
        <f>'RORO_Stage_Scenarios'!F28</f>
        <v/>
      </c>
      <c r="D20" s="27">
        <f>'RORO_Stage_Scenarios'!O28</f>
        <v/>
      </c>
      <c r="E20" s="27">
        <f>'RORO_Stage_Scenarios'!P28</f>
        <v/>
      </c>
      <c r="F20" s="26">
        <f>IF(B20="PRE-BALLAST", "CHECK DEPTH", IF(MAX(D20,E20)&lt;=$B$5, "OK", "OVER DRAFT"))</f>
        <v/>
      </c>
      <c r="G20" s="27">
        <f>'RORO_Stage_Scenarios'!Z28</f>
        <v/>
      </c>
      <c r="H20" s="26">
        <f>IF(G20&gt;=$B$6, "OK", "SUBMERGED/LOW")</f>
        <v/>
      </c>
      <c r="I20" s="28">
        <f>'RORO_Stage_Scenarios'!G15</f>
        <v/>
      </c>
    </row>
  </sheetData>
  <mergeCells count="3">
    <mergeCell ref="A1:J1"/>
    <mergeCell ref="A9:J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2025-12-30T13:36:16Z</dcterms:created>
  <dcterms:modified xmlns:dcterms="http://purl.org/dc/terms/" xmlns:xsi="http://www.w3.org/2001/XMLSchema-instance" xsi:type="dcterms:W3CDTF">2025-12-30T13:36:16Z</dcterms:modified>
</cp:coreProperties>
</file>