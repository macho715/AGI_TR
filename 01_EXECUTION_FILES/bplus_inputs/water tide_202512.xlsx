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C:\AGI RORO TR\01_EXECUTION_FILES\bplus_inputs\"/>
    </mc:Choice>
  </mc:AlternateContent>
  <xr:revisionPtr revIDLastSave="0" documentId="8_{7A9C9681-1B74-45E5-BCFF-AD7FD5B36615}" xr6:coauthVersionLast="47" xr6:coauthVersionMax="47" xr10:uidLastSave="{00000000-0000-0000-0000-000000000000}"/>
  <bookViews>
    <workbookView xWindow="-98" yWindow="-98" windowWidth="21795" windowHeight="13875" xr2:uid="{4F65726E-3C4E-4808-A35E-6696150AE782}"/>
  </bookViews>
  <sheets>
    <sheet name="December_Tide_2025 (2)" sheetId="1" r:id="rId1"/>
    <sheet name="Hourly_FWD_AFT_Heights (2)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5" i="2" l="1"/>
  <c r="B745" i="2"/>
  <c r="A745" i="2"/>
  <c r="C745" i="2" s="1"/>
  <c r="K744" i="2"/>
  <c r="B744" i="2"/>
  <c r="A744" i="2"/>
  <c r="C744" i="2" s="1"/>
  <c r="K743" i="2"/>
  <c r="B743" i="2"/>
  <c r="A743" i="2"/>
  <c r="C743" i="2" s="1"/>
  <c r="K742" i="2"/>
  <c r="B742" i="2"/>
  <c r="A742" i="2"/>
  <c r="C742" i="2" s="1"/>
  <c r="K741" i="2"/>
  <c r="B741" i="2"/>
  <c r="A741" i="2"/>
  <c r="C741" i="2" s="1"/>
  <c r="K740" i="2"/>
  <c r="B740" i="2"/>
  <c r="A740" i="2"/>
  <c r="C740" i="2" s="1"/>
  <c r="K739" i="2"/>
  <c r="B739" i="2"/>
  <c r="A739" i="2"/>
  <c r="C739" i="2" s="1"/>
  <c r="K738" i="2"/>
  <c r="B738" i="2"/>
  <c r="A738" i="2"/>
  <c r="C738" i="2" s="1"/>
  <c r="K737" i="2"/>
  <c r="B737" i="2"/>
  <c r="A737" i="2"/>
  <c r="C737" i="2" s="1"/>
  <c r="K736" i="2"/>
  <c r="B736" i="2"/>
  <c r="A736" i="2"/>
  <c r="C736" i="2" s="1"/>
  <c r="K735" i="2"/>
  <c r="B735" i="2"/>
  <c r="A735" i="2"/>
  <c r="C735" i="2" s="1"/>
  <c r="K734" i="2"/>
  <c r="B734" i="2"/>
  <c r="A734" i="2"/>
  <c r="C734" i="2" s="1"/>
  <c r="K733" i="2"/>
  <c r="B733" i="2"/>
  <c r="A733" i="2"/>
  <c r="C733" i="2" s="1"/>
  <c r="K732" i="2"/>
  <c r="B732" i="2"/>
  <c r="A732" i="2"/>
  <c r="C732" i="2" s="1"/>
  <c r="K731" i="2"/>
  <c r="B731" i="2"/>
  <c r="A731" i="2"/>
  <c r="C731" i="2" s="1"/>
  <c r="K730" i="2"/>
  <c r="B730" i="2"/>
  <c r="A730" i="2"/>
  <c r="C730" i="2" s="1"/>
  <c r="K729" i="2"/>
  <c r="B729" i="2"/>
  <c r="A729" i="2"/>
  <c r="C729" i="2" s="1"/>
  <c r="K728" i="2"/>
  <c r="B728" i="2"/>
  <c r="A728" i="2"/>
  <c r="C728" i="2" s="1"/>
  <c r="K727" i="2"/>
  <c r="B727" i="2"/>
  <c r="A727" i="2"/>
  <c r="C727" i="2" s="1"/>
  <c r="K726" i="2"/>
  <c r="B726" i="2"/>
  <c r="A726" i="2"/>
  <c r="C726" i="2" s="1"/>
  <c r="K725" i="2"/>
  <c r="B725" i="2"/>
  <c r="A725" i="2"/>
  <c r="C725" i="2" s="1"/>
  <c r="K724" i="2"/>
  <c r="B724" i="2"/>
  <c r="A724" i="2"/>
  <c r="C724" i="2" s="1"/>
  <c r="K723" i="2"/>
  <c r="B723" i="2"/>
  <c r="A723" i="2"/>
  <c r="C723" i="2" s="1"/>
  <c r="K722" i="2"/>
  <c r="B722" i="2"/>
  <c r="A722" i="2"/>
  <c r="C722" i="2" s="1"/>
  <c r="K721" i="2"/>
  <c r="B721" i="2"/>
  <c r="A721" i="2"/>
  <c r="C721" i="2" s="1"/>
  <c r="K720" i="2"/>
  <c r="B720" i="2"/>
  <c r="A720" i="2"/>
  <c r="C720" i="2" s="1"/>
  <c r="K719" i="2"/>
  <c r="B719" i="2"/>
  <c r="A719" i="2"/>
  <c r="C719" i="2" s="1"/>
  <c r="K718" i="2"/>
  <c r="B718" i="2"/>
  <c r="A718" i="2"/>
  <c r="C718" i="2" s="1"/>
  <c r="K717" i="2"/>
  <c r="B717" i="2"/>
  <c r="A717" i="2"/>
  <c r="C717" i="2" s="1"/>
  <c r="K716" i="2"/>
  <c r="B716" i="2"/>
  <c r="A716" i="2"/>
  <c r="C716" i="2" s="1"/>
  <c r="K715" i="2"/>
  <c r="B715" i="2"/>
  <c r="A715" i="2"/>
  <c r="C715" i="2" s="1"/>
  <c r="K714" i="2"/>
  <c r="B714" i="2"/>
  <c r="A714" i="2"/>
  <c r="C714" i="2" s="1"/>
  <c r="K713" i="2"/>
  <c r="B713" i="2"/>
  <c r="A713" i="2"/>
  <c r="C713" i="2" s="1"/>
  <c r="K712" i="2"/>
  <c r="B712" i="2"/>
  <c r="A712" i="2"/>
  <c r="C712" i="2" s="1"/>
  <c r="K711" i="2"/>
  <c r="B711" i="2"/>
  <c r="A711" i="2"/>
  <c r="C711" i="2" s="1"/>
  <c r="K710" i="2"/>
  <c r="B710" i="2"/>
  <c r="A710" i="2"/>
  <c r="C710" i="2" s="1"/>
  <c r="K709" i="2"/>
  <c r="B709" i="2"/>
  <c r="A709" i="2"/>
  <c r="C709" i="2" s="1"/>
  <c r="K708" i="2"/>
  <c r="B708" i="2"/>
  <c r="A708" i="2"/>
  <c r="C708" i="2" s="1"/>
  <c r="K707" i="2"/>
  <c r="B707" i="2"/>
  <c r="A707" i="2"/>
  <c r="C707" i="2" s="1"/>
  <c r="K706" i="2"/>
  <c r="B706" i="2"/>
  <c r="A706" i="2"/>
  <c r="C706" i="2" s="1"/>
  <c r="K705" i="2"/>
  <c r="B705" i="2"/>
  <c r="A705" i="2"/>
  <c r="C705" i="2" s="1"/>
  <c r="K704" i="2"/>
  <c r="B704" i="2"/>
  <c r="A704" i="2"/>
  <c r="C704" i="2" s="1"/>
  <c r="K703" i="2"/>
  <c r="B703" i="2"/>
  <c r="A703" i="2"/>
  <c r="C703" i="2" s="1"/>
  <c r="K702" i="2"/>
  <c r="B702" i="2"/>
  <c r="A702" i="2"/>
  <c r="C702" i="2" s="1"/>
  <c r="K701" i="2"/>
  <c r="B701" i="2"/>
  <c r="A701" i="2"/>
  <c r="C701" i="2" s="1"/>
  <c r="K700" i="2"/>
  <c r="B700" i="2"/>
  <c r="A700" i="2"/>
  <c r="C700" i="2" s="1"/>
  <c r="K699" i="2"/>
  <c r="B699" i="2"/>
  <c r="A699" i="2"/>
  <c r="C699" i="2" s="1"/>
  <c r="K698" i="2"/>
  <c r="C698" i="2"/>
  <c r="B698" i="2"/>
  <c r="A698" i="2"/>
  <c r="K697" i="2"/>
  <c r="B697" i="2"/>
  <c r="A697" i="2"/>
  <c r="C697" i="2" s="1"/>
  <c r="K696" i="2"/>
  <c r="B696" i="2"/>
  <c r="A696" i="2"/>
  <c r="C696" i="2" s="1"/>
  <c r="K695" i="2"/>
  <c r="B695" i="2"/>
  <c r="A695" i="2"/>
  <c r="C695" i="2" s="1"/>
  <c r="K694" i="2"/>
  <c r="B694" i="2"/>
  <c r="A694" i="2"/>
  <c r="C694" i="2" s="1"/>
  <c r="K693" i="2"/>
  <c r="B693" i="2"/>
  <c r="A693" i="2"/>
  <c r="C693" i="2" s="1"/>
  <c r="K692" i="2"/>
  <c r="B692" i="2"/>
  <c r="A692" i="2"/>
  <c r="C692" i="2" s="1"/>
  <c r="K691" i="2"/>
  <c r="B691" i="2"/>
  <c r="A691" i="2"/>
  <c r="C691" i="2" s="1"/>
  <c r="K690" i="2"/>
  <c r="B690" i="2"/>
  <c r="A690" i="2"/>
  <c r="C690" i="2" s="1"/>
  <c r="K689" i="2"/>
  <c r="B689" i="2"/>
  <c r="A689" i="2"/>
  <c r="C689" i="2" s="1"/>
  <c r="K688" i="2"/>
  <c r="B688" i="2"/>
  <c r="A688" i="2"/>
  <c r="C688" i="2" s="1"/>
  <c r="K687" i="2"/>
  <c r="B687" i="2"/>
  <c r="A687" i="2"/>
  <c r="C687" i="2" s="1"/>
  <c r="K686" i="2"/>
  <c r="B686" i="2"/>
  <c r="A686" i="2"/>
  <c r="C686" i="2" s="1"/>
  <c r="K685" i="2"/>
  <c r="B685" i="2"/>
  <c r="A685" i="2"/>
  <c r="C685" i="2" s="1"/>
  <c r="K684" i="2"/>
  <c r="B684" i="2"/>
  <c r="A684" i="2"/>
  <c r="C684" i="2" s="1"/>
  <c r="K683" i="2"/>
  <c r="B683" i="2"/>
  <c r="A683" i="2"/>
  <c r="C683" i="2" s="1"/>
  <c r="K682" i="2"/>
  <c r="B682" i="2"/>
  <c r="A682" i="2"/>
  <c r="C682" i="2" s="1"/>
  <c r="K681" i="2"/>
  <c r="B681" i="2"/>
  <c r="A681" i="2"/>
  <c r="C681" i="2" s="1"/>
  <c r="K680" i="2"/>
  <c r="B680" i="2"/>
  <c r="A680" i="2"/>
  <c r="C680" i="2" s="1"/>
  <c r="K679" i="2"/>
  <c r="B679" i="2"/>
  <c r="A679" i="2"/>
  <c r="C679" i="2" s="1"/>
  <c r="K678" i="2"/>
  <c r="B678" i="2"/>
  <c r="A678" i="2"/>
  <c r="C678" i="2" s="1"/>
  <c r="K677" i="2"/>
  <c r="B677" i="2"/>
  <c r="A677" i="2"/>
  <c r="C677" i="2" s="1"/>
  <c r="K676" i="2"/>
  <c r="B676" i="2"/>
  <c r="A676" i="2"/>
  <c r="C676" i="2" s="1"/>
  <c r="K675" i="2"/>
  <c r="B675" i="2"/>
  <c r="A675" i="2"/>
  <c r="C675" i="2" s="1"/>
  <c r="K674" i="2"/>
  <c r="B674" i="2"/>
  <c r="A674" i="2"/>
  <c r="C674" i="2" s="1"/>
  <c r="K673" i="2"/>
  <c r="B673" i="2"/>
  <c r="A673" i="2"/>
  <c r="C673" i="2" s="1"/>
  <c r="K672" i="2"/>
  <c r="B672" i="2"/>
  <c r="A672" i="2"/>
  <c r="C672" i="2" s="1"/>
  <c r="K671" i="2"/>
  <c r="B671" i="2"/>
  <c r="A671" i="2"/>
  <c r="C671" i="2" s="1"/>
  <c r="K670" i="2"/>
  <c r="B670" i="2"/>
  <c r="A670" i="2"/>
  <c r="C670" i="2" s="1"/>
  <c r="K669" i="2"/>
  <c r="B669" i="2"/>
  <c r="A669" i="2"/>
  <c r="C669" i="2" s="1"/>
  <c r="K668" i="2"/>
  <c r="B668" i="2"/>
  <c r="A668" i="2"/>
  <c r="C668" i="2" s="1"/>
  <c r="K667" i="2"/>
  <c r="B667" i="2"/>
  <c r="A667" i="2"/>
  <c r="C667" i="2" s="1"/>
  <c r="K666" i="2"/>
  <c r="B666" i="2"/>
  <c r="A666" i="2"/>
  <c r="C666" i="2" s="1"/>
  <c r="K665" i="2"/>
  <c r="B665" i="2"/>
  <c r="A665" i="2"/>
  <c r="C665" i="2" s="1"/>
  <c r="K664" i="2"/>
  <c r="B664" i="2"/>
  <c r="A664" i="2"/>
  <c r="C664" i="2" s="1"/>
  <c r="K663" i="2"/>
  <c r="B663" i="2"/>
  <c r="A663" i="2"/>
  <c r="C663" i="2" s="1"/>
  <c r="K662" i="2"/>
  <c r="B662" i="2"/>
  <c r="A662" i="2"/>
  <c r="C662" i="2" s="1"/>
  <c r="K661" i="2"/>
  <c r="B661" i="2"/>
  <c r="A661" i="2"/>
  <c r="C661" i="2" s="1"/>
  <c r="K660" i="2"/>
  <c r="B660" i="2"/>
  <c r="A660" i="2"/>
  <c r="C660" i="2" s="1"/>
  <c r="K659" i="2"/>
  <c r="B659" i="2"/>
  <c r="A659" i="2"/>
  <c r="C659" i="2" s="1"/>
  <c r="K658" i="2"/>
  <c r="B658" i="2"/>
  <c r="A658" i="2"/>
  <c r="C658" i="2" s="1"/>
  <c r="K657" i="2"/>
  <c r="B657" i="2"/>
  <c r="A657" i="2"/>
  <c r="C657" i="2" s="1"/>
  <c r="K656" i="2"/>
  <c r="B656" i="2"/>
  <c r="A656" i="2"/>
  <c r="C656" i="2" s="1"/>
  <c r="K655" i="2"/>
  <c r="B655" i="2"/>
  <c r="A655" i="2"/>
  <c r="C655" i="2" s="1"/>
  <c r="K654" i="2"/>
  <c r="B654" i="2"/>
  <c r="A654" i="2"/>
  <c r="C654" i="2" s="1"/>
  <c r="K653" i="2"/>
  <c r="B653" i="2"/>
  <c r="A653" i="2"/>
  <c r="C653" i="2" s="1"/>
  <c r="K652" i="2"/>
  <c r="B652" i="2"/>
  <c r="A652" i="2"/>
  <c r="C652" i="2" s="1"/>
  <c r="K651" i="2"/>
  <c r="B651" i="2"/>
  <c r="A651" i="2"/>
  <c r="C651" i="2" s="1"/>
  <c r="K650" i="2"/>
  <c r="B650" i="2"/>
  <c r="A650" i="2"/>
  <c r="C650" i="2" s="1"/>
  <c r="K649" i="2"/>
  <c r="B649" i="2"/>
  <c r="A649" i="2"/>
  <c r="C649" i="2" s="1"/>
  <c r="K648" i="2"/>
  <c r="C648" i="2"/>
  <c r="B648" i="2"/>
  <c r="A648" i="2"/>
  <c r="K647" i="2"/>
  <c r="B647" i="2"/>
  <c r="A647" i="2"/>
  <c r="C647" i="2" s="1"/>
  <c r="K646" i="2"/>
  <c r="B646" i="2"/>
  <c r="A646" i="2"/>
  <c r="C646" i="2" s="1"/>
  <c r="K645" i="2"/>
  <c r="B645" i="2"/>
  <c r="A645" i="2"/>
  <c r="C645" i="2" s="1"/>
  <c r="K644" i="2"/>
  <c r="B644" i="2"/>
  <c r="A644" i="2"/>
  <c r="C644" i="2" s="1"/>
  <c r="K643" i="2"/>
  <c r="B643" i="2"/>
  <c r="A643" i="2"/>
  <c r="C643" i="2" s="1"/>
  <c r="K642" i="2"/>
  <c r="B642" i="2"/>
  <c r="A642" i="2"/>
  <c r="C642" i="2" s="1"/>
  <c r="K641" i="2"/>
  <c r="B641" i="2"/>
  <c r="A641" i="2"/>
  <c r="C641" i="2" s="1"/>
  <c r="K640" i="2"/>
  <c r="B640" i="2"/>
  <c r="A640" i="2"/>
  <c r="C640" i="2" s="1"/>
  <c r="K639" i="2"/>
  <c r="B639" i="2"/>
  <c r="A639" i="2"/>
  <c r="C639" i="2" s="1"/>
  <c r="K638" i="2"/>
  <c r="B638" i="2"/>
  <c r="A638" i="2"/>
  <c r="C638" i="2" s="1"/>
  <c r="K637" i="2"/>
  <c r="B637" i="2"/>
  <c r="A637" i="2"/>
  <c r="C637" i="2" s="1"/>
  <c r="K636" i="2"/>
  <c r="B636" i="2"/>
  <c r="A636" i="2"/>
  <c r="C636" i="2" s="1"/>
  <c r="K635" i="2"/>
  <c r="B635" i="2"/>
  <c r="A635" i="2"/>
  <c r="C635" i="2" s="1"/>
  <c r="K634" i="2"/>
  <c r="B634" i="2"/>
  <c r="A634" i="2"/>
  <c r="C634" i="2" s="1"/>
  <c r="K633" i="2"/>
  <c r="B633" i="2"/>
  <c r="A633" i="2"/>
  <c r="C633" i="2" s="1"/>
  <c r="K632" i="2"/>
  <c r="B632" i="2"/>
  <c r="A632" i="2"/>
  <c r="C632" i="2" s="1"/>
  <c r="K631" i="2"/>
  <c r="B631" i="2"/>
  <c r="A631" i="2"/>
  <c r="C631" i="2" s="1"/>
  <c r="K630" i="2"/>
  <c r="B630" i="2"/>
  <c r="A630" i="2"/>
  <c r="C630" i="2" s="1"/>
  <c r="K629" i="2"/>
  <c r="B629" i="2"/>
  <c r="A629" i="2"/>
  <c r="C629" i="2" s="1"/>
  <c r="K628" i="2"/>
  <c r="B628" i="2"/>
  <c r="A628" i="2"/>
  <c r="C628" i="2" s="1"/>
  <c r="K627" i="2"/>
  <c r="B627" i="2"/>
  <c r="A627" i="2"/>
  <c r="C627" i="2" s="1"/>
  <c r="K626" i="2"/>
  <c r="B626" i="2"/>
  <c r="A626" i="2"/>
  <c r="C626" i="2" s="1"/>
  <c r="K625" i="2"/>
  <c r="B625" i="2"/>
  <c r="A625" i="2"/>
  <c r="C625" i="2" s="1"/>
  <c r="K624" i="2"/>
  <c r="B624" i="2"/>
  <c r="A624" i="2"/>
  <c r="C624" i="2" s="1"/>
  <c r="K623" i="2"/>
  <c r="B623" i="2"/>
  <c r="A623" i="2"/>
  <c r="C623" i="2" s="1"/>
  <c r="K622" i="2"/>
  <c r="B622" i="2"/>
  <c r="A622" i="2"/>
  <c r="C622" i="2" s="1"/>
  <c r="K621" i="2"/>
  <c r="B621" i="2"/>
  <c r="A621" i="2"/>
  <c r="C621" i="2" s="1"/>
  <c r="K620" i="2"/>
  <c r="B620" i="2"/>
  <c r="A620" i="2"/>
  <c r="C620" i="2" s="1"/>
  <c r="K619" i="2"/>
  <c r="B619" i="2"/>
  <c r="A619" i="2"/>
  <c r="C619" i="2" s="1"/>
  <c r="K618" i="2"/>
  <c r="B618" i="2"/>
  <c r="A618" i="2"/>
  <c r="C618" i="2" s="1"/>
  <c r="K617" i="2"/>
  <c r="B617" i="2"/>
  <c r="A617" i="2"/>
  <c r="C617" i="2" s="1"/>
  <c r="K616" i="2"/>
  <c r="B616" i="2"/>
  <c r="A616" i="2"/>
  <c r="C616" i="2" s="1"/>
  <c r="K615" i="2"/>
  <c r="B615" i="2"/>
  <c r="A615" i="2"/>
  <c r="C615" i="2" s="1"/>
  <c r="K614" i="2"/>
  <c r="B614" i="2"/>
  <c r="A614" i="2"/>
  <c r="C614" i="2" s="1"/>
  <c r="K613" i="2"/>
  <c r="B613" i="2"/>
  <c r="A613" i="2"/>
  <c r="C613" i="2" s="1"/>
  <c r="K612" i="2"/>
  <c r="B612" i="2"/>
  <c r="A612" i="2"/>
  <c r="C612" i="2" s="1"/>
  <c r="K611" i="2"/>
  <c r="B611" i="2"/>
  <c r="A611" i="2"/>
  <c r="C611" i="2" s="1"/>
  <c r="K610" i="2"/>
  <c r="B610" i="2"/>
  <c r="A610" i="2"/>
  <c r="C610" i="2" s="1"/>
  <c r="K609" i="2"/>
  <c r="B609" i="2"/>
  <c r="A609" i="2"/>
  <c r="C609" i="2" s="1"/>
  <c r="K608" i="2"/>
  <c r="B608" i="2"/>
  <c r="A608" i="2"/>
  <c r="C608" i="2" s="1"/>
  <c r="K607" i="2"/>
  <c r="B607" i="2"/>
  <c r="A607" i="2"/>
  <c r="C607" i="2" s="1"/>
  <c r="K606" i="2"/>
  <c r="B606" i="2"/>
  <c r="A606" i="2"/>
  <c r="C606" i="2" s="1"/>
  <c r="K605" i="2"/>
  <c r="B605" i="2"/>
  <c r="A605" i="2"/>
  <c r="C605" i="2" s="1"/>
  <c r="K604" i="2"/>
  <c r="B604" i="2"/>
  <c r="A604" i="2"/>
  <c r="C604" i="2" s="1"/>
  <c r="K603" i="2"/>
  <c r="B603" i="2"/>
  <c r="A603" i="2"/>
  <c r="C603" i="2" s="1"/>
  <c r="K602" i="2"/>
  <c r="B602" i="2"/>
  <c r="A602" i="2"/>
  <c r="C602" i="2" s="1"/>
  <c r="K601" i="2"/>
  <c r="B601" i="2"/>
  <c r="A601" i="2"/>
  <c r="C601" i="2" s="1"/>
  <c r="K600" i="2"/>
  <c r="B600" i="2"/>
  <c r="A600" i="2"/>
  <c r="C600" i="2" s="1"/>
  <c r="K599" i="2"/>
  <c r="B599" i="2"/>
  <c r="A599" i="2"/>
  <c r="C599" i="2" s="1"/>
  <c r="K598" i="2"/>
  <c r="B598" i="2"/>
  <c r="A598" i="2"/>
  <c r="C598" i="2" s="1"/>
  <c r="K597" i="2"/>
  <c r="B597" i="2"/>
  <c r="A597" i="2"/>
  <c r="C597" i="2" s="1"/>
  <c r="K596" i="2"/>
  <c r="B596" i="2"/>
  <c r="A596" i="2"/>
  <c r="C596" i="2" s="1"/>
  <c r="K595" i="2"/>
  <c r="B595" i="2"/>
  <c r="A595" i="2"/>
  <c r="C595" i="2" s="1"/>
  <c r="K594" i="2"/>
  <c r="B594" i="2"/>
  <c r="A594" i="2"/>
  <c r="C594" i="2" s="1"/>
  <c r="K593" i="2"/>
  <c r="B593" i="2"/>
  <c r="A593" i="2"/>
  <c r="C593" i="2" s="1"/>
  <c r="K592" i="2"/>
  <c r="B592" i="2"/>
  <c r="A592" i="2"/>
  <c r="C592" i="2" s="1"/>
  <c r="K591" i="2"/>
  <c r="B591" i="2"/>
  <c r="A591" i="2"/>
  <c r="C591" i="2" s="1"/>
  <c r="K590" i="2"/>
  <c r="B590" i="2"/>
  <c r="A590" i="2"/>
  <c r="C590" i="2" s="1"/>
  <c r="K589" i="2"/>
  <c r="B589" i="2"/>
  <c r="A589" i="2"/>
  <c r="C589" i="2" s="1"/>
  <c r="K588" i="2"/>
  <c r="B588" i="2"/>
  <c r="A588" i="2"/>
  <c r="C588" i="2" s="1"/>
  <c r="K587" i="2"/>
  <c r="B587" i="2"/>
  <c r="A587" i="2"/>
  <c r="C587" i="2" s="1"/>
  <c r="K586" i="2"/>
  <c r="B586" i="2"/>
  <c r="A586" i="2"/>
  <c r="C586" i="2" s="1"/>
  <c r="K585" i="2"/>
  <c r="B585" i="2"/>
  <c r="A585" i="2"/>
  <c r="C585" i="2" s="1"/>
  <c r="K584" i="2"/>
  <c r="B584" i="2"/>
  <c r="A584" i="2"/>
  <c r="C584" i="2" s="1"/>
  <c r="K583" i="2"/>
  <c r="B583" i="2"/>
  <c r="A583" i="2"/>
  <c r="C583" i="2" s="1"/>
  <c r="K582" i="2"/>
  <c r="B582" i="2"/>
  <c r="A582" i="2"/>
  <c r="C582" i="2" s="1"/>
  <c r="K581" i="2"/>
  <c r="B581" i="2"/>
  <c r="A581" i="2"/>
  <c r="C581" i="2" s="1"/>
  <c r="K580" i="2"/>
  <c r="B580" i="2"/>
  <c r="A580" i="2"/>
  <c r="C580" i="2" s="1"/>
  <c r="K579" i="2"/>
  <c r="B579" i="2"/>
  <c r="A579" i="2"/>
  <c r="C579" i="2" s="1"/>
  <c r="K578" i="2"/>
  <c r="B578" i="2"/>
  <c r="A578" i="2"/>
  <c r="C578" i="2" s="1"/>
  <c r="K577" i="2"/>
  <c r="B577" i="2"/>
  <c r="A577" i="2"/>
  <c r="C577" i="2" s="1"/>
  <c r="K576" i="2"/>
  <c r="B576" i="2"/>
  <c r="A576" i="2"/>
  <c r="C576" i="2" s="1"/>
  <c r="K575" i="2"/>
  <c r="B575" i="2"/>
  <c r="A575" i="2"/>
  <c r="C575" i="2" s="1"/>
  <c r="K574" i="2"/>
  <c r="B574" i="2"/>
  <c r="A574" i="2"/>
  <c r="C574" i="2" s="1"/>
  <c r="K573" i="2"/>
  <c r="B573" i="2"/>
  <c r="A573" i="2"/>
  <c r="C573" i="2" s="1"/>
  <c r="K572" i="2"/>
  <c r="B572" i="2"/>
  <c r="A572" i="2"/>
  <c r="C572" i="2" s="1"/>
  <c r="K571" i="2"/>
  <c r="B571" i="2"/>
  <c r="A571" i="2"/>
  <c r="C571" i="2" s="1"/>
  <c r="K570" i="2"/>
  <c r="B570" i="2"/>
  <c r="A570" i="2"/>
  <c r="C570" i="2" s="1"/>
  <c r="K569" i="2"/>
  <c r="B569" i="2"/>
  <c r="A569" i="2"/>
  <c r="C569" i="2" s="1"/>
  <c r="K568" i="2"/>
  <c r="B568" i="2"/>
  <c r="A568" i="2"/>
  <c r="C568" i="2" s="1"/>
  <c r="K567" i="2"/>
  <c r="B567" i="2"/>
  <c r="A567" i="2"/>
  <c r="C567" i="2" s="1"/>
  <c r="K566" i="2"/>
  <c r="B566" i="2"/>
  <c r="A566" i="2"/>
  <c r="C566" i="2" s="1"/>
  <c r="K565" i="2"/>
  <c r="B565" i="2"/>
  <c r="A565" i="2"/>
  <c r="C565" i="2" s="1"/>
  <c r="K564" i="2"/>
  <c r="B564" i="2"/>
  <c r="A564" i="2"/>
  <c r="C564" i="2" s="1"/>
  <c r="K563" i="2"/>
  <c r="B563" i="2"/>
  <c r="A563" i="2"/>
  <c r="C563" i="2" s="1"/>
  <c r="K562" i="2"/>
  <c r="B562" i="2"/>
  <c r="A562" i="2"/>
  <c r="C562" i="2" s="1"/>
  <c r="K561" i="2"/>
  <c r="B561" i="2"/>
  <c r="A561" i="2"/>
  <c r="C561" i="2" s="1"/>
  <c r="K560" i="2"/>
  <c r="B560" i="2"/>
  <c r="A560" i="2"/>
  <c r="C560" i="2" s="1"/>
  <c r="K559" i="2"/>
  <c r="B559" i="2"/>
  <c r="A559" i="2"/>
  <c r="C559" i="2" s="1"/>
  <c r="K558" i="2"/>
  <c r="B558" i="2"/>
  <c r="A558" i="2"/>
  <c r="C558" i="2" s="1"/>
  <c r="K557" i="2"/>
  <c r="B557" i="2"/>
  <c r="A557" i="2"/>
  <c r="C557" i="2" s="1"/>
  <c r="K556" i="2"/>
  <c r="B556" i="2"/>
  <c r="A556" i="2"/>
  <c r="C556" i="2" s="1"/>
  <c r="K555" i="2"/>
  <c r="B555" i="2"/>
  <c r="A555" i="2"/>
  <c r="C555" i="2" s="1"/>
  <c r="K554" i="2"/>
  <c r="B554" i="2"/>
  <c r="A554" i="2"/>
  <c r="C554" i="2" s="1"/>
  <c r="K553" i="2"/>
  <c r="B553" i="2"/>
  <c r="A553" i="2"/>
  <c r="C553" i="2" s="1"/>
  <c r="K552" i="2"/>
  <c r="B552" i="2"/>
  <c r="A552" i="2"/>
  <c r="C552" i="2" s="1"/>
  <c r="K551" i="2"/>
  <c r="B551" i="2"/>
  <c r="A551" i="2"/>
  <c r="C551" i="2" s="1"/>
  <c r="K550" i="2"/>
  <c r="B550" i="2"/>
  <c r="A550" i="2"/>
  <c r="C550" i="2" s="1"/>
  <c r="K549" i="2"/>
  <c r="B549" i="2"/>
  <c r="A549" i="2"/>
  <c r="C549" i="2" s="1"/>
  <c r="K548" i="2"/>
  <c r="B548" i="2"/>
  <c r="A548" i="2"/>
  <c r="C548" i="2" s="1"/>
  <c r="K547" i="2"/>
  <c r="B547" i="2"/>
  <c r="A547" i="2"/>
  <c r="C547" i="2" s="1"/>
  <c r="K546" i="2"/>
  <c r="B546" i="2"/>
  <c r="A546" i="2"/>
  <c r="C546" i="2" s="1"/>
  <c r="K545" i="2"/>
  <c r="B545" i="2"/>
  <c r="A545" i="2"/>
  <c r="C545" i="2" s="1"/>
  <c r="K544" i="2"/>
  <c r="B544" i="2"/>
  <c r="A544" i="2"/>
  <c r="C544" i="2" s="1"/>
  <c r="K543" i="2"/>
  <c r="B543" i="2"/>
  <c r="A543" i="2"/>
  <c r="C543" i="2" s="1"/>
  <c r="K542" i="2"/>
  <c r="B542" i="2"/>
  <c r="A542" i="2"/>
  <c r="C542" i="2" s="1"/>
  <c r="K541" i="2"/>
  <c r="B541" i="2"/>
  <c r="A541" i="2"/>
  <c r="C541" i="2" s="1"/>
  <c r="K540" i="2"/>
  <c r="B540" i="2"/>
  <c r="A540" i="2"/>
  <c r="C540" i="2" s="1"/>
  <c r="K539" i="2"/>
  <c r="B539" i="2"/>
  <c r="A539" i="2"/>
  <c r="C539" i="2" s="1"/>
  <c r="K538" i="2"/>
  <c r="B538" i="2"/>
  <c r="A538" i="2"/>
  <c r="C538" i="2" s="1"/>
  <c r="K537" i="2"/>
  <c r="B537" i="2"/>
  <c r="A537" i="2"/>
  <c r="C537" i="2" s="1"/>
  <c r="K536" i="2"/>
  <c r="B536" i="2"/>
  <c r="A536" i="2"/>
  <c r="C536" i="2" s="1"/>
  <c r="K535" i="2"/>
  <c r="B535" i="2"/>
  <c r="A535" i="2"/>
  <c r="C535" i="2" s="1"/>
  <c r="K534" i="2"/>
  <c r="B534" i="2"/>
  <c r="A534" i="2"/>
  <c r="C534" i="2" s="1"/>
  <c r="K533" i="2"/>
  <c r="B533" i="2"/>
  <c r="A533" i="2"/>
  <c r="C533" i="2" s="1"/>
  <c r="K532" i="2"/>
  <c r="B532" i="2"/>
  <c r="A532" i="2"/>
  <c r="C532" i="2" s="1"/>
  <c r="K531" i="2"/>
  <c r="B531" i="2"/>
  <c r="A531" i="2"/>
  <c r="C531" i="2" s="1"/>
  <c r="K530" i="2"/>
  <c r="B530" i="2"/>
  <c r="A530" i="2"/>
  <c r="C530" i="2" s="1"/>
  <c r="K529" i="2"/>
  <c r="B529" i="2"/>
  <c r="A529" i="2"/>
  <c r="C529" i="2" s="1"/>
  <c r="K528" i="2"/>
  <c r="B528" i="2"/>
  <c r="A528" i="2"/>
  <c r="C528" i="2" s="1"/>
  <c r="K527" i="2"/>
  <c r="B527" i="2"/>
  <c r="A527" i="2"/>
  <c r="C527" i="2" s="1"/>
  <c r="K526" i="2"/>
  <c r="B526" i="2"/>
  <c r="A526" i="2"/>
  <c r="C526" i="2" s="1"/>
  <c r="K525" i="2"/>
  <c r="B525" i="2"/>
  <c r="A525" i="2"/>
  <c r="C525" i="2" s="1"/>
  <c r="K524" i="2"/>
  <c r="B524" i="2"/>
  <c r="A524" i="2"/>
  <c r="C524" i="2" s="1"/>
  <c r="K523" i="2"/>
  <c r="B523" i="2"/>
  <c r="A523" i="2"/>
  <c r="C523" i="2" s="1"/>
  <c r="K522" i="2"/>
  <c r="B522" i="2"/>
  <c r="A522" i="2"/>
  <c r="C522" i="2" s="1"/>
  <c r="K521" i="2"/>
  <c r="B521" i="2"/>
  <c r="A521" i="2"/>
  <c r="C521" i="2" s="1"/>
  <c r="K520" i="2"/>
  <c r="B520" i="2"/>
  <c r="A520" i="2"/>
  <c r="C520" i="2" s="1"/>
  <c r="K519" i="2"/>
  <c r="B519" i="2"/>
  <c r="A519" i="2"/>
  <c r="C519" i="2" s="1"/>
  <c r="K518" i="2"/>
  <c r="B518" i="2"/>
  <c r="A518" i="2"/>
  <c r="C518" i="2" s="1"/>
  <c r="K517" i="2"/>
  <c r="B517" i="2"/>
  <c r="A517" i="2"/>
  <c r="C517" i="2" s="1"/>
  <c r="K516" i="2"/>
  <c r="B516" i="2"/>
  <c r="A516" i="2"/>
  <c r="C516" i="2" s="1"/>
  <c r="K515" i="2"/>
  <c r="B515" i="2"/>
  <c r="A515" i="2"/>
  <c r="C515" i="2" s="1"/>
  <c r="K514" i="2"/>
  <c r="B514" i="2"/>
  <c r="A514" i="2"/>
  <c r="C514" i="2" s="1"/>
  <c r="K513" i="2"/>
  <c r="B513" i="2"/>
  <c r="A513" i="2"/>
  <c r="C513" i="2" s="1"/>
  <c r="K512" i="2"/>
  <c r="B512" i="2"/>
  <c r="A512" i="2"/>
  <c r="C512" i="2" s="1"/>
  <c r="K511" i="2"/>
  <c r="B511" i="2"/>
  <c r="A511" i="2"/>
  <c r="C511" i="2" s="1"/>
  <c r="K510" i="2"/>
  <c r="B510" i="2"/>
  <c r="A510" i="2"/>
  <c r="C510" i="2" s="1"/>
  <c r="K509" i="2"/>
  <c r="B509" i="2"/>
  <c r="A509" i="2"/>
  <c r="C509" i="2" s="1"/>
  <c r="K508" i="2"/>
  <c r="B508" i="2"/>
  <c r="A508" i="2"/>
  <c r="C508" i="2" s="1"/>
  <c r="K507" i="2"/>
  <c r="B507" i="2"/>
  <c r="A507" i="2"/>
  <c r="C507" i="2" s="1"/>
  <c r="K506" i="2"/>
  <c r="B506" i="2"/>
  <c r="A506" i="2"/>
  <c r="C506" i="2" s="1"/>
  <c r="K505" i="2"/>
  <c r="B505" i="2"/>
  <c r="A505" i="2"/>
  <c r="C505" i="2" s="1"/>
  <c r="K504" i="2"/>
  <c r="B504" i="2"/>
  <c r="A504" i="2"/>
  <c r="C504" i="2" s="1"/>
  <c r="K503" i="2"/>
  <c r="B503" i="2"/>
  <c r="A503" i="2"/>
  <c r="C503" i="2" s="1"/>
  <c r="K502" i="2"/>
  <c r="B502" i="2"/>
  <c r="A502" i="2"/>
  <c r="C502" i="2" s="1"/>
  <c r="K501" i="2"/>
  <c r="B501" i="2"/>
  <c r="A501" i="2"/>
  <c r="C501" i="2" s="1"/>
  <c r="K500" i="2"/>
  <c r="B500" i="2"/>
  <c r="A500" i="2"/>
  <c r="C500" i="2" s="1"/>
  <c r="K499" i="2"/>
  <c r="B499" i="2"/>
  <c r="A499" i="2"/>
  <c r="C499" i="2" s="1"/>
  <c r="K498" i="2"/>
  <c r="B498" i="2"/>
  <c r="A498" i="2"/>
  <c r="C498" i="2" s="1"/>
  <c r="K497" i="2"/>
  <c r="B497" i="2"/>
  <c r="A497" i="2"/>
  <c r="C497" i="2" s="1"/>
  <c r="K496" i="2"/>
  <c r="B496" i="2"/>
  <c r="A496" i="2"/>
  <c r="C496" i="2" s="1"/>
  <c r="K495" i="2"/>
  <c r="B495" i="2"/>
  <c r="A495" i="2"/>
  <c r="C495" i="2" s="1"/>
  <c r="K494" i="2"/>
  <c r="B494" i="2"/>
  <c r="A494" i="2"/>
  <c r="C494" i="2" s="1"/>
  <c r="K493" i="2"/>
  <c r="B493" i="2"/>
  <c r="A493" i="2"/>
  <c r="C493" i="2" s="1"/>
  <c r="K492" i="2"/>
  <c r="B492" i="2"/>
  <c r="A492" i="2"/>
  <c r="C492" i="2" s="1"/>
  <c r="K491" i="2"/>
  <c r="B491" i="2"/>
  <c r="A491" i="2"/>
  <c r="C491" i="2" s="1"/>
  <c r="K490" i="2"/>
  <c r="B490" i="2"/>
  <c r="A490" i="2"/>
  <c r="C490" i="2" s="1"/>
  <c r="K489" i="2"/>
  <c r="B489" i="2"/>
  <c r="A489" i="2"/>
  <c r="C489" i="2" s="1"/>
  <c r="K488" i="2"/>
  <c r="B488" i="2"/>
  <c r="A488" i="2"/>
  <c r="C488" i="2" s="1"/>
  <c r="K487" i="2"/>
  <c r="B487" i="2"/>
  <c r="A487" i="2"/>
  <c r="C487" i="2" s="1"/>
  <c r="K486" i="2"/>
  <c r="B486" i="2"/>
  <c r="A486" i="2"/>
  <c r="C486" i="2" s="1"/>
  <c r="K485" i="2"/>
  <c r="B485" i="2"/>
  <c r="A485" i="2"/>
  <c r="C485" i="2" s="1"/>
  <c r="K484" i="2"/>
  <c r="B484" i="2"/>
  <c r="A484" i="2"/>
  <c r="C484" i="2" s="1"/>
  <c r="K483" i="2"/>
  <c r="B483" i="2"/>
  <c r="A483" i="2"/>
  <c r="C483" i="2" s="1"/>
  <c r="K482" i="2"/>
  <c r="B482" i="2"/>
  <c r="A482" i="2"/>
  <c r="C482" i="2" s="1"/>
  <c r="K481" i="2"/>
  <c r="B481" i="2"/>
  <c r="A481" i="2"/>
  <c r="C481" i="2" s="1"/>
  <c r="K480" i="2"/>
  <c r="B480" i="2"/>
  <c r="A480" i="2"/>
  <c r="C480" i="2" s="1"/>
  <c r="K479" i="2"/>
  <c r="B479" i="2"/>
  <c r="A479" i="2"/>
  <c r="C479" i="2" s="1"/>
  <c r="K478" i="2"/>
  <c r="B478" i="2"/>
  <c r="A478" i="2"/>
  <c r="C478" i="2" s="1"/>
  <c r="K477" i="2"/>
  <c r="B477" i="2"/>
  <c r="A477" i="2"/>
  <c r="C477" i="2" s="1"/>
  <c r="K476" i="2"/>
  <c r="B476" i="2"/>
  <c r="A476" i="2"/>
  <c r="C476" i="2" s="1"/>
  <c r="K475" i="2"/>
  <c r="B475" i="2"/>
  <c r="A475" i="2"/>
  <c r="C475" i="2" s="1"/>
  <c r="K474" i="2"/>
  <c r="B474" i="2"/>
  <c r="A474" i="2"/>
  <c r="C474" i="2" s="1"/>
  <c r="K473" i="2"/>
  <c r="B473" i="2"/>
  <c r="A473" i="2"/>
  <c r="C473" i="2" s="1"/>
  <c r="K472" i="2"/>
  <c r="B472" i="2"/>
  <c r="A472" i="2"/>
  <c r="C472" i="2" s="1"/>
  <c r="K471" i="2"/>
  <c r="B471" i="2"/>
  <c r="A471" i="2"/>
  <c r="C471" i="2" s="1"/>
  <c r="K470" i="2"/>
  <c r="B470" i="2"/>
  <c r="A470" i="2"/>
  <c r="C470" i="2" s="1"/>
  <c r="K469" i="2"/>
  <c r="B469" i="2"/>
  <c r="A469" i="2"/>
  <c r="C469" i="2" s="1"/>
  <c r="K468" i="2"/>
  <c r="B468" i="2"/>
  <c r="A468" i="2"/>
  <c r="C468" i="2" s="1"/>
  <c r="K467" i="2"/>
  <c r="B467" i="2"/>
  <c r="A467" i="2"/>
  <c r="C467" i="2" s="1"/>
  <c r="K466" i="2"/>
  <c r="B466" i="2"/>
  <c r="A466" i="2"/>
  <c r="C466" i="2" s="1"/>
  <c r="K465" i="2"/>
  <c r="B465" i="2"/>
  <c r="A465" i="2"/>
  <c r="C465" i="2" s="1"/>
  <c r="K464" i="2"/>
  <c r="B464" i="2"/>
  <c r="A464" i="2"/>
  <c r="C464" i="2" s="1"/>
  <c r="K463" i="2"/>
  <c r="B463" i="2"/>
  <c r="A463" i="2"/>
  <c r="C463" i="2" s="1"/>
  <c r="K462" i="2"/>
  <c r="B462" i="2"/>
  <c r="A462" i="2"/>
  <c r="C462" i="2" s="1"/>
  <c r="K461" i="2"/>
  <c r="B461" i="2"/>
  <c r="A461" i="2"/>
  <c r="C461" i="2" s="1"/>
  <c r="K460" i="2"/>
  <c r="B460" i="2"/>
  <c r="A460" i="2"/>
  <c r="C460" i="2" s="1"/>
  <c r="K459" i="2"/>
  <c r="B459" i="2"/>
  <c r="A459" i="2"/>
  <c r="C459" i="2" s="1"/>
  <c r="K458" i="2"/>
  <c r="B458" i="2"/>
  <c r="A458" i="2"/>
  <c r="C458" i="2" s="1"/>
  <c r="K457" i="2"/>
  <c r="B457" i="2"/>
  <c r="A457" i="2"/>
  <c r="C457" i="2" s="1"/>
  <c r="K456" i="2"/>
  <c r="B456" i="2"/>
  <c r="A456" i="2"/>
  <c r="C456" i="2" s="1"/>
  <c r="K455" i="2"/>
  <c r="B455" i="2"/>
  <c r="A455" i="2"/>
  <c r="C455" i="2" s="1"/>
  <c r="K454" i="2"/>
  <c r="B454" i="2"/>
  <c r="A454" i="2"/>
  <c r="C454" i="2" s="1"/>
  <c r="K453" i="2"/>
  <c r="B453" i="2"/>
  <c r="A453" i="2"/>
  <c r="C453" i="2" s="1"/>
  <c r="K452" i="2"/>
  <c r="B452" i="2"/>
  <c r="A452" i="2"/>
  <c r="C452" i="2" s="1"/>
  <c r="K451" i="2"/>
  <c r="B451" i="2"/>
  <c r="A451" i="2"/>
  <c r="C451" i="2" s="1"/>
  <c r="K450" i="2"/>
  <c r="B450" i="2"/>
  <c r="A450" i="2"/>
  <c r="C450" i="2" s="1"/>
  <c r="K449" i="2"/>
  <c r="B449" i="2"/>
  <c r="A449" i="2"/>
  <c r="C449" i="2" s="1"/>
  <c r="K448" i="2"/>
  <c r="B448" i="2"/>
  <c r="A448" i="2"/>
  <c r="C448" i="2" s="1"/>
  <c r="K447" i="2"/>
  <c r="B447" i="2"/>
  <c r="A447" i="2"/>
  <c r="C447" i="2" s="1"/>
  <c r="K446" i="2"/>
  <c r="B446" i="2"/>
  <c r="A446" i="2"/>
  <c r="C446" i="2" s="1"/>
  <c r="K445" i="2"/>
  <c r="B445" i="2"/>
  <c r="A445" i="2"/>
  <c r="C445" i="2" s="1"/>
  <c r="K444" i="2"/>
  <c r="B444" i="2"/>
  <c r="A444" i="2"/>
  <c r="C444" i="2" s="1"/>
  <c r="K443" i="2"/>
  <c r="B443" i="2"/>
  <c r="A443" i="2"/>
  <c r="C443" i="2" s="1"/>
  <c r="K442" i="2"/>
  <c r="B442" i="2"/>
  <c r="A442" i="2"/>
  <c r="C442" i="2" s="1"/>
  <c r="K441" i="2"/>
  <c r="B441" i="2"/>
  <c r="A441" i="2"/>
  <c r="C441" i="2" s="1"/>
  <c r="K440" i="2"/>
  <c r="B440" i="2"/>
  <c r="A440" i="2"/>
  <c r="C440" i="2" s="1"/>
  <c r="K439" i="2"/>
  <c r="B439" i="2"/>
  <c r="A439" i="2"/>
  <c r="C439" i="2" s="1"/>
  <c r="K438" i="2"/>
  <c r="B438" i="2"/>
  <c r="A438" i="2"/>
  <c r="C438" i="2" s="1"/>
  <c r="K437" i="2"/>
  <c r="B437" i="2"/>
  <c r="A437" i="2"/>
  <c r="C437" i="2" s="1"/>
  <c r="K436" i="2"/>
  <c r="B436" i="2"/>
  <c r="A436" i="2"/>
  <c r="C436" i="2" s="1"/>
  <c r="K435" i="2"/>
  <c r="B435" i="2"/>
  <c r="A435" i="2"/>
  <c r="C435" i="2" s="1"/>
  <c r="K434" i="2"/>
  <c r="B434" i="2"/>
  <c r="A434" i="2"/>
  <c r="C434" i="2" s="1"/>
  <c r="K433" i="2"/>
  <c r="B433" i="2"/>
  <c r="A433" i="2"/>
  <c r="C433" i="2" s="1"/>
  <c r="K432" i="2"/>
  <c r="B432" i="2"/>
  <c r="A432" i="2"/>
  <c r="C432" i="2" s="1"/>
  <c r="K431" i="2"/>
  <c r="B431" i="2"/>
  <c r="A431" i="2"/>
  <c r="C431" i="2" s="1"/>
  <c r="K430" i="2"/>
  <c r="B430" i="2"/>
  <c r="A430" i="2"/>
  <c r="C430" i="2" s="1"/>
  <c r="K429" i="2"/>
  <c r="B429" i="2"/>
  <c r="A429" i="2"/>
  <c r="C429" i="2" s="1"/>
  <c r="K428" i="2"/>
  <c r="B428" i="2"/>
  <c r="A428" i="2"/>
  <c r="C428" i="2" s="1"/>
  <c r="K427" i="2"/>
  <c r="B427" i="2"/>
  <c r="A427" i="2"/>
  <c r="C427" i="2" s="1"/>
  <c r="K426" i="2"/>
  <c r="B426" i="2"/>
  <c r="A426" i="2"/>
  <c r="C426" i="2" s="1"/>
  <c r="K425" i="2"/>
  <c r="B425" i="2"/>
  <c r="A425" i="2"/>
  <c r="C425" i="2" s="1"/>
  <c r="K424" i="2"/>
  <c r="B424" i="2"/>
  <c r="A424" i="2"/>
  <c r="C424" i="2" s="1"/>
  <c r="K423" i="2"/>
  <c r="B423" i="2"/>
  <c r="A423" i="2"/>
  <c r="C423" i="2" s="1"/>
  <c r="K422" i="2"/>
  <c r="B422" i="2"/>
  <c r="A422" i="2"/>
  <c r="C422" i="2" s="1"/>
  <c r="K421" i="2"/>
  <c r="B421" i="2"/>
  <c r="A421" i="2"/>
  <c r="C421" i="2" s="1"/>
  <c r="K420" i="2"/>
  <c r="B420" i="2"/>
  <c r="A420" i="2"/>
  <c r="C420" i="2" s="1"/>
  <c r="K419" i="2"/>
  <c r="B419" i="2"/>
  <c r="A419" i="2"/>
  <c r="C419" i="2" s="1"/>
  <c r="K418" i="2"/>
  <c r="B418" i="2"/>
  <c r="A418" i="2"/>
  <c r="C418" i="2" s="1"/>
  <c r="K417" i="2"/>
  <c r="B417" i="2"/>
  <c r="A417" i="2"/>
  <c r="C417" i="2" s="1"/>
  <c r="K416" i="2"/>
  <c r="B416" i="2"/>
  <c r="A416" i="2"/>
  <c r="C416" i="2" s="1"/>
  <c r="K415" i="2"/>
  <c r="B415" i="2"/>
  <c r="A415" i="2"/>
  <c r="C415" i="2" s="1"/>
  <c r="K414" i="2"/>
  <c r="B414" i="2"/>
  <c r="A414" i="2"/>
  <c r="C414" i="2" s="1"/>
  <c r="K413" i="2"/>
  <c r="B413" i="2"/>
  <c r="A413" i="2"/>
  <c r="C413" i="2" s="1"/>
  <c r="K412" i="2"/>
  <c r="B412" i="2"/>
  <c r="A412" i="2"/>
  <c r="C412" i="2" s="1"/>
  <c r="K411" i="2"/>
  <c r="B411" i="2"/>
  <c r="A411" i="2"/>
  <c r="C411" i="2" s="1"/>
  <c r="K410" i="2"/>
  <c r="B410" i="2"/>
  <c r="A410" i="2"/>
  <c r="C410" i="2" s="1"/>
  <c r="K409" i="2"/>
  <c r="B409" i="2"/>
  <c r="A409" i="2"/>
  <c r="C409" i="2" s="1"/>
  <c r="K408" i="2"/>
  <c r="B408" i="2"/>
  <c r="A408" i="2"/>
  <c r="C408" i="2" s="1"/>
  <c r="K407" i="2"/>
  <c r="B407" i="2"/>
  <c r="A407" i="2"/>
  <c r="C407" i="2" s="1"/>
  <c r="K406" i="2"/>
  <c r="B406" i="2"/>
  <c r="A406" i="2"/>
  <c r="C406" i="2" s="1"/>
  <c r="K405" i="2"/>
  <c r="B405" i="2"/>
  <c r="A405" i="2"/>
  <c r="C405" i="2" s="1"/>
  <c r="K404" i="2"/>
  <c r="B404" i="2"/>
  <c r="A404" i="2"/>
  <c r="C404" i="2" s="1"/>
  <c r="K403" i="2"/>
  <c r="B403" i="2"/>
  <c r="A403" i="2"/>
  <c r="C403" i="2" s="1"/>
  <c r="K402" i="2"/>
  <c r="B402" i="2"/>
  <c r="A402" i="2"/>
  <c r="C402" i="2" s="1"/>
  <c r="K401" i="2"/>
  <c r="B401" i="2"/>
  <c r="A401" i="2"/>
  <c r="C401" i="2" s="1"/>
  <c r="K400" i="2"/>
  <c r="B400" i="2"/>
  <c r="A400" i="2"/>
  <c r="C400" i="2" s="1"/>
  <c r="K399" i="2"/>
  <c r="B399" i="2"/>
  <c r="A399" i="2"/>
  <c r="C399" i="2" s="1"/>
  <c r="K398" i="2"/>
  <c r="B398" i="2"/>
  <c r="A398" i="2"/>
  <c r="C398" i="2" s="1"/>
  <c r="K397" i="2"/>
  <c r="B397" i="2"/>
  <c r="A397" i="2"/>
  <c r="C397" i="2" s="1"/>
  <c r="K396" i="2"/>
  <c r="B396" i="2"/>
  <c r="A396" i="2"/>
  <c r="C396" i="2" s="1"/>
  <c r="K395" i="2"/>
  <c r="B395" i="2"/>
  <c r="A395" i="2"/>
  <c r="C395" i="2" s="1"/>
  <c r="K394" i="2"/>
  <c r="B394" i="2"/>
  <c r="A394" i="2"/>
  <c r="C394" i="2" s="1"/>
  <c r="K393" i="2"/>
  <c r="B393" i="2"/>
  <c r="A393" i="2"/>
  <c r="C393" i="2" s="1"/>
  <c r="K392" i="2"/>
  <c r="B392" i="2"/>
  <c r="A392" i="2"/>
  <c r="C392" i="2" s="1"/>
  <c r="K391" i="2"/>
  <c r="B391" i="2"/>
  <c r="A391" i="2"/>
  <c r="C391" i="2" s="1"/>
  <c r="K390" i="2"/>
  <c r="B390" i="2"/>
  <c r="A390" i="2"/>
  <c r="C390" i="2" s="1"/>
  <c r="K389" i="2"/>
  <c r="B389" i="2"/>
  <c r="A389" i="2"/>
  <c r="C389" i="2" s="1"/>
  <c r="K388" i="2"/>
  <c r="B388" i="2"/>
  <c r="A388" i="2"/>
  <c r="C388" i="2" s="1"/>
  <c r="K387" i="2"/>
  <c r="B387" i="2"/>
  <c r="A387" i="2"/>
  <c r="C387" i="2" s="1"/>
  <c r="K386" i="2"/>
  <c r="B386" i="2"/>
  <c r="A386" i="2"/>
  <c r="C386" i="2" s="1"/>
  <c r="K385" i="2"/>
  <c r="B385" i="2"/>
  <c r="A385" i="2"/>
  <c r="C385" i="2" s="1"/>
  <c r="K384" i="2"/>
  <c r="B384" i="2"/>
  <c r="A384" i="2"/>
  <c r="C384" i="2" s="1"/>
  <c r="K383" i="2"/>
  <c r="B383" i="2"/>
  <c r="A383" i="2"/>
  <c r="C383" i="2" s="1"/>
  <c r="K382" i="2"/>
  <c r="B382" i="2"/>
  <c r="A382" i="2"/>
  <c r="C382" i="2" s="1"/>
  <c r="K381" i="2"/>
  <c r="B381" i="2"/>
  <c r="A381" i="2"/>
  <c r="C381" i="2" s="1"/>
  <c r="K380" i="2"/>
  <c r="B380" i="2"/>
  <c r="A380" i="2"/>
  <c r="C380" i="2" s="1"/>
  <c r="K379" i="2"/>
  <c r="B379" i="2"/>
  <c r="A379" i="2"/>
  <c r="C379" i="2" s="1"/>
  <c r="K378" i="2"/>
  <c r="B378" i="2"/>
  <c r="A378" i="2"/>
  <c r="C378" i="2" s="1"/>
  <c r="K377" i="2"/>
  <c r="B377" i="2"/>
  <c r="A377" i="2"/>
  <c r="C377" i="2" s="1"/>
  <c r="K376" i="2"/>
  <c r="B376" i="2"/>
  <c r="A376" i="2"/>
  <c r="C376" i="2" s="1"/>
  <c r="K375" i="2"/>
  <c r="B375" i="2"/>
  <c r="A375" i="2"/>
  <c r="C375" i="2" s="1"/>
  <c r="K374" i="2"/>
  <c r="B374" i="2"/>
  <c r="A374" i="2"/>
  <c r="C374" i="2" s="1"/>
  <c r="K373" i="2"/>
  <c r="B373" i="2"/>
  <c r="A373" i="2"/>
  <c r="C373" i="2" s="1"/>
  <c r="K372" i="2"/>
  <c r="B372" i="2"/>
  <c r="A372" i="2"/>
  <c r="C372" i="2" s="1"/>
  <c r="K371" i="2"/>
  <c r="B371" i="2"/>
  <c r="A371" i="2"/>
  <c r="C371" i="2" s="1"/>
  <c r="K370" i="2"/>
  <c r="B370" i="2"/>
  <c r="A370" i="2"/>
  <c r="C370" i="2" s="1"/>
  <c r="K369" i="2"/>
  <c r="B369" i="2"/>
  <c r="A369" i="2"/>
  <c r="C369" i="2" s="1"/>
  <c r="K368" i="2"/>
  <c r="B368" i="2"/>
  <c r="A368" i="2"/>
  <c r="C368" i="2" s="1"/>
  <c r="K367" i="2"/>
  <c r="B367" i="2"/>
  <c r="A367" i="2"/>
  <c r="C367" i="2" s="1"/>
  <c r="K366" i="2"/>
  <c r="B366" i="2"/>
  <c r="A366" i="2"/>
  <c r="C366" i="2" s="1"/>
  <c r="K365" i="2"/>
  <c r="B365" i="2"/>
  <c r="A365" i="2"/>
  <c r="C365" i="2" s="1"/>
  <c r="K364" i="2"/>
  <c r="B364" i="2"/>
  <c r="A364" i="2"/>
  <c r="C364" i="2" s="1"/>
  <c r="K363" i="2"/>
  <c r="B363" i="2"/>
  <c r="A363" i="2"/>
  <c r="C363" i="2" s="1"/>
  <c r="K362" i="2"/>
  <c r="B362" i="2"/>
  <c r="A362" i="2"/>
  <c r="C362" i="2" s="1"/>
  <c r="K361" i="2"/>
  <c r="B361" i="2"/>
  <c r="A361" i="2"/>
  <c r="C361" i="2" s="1"/>
  <c r="K360" i="2"/>
  <c r="B360" i="2"/>
  <c r="A360" i="2"/>
  <c r="C360" i="2" s="1"/>
  <c r="K359" i="2"/>
  <c r="B359" i="2"/>
  <c r="A359" i="2"/>
  <c r="C359" i="2" s="1"/>
  <c r="K358" i="2"/>
  <c r="B358" i="2"/>
  <c r="A358" i="2"/>
  <c r="C358" i="2" s="1"/>
  <c r="K357" i="2"/>
  <c r="B357" i="2"/>
  <c r="A357" i="2"/>
  <c r="C357" i="2" s="1"/>
  <c r="K356" i="2"/>
  <c r="B356" i="2"/>
  <c r="A356" i="2"/>
  <c r="C356" i="2" s="1"/>
  <c r="K355" i="2"/>
  <c r="B355" i="2"/>
  <c r="A355" i="2"/>
  <c r="C355" i="2" s="1"/>
  <c r="K354" i="2"/>
  <c r="B354" i="2"/>
  <c r="A354" i="2"/>
  <c r="C354" i="2" s="1"/>
  <c r="K353" i="2"/>
  <c r="B353" i="2"/>
  <c r="A353" i="2"/>
  <c r="C353" i="2" s="1"/>
  <c r="K352" i="2"/>
  <c r="B352" i="2"/>
  <c r="A352" i="2"/>
  <c r="C352" i="2" s="1"/>
  <c r="K351" i="2"/>
  <c r="B351" i="2"/>
  <c r="A351" i="2"/>
  <c r="C351" i="2" s="1"/>
  <c r="K350" i="2"/>
  <c r="B350" i="2"/>
  <c r="A350" i="2"/>
  <c r="C350" i="2" s="1"/>
  <c r="K349" i="2"/>
  <c r="B349" i="2"/>
  <c r="A349" i="2"/>
  <c r="C349" i="2" s="1"/>
  <c r="K348" i="2"/>
  <c r="B348" i="2"/>
  <c r="A348" i="2"/>
  <c r="C348" i="2" s="1"/>
  <c r="K347" i="2"/>
  <c r="B347" i="2"/>
  <c r="A347" i="2"/>
  <c r="C347" i="2" s="1"/>
  <c r="K346" i="2"/>
  <c r="B346" i="2"/>
  <c r="A346" i="2"/>
  <c r="C346" i="2" s="1"/>
  <c r="K345" i="2"/>
  <c r="B345" i="2"/>
  <c r="A345" i="2"/>
  <c r="C345" i="2" s="1"/>
  <c r="K344" i="2"/>
  <c r="B344" i="2"/>
  <c r="A344" i="2"/>
  <c r="C344" i="2" s="1"/>
  <c r="K343" i="2"/>
  <c r="B343" i="2"/>
  <c r="A343" i="2"/>
  <c r="C343" i="2" s="1"/>
  <c r="K342" i="2"/>
  <c r="B342" i="2"/>
  <c r="A342" i="2"/>
  <c r="C342" i="2" s="1"/>
  <c r="K341" i="2"/>
  <c r="B341" i="2"/>
  <c r="A341" i="2"/>
  <c r="C341" i="2" s="1"/>
  <c r="K340" i="2"/>
  <c r="B340" i="2"/>
  <c r="A340" i="2"/>
  <c r="C340" i="2" s="1"/>
  <c r="K339" i="2"/>
  <c r="B339" i="2"/>
  <c r="A339" i="2"/>
  <c r="C339" i="2" s="1"/>
  <c r="K338" i="2"/>
  <c r="B338" i="2"/>
  <c r="A338" i="2"/>
  <c r="C338" i="2" s="1"/>
  <c r="K337" i="2"/>
  <c r="B337" i="2"/>
  <c r="A337" i="2"/>
  <c r="C337" i="2" s="1"/>
  <c r="K336" i="2"/>
  <c r="B336" i="2"/>
  <c r="A336" i="2"/>
  <c r="C336" i="2" s="1"/>
  <c r="K335" i="2"/>
  <c r="B335" i="2"/>
  <c r="A335" i="2"/>
  <c r="C335" i="2" s="1"/>
  <c r="K334" i="2"/>
  <c r="B334" i="2"/>
  <c r="A334" i="2"/>
  <c r="C334" i="2" s="1"/>
  <c r="K333" i="2"/>
  <c r="B333" i="2"/>
  <c r="A333" i="2"/>
  <c r="C333" i="2" s="1"/>
  <c r="K332" i="2"/>
  <c r="B332" i="2"/>
  <c r="A332" i="2"/>
  <c r="C332" i="2" s="1"/>
  <c r="K331" i="2"/>
  <c r="B331" i="2"/>
  <c r="A331" i="2"/>
  <c r="C331" i="2" s="1"/>
  <c r="K330" i="2"/>
  <c r="B330" i="2"/>
  <c r="A330" i="2"/>
  <c r="C330" i="2" s="1"/>
  <c r="K329" i="2"/>
  <c r="B329" i="2"/>
  <c r="A329" i="2"/>
  <c r="C329" i="2" s="1"/>
  <c r="K328" i="2"/>
  <c r="B328" i="2"/>
  <c r="A328" i="2"/>
  <c r="C328" i="2" s="1"/>
  <c r="K327" i="2"/>
  <c r="B327" i="2"/>
  <c r="A327" i="2"/>
  <c r="C327" i="2" s="1"/>
  <c r="K326" i="2"/>
  <c r="B326" i="2"/>
  <c r="A326" i="2"/>
  <c r="C326" i="2" s="1"/>
  <c r="K325" i="2"/>
  <c r="B325" i="2"/>
  <c r="A325" i="2"/>
  <c r="C325" i="2" s="1"/>
  <c r="K324" i="2"/>
  <c r="B324" i="2"/>
  <c r="A324" i="2"/>
  <c r="C324" i="2" s="1"/>
  <c r="K323" i="2"/>
  <c r="B323" i="2"/>
  <c r="A323" i="2"/>
  <c r="C323" i="2" s="1"/>
  <c r="K322" i="2"/>
  <c r="B322" i="2"/>
  <c r="A322" i="2"/>
  <c r="C322" i="2" s="1"/>
  <c r="K321" i="2"/>
  <c r="B321" i="2"/>
  <c r="A321" i="2"/>
  <c r="C321" i="2" s="1"/>
  <c r="K320" i="2"/>
  <c r="B320" i="2"/>
  <c r="A320" i="2"/>
  <c r="C320" i="2" s="1"/>
  <c r="K319" i="2"/>
  <c r="B319" i="2"/>
  <c r="A319" i="2"/>
  <c r="C319" i="2" s="1"/>
  <c r="K318" i="2"/>
  <c r="B318" i="2"/>
  <c r="A318" i="2"/>
  <c r="C318" i="2" s="1"/>
  <c r="K317" i="2"/>
  <c r="B317" i="2"/>
  <c r="A317" i="2"/>
  <c r="C317" i="2" s="1"/>
  <c r="K316" i="2"/>
  <c r="B316" i="2"/>
  <c r="A316" i="2"/>
  <c r="C316" i="2" s="1"/>
  <c r="K315" i="2"/>
  <c r="B315" i="2"/>
  <c r="A315" i="2"/>
  <c r="C315" i="2" s="1"/>
  <c r="K314" i="2"/>
  <c r="B314" i="2"/>
  <c r="A314" i="2"/>
  <c r="C314" i="2" s="1"/>
  <c r="K313" i="2"/>
  <c r="B313" i="2"/>
  <c r="A313" i="2"/>
  <c r="C313" i="2" s="1"/>
  <c r="K312" i="2"/>
  <c r="B312" i="2"/>
  <c r="A312" i="2"/>
  <c r="C312" i="2" s="1"/>
  <c r="K311" i="2"/>
  <c r="B311" i="2"/>
  <c r="A311" i="2"/>
  <c r="C311" i="2" s="1"/>
  <c r="K310" i="2"/>
  <c r="B310" i="2"/>
  <c r="A310" i="2"/>
  <c r="C310" i="2" s="1"/>
  <c r="K309" i="2"/>
  <c r="B309" i="2"/>
  <c r="A309" i="2"/>
  <c r="C309" i="2" s="1"/>
  <c r="K308" i="2"/>
  <c r="B308" i="2"/>
  <c r="A308" i="2"/>
  <c r="C308" i="2" s="1"/>
  <c r="K307" i="2"/>
  <c r="B307" i="2"/>
  <c r="A307" i="2"/>
  <c r="C307" i="2" s="1"/>
  <c r="K306" i="2"/>
  <c r="B306" i="2"/>
  <c r="A306" i="2"/>
  <c r="C306" i="2" s="1"/>
  <c r="K305" i="2"/>
  <c r="B305" i="2"/>
  <c r="A305" i="2"/>
  <c r="C305" i="2" s="1"/>
  <c r="K304" i="2"/>
  <c r="B304" i="2"/>
  <c r="A304" i="2"/>
  <c r="C304" i="2" s="1"/>
  <c r="K303" i="2"/>
  <c r="B303" i="2"/>
  <c r="A303" i="2"/>
  <c r="C303" i="2" s="1"/>
  <c r="K302" i="2"/>
  <c r="B302" i="2"/>
  <c r="A302" i="2"/>
  <c r="C302" i="2" s="1"/>
  <c r="K301" i="2"/>
  <c r="B301" i="2"/>
  <c r="A301" i="2"/>
  <c r="C301" i="2" s="1"/>
  <c r="K300" i="2"/>
  <c r="B300" i="2"/>
  <c r="A300" i="2"/>
  <c r="C300" i="2" s="1"/>
  <c r="K299" i="2"/>
  <c r="B299" i="2"/>
  <c r="A299" i="2"/>
  <c r="C299" i="2" s="1"/>
  <c r="K298" i="2"/>
  <c r="B298" i="2"/>
  <c r="A298" i="2"/>
  <c r="C298" i="2" s="1"/>
  <c r="K297" i="2"/>
  <c r="B297" i="2"/>
  <c r="A297" i="2"/>
  <c r="C297" i="2" s="1"/>
  <c r="K296" i="2"/>
  <c r="B296" i="2"/>
  <c r="A296" i="2"/>
  <c r="C296" i="2" s="1"/>
  <c r="K295" i="2"/>
  <c r="B295" i="2"/>
  <c r="A295" i="2"/>
  <c r="C295" i="2" s="1"/>
  <c r="K294" i="2"/>
  <c r="B294" i="2"/>
  <c r="A294" i="2"/>
  <c r="C294" i="2" s="1"/>
  <c r="K293" i="2"/>
  <c r="B293" i="2"/>
  <c r="A293" i="2"/>
  <c r="C293" i="2" s="1"/>
  <c r="K292" i="2"/>
  <c r="B292" i="2"/>
  <c r="A292" i="2"/>
  <c r="C292" i="2" s="1"/>
  <c r="K291" i="2"/>
  <c r="B291" i="2"/>
  <c r="A291" i="2"/>
  <c r="C291" i="2" s="1"/>
  <c r="K290" i="2"/>
  <c r="B290" i="2"/>
  <c r="A290" i="2"/>
  <c r="C290" i="2" s="1"/>
  <c r="K289" i="2"/>
  <c r="B289" i="2"/>
  <c r="A289" i="2"/>
  <c r="C289" i="2" s="1"/>
  <c r="K288" i="2"/>
  <c r="B288" i="2"/>
  <c r="A288" i="2"/>
  <c r="C288" i="2" s="1"/>
  <c r="K287" i="2"/>
  <c r="B287" i="2"/>
  <c r="A287" i="2"/>
  <c r="C287" i="2" s="1"/>
  <c r="K286" i="2"/>
  <c r="B286" i="2"/>
  <c r="A286" i="2"/>
  <c r="C286" i="2" s="1"/>
  <c r="K285" i="2"/>
  <c r="B285" i="2"/>
  <c r="A285" i="2"/>
  <c r="C285" i="2" s="1"/>
  <c r="K284" i="2"/>
  <c r="B284" i="2"/>
  <c r="A284" i="2"/>
  <c r="C284" i="2" s="1"/>
  <c r="K283" i="2"/>
  <c r="B283" i="2"/>
  <c r="A283" i="2"/>
  <c r="C283" i="2" s="1"/>
  <c r="K282" i="2"/>
  <c r="B282" i="2"/>
  <c r="A282" i="2"/>
  <c r="C282" i="2" s="1"/>
  <c r="K281" i="2"/>
  <c r="B281" i="2"/>
  <c r="A281" i="2"/>
  <c r="C281" i="2" s="1"/>
  <c r="K280" i="2"/>
  <c r="B280" i="2"/>
  <c r="A280" i="2"/>
  <c r="C280" i="2" s="1"/>
  <c r="K279" i="2"/>
  <c r="B279" i="2"/>
  <c r="A279" i="2"/>
  <c r="C279" i="2" s="1"/>
  <c r="K278" i="2"/>
  <c r="B278" i="2"/>
  <c r="A278" i="2"/>
  <c r="C278" i="2" s="1"/>
  <c r="K277" i="2"/>
  <c r="B277" i="2"/>
  <c r="A277" i="2"/>
  <c r="C277" i="2" s="1"/>
  <c r="K276" i="2"/>
  <c r="B276" i="2"/>
  <c r="A276" i="2"/>
  <c r="C276" i="2" s="1"/>
  <c r="K275" i="2"/>
  <c r="B275" i="2"/>
  <c r="A275" i="2"/>
  <c r="C275" i="2" s="1"/>
  <c r="K274" i="2"/>
  <c r="B274" i="2"/>
  <c r="A274" i="2"/>
  <c r="C274" i="2" s="1"/>
  <c r="K273" i="2"/>
  <c r="B273" i="2"/>
  <c r="A273" i="2"/>
  <c r="C273" i="2" s="1"/>
  <c r="K272" i="2"/>
  <c r="B272" i="2"/>
  <c r="A272" i="2"/>
  <c r="C272" i="2" s="1"/>
  <c r="K271" i="2"/>
  <c r="B271" i="2"/>
  <c r="A271" i="2"/>
  <c r="C271" i="2" s="1"/>
  <c r="K270" i="2"/>
  <c r="B270" i="2"/>
  <c r="A270" i="2"/>
  <c r="C270" i="2" s="1"/>
  <c r="K269" i="2"/>
  <c r="B269" i="2"/>
  <c r="A269" i="2"/>
  <c r="C269" i="2" s="1"/>
  <c r="K268" i="2"/>
  <c r="B268" i="2"/>
  <c r="A268" i="2"/>
  <c r="C268" i="2" s="1"/>
  <c r="K267" i="2"/>
  <c r="B267" i="2"/>
  <c r="A267" i="2"/>
  <c r="C267" i="2" s="1"/>
  <c r="K266" i="2"/>
  <c r="B266" i="2"/>
  <c r="A266" i="2"/>
  <c r="C266" i="2" s="1"/>
  <c r="K265" i="2"/>
  <c r="B265" i="2"/>
  <c r="A265" i="2"/>
  <c r="C265" i="2" s="1"/>
  <c r="K264" i="2"/>
  <c r="B264" i="2"/>
  <c r="A264" i="2"/>
  <c r="C264" i="2" s="1"/>
  <c r="K263" i="2"/>
  <c r="B263" i="2"/>
  <c r="A263" i="2"/>
  <c r="C263" i="2" s="1"/>
  <c r="K262" i="2"/>
  <c r="B262" i="2"/>
  <c r="A262" i="2"/>
  <c r="C262" i="2" s="1"/>
  <c r="K261" i="2"/>
  <c r="B261" i="2"/>
  <c r="A261" i="2"/>
  <c r="C261" i="2" s="1"/>
  <c r="K260" i="2"/>
  <c r="B260" i="2"/>
  <c r="A260" i="2"/>
  <c r="C260" i="2" s="1"/>
  <c r="K259" i="2"/>
  <c r="B259" i="2"/>
  <c r="A259" i="2"/>
  <c r="C259" i="2" s="1"/>
  <c r="K258" i="2"/>
  <c r="B258" i="2"/>
  <c r="A258" i="2"/>
  <c r="C258" i="2" s="1"/>
  <c r="K257" i="2"/>
  <c r="B257" i="2"/>
  <c r="A257" i="2"/>
  <c r="C257" i="2" s="1"/>
  <c r="K256" i="2"/>
  <c r="B256" i="2"/>
  <c r="A256" i="2"/>
  <c r="C256" i="2" s="1"/>
  <c r="K255" i="2"/>
  <c r="B255" i="2"/>
  <c r="A255" i="2"/>
  <c r="C255" i="2" s="1"/>
  <c r="K254" i="2"/>
  <c r="B254" i="2"/>
  <c r="A254" i="2"/>
  <c r="C254" i="2" s="1"/>
  <c r="K253" i="2"/>
  <c r="B253" i="2"/>
  <c r="A253" i="2"/>
  <c r="C253" i="2" s="1"/>
  <c r="K252" i="2"/>
  <c r="B252" i="2"/>
  <c r="A252" i="2"/>
  <c r="C252" i="2" s="1"/>
  <c r="K251" i="2"/>
  <c r="B251" i="2"/>
  <c r="A251" i="2"/>
  <c r="C251" i="2" s="1"/>
  <c r="K250" i="2"/>
  <c r="B250" i="2"/>
  <c r="A250" i="2"/>
  <c r="C250" i="2" s="1"/>
  <c r="K249" i="2"/>
  <c r="B249" i="2"/>
  <c r="A249" i="2"/>
  <c r="C249" i="2" s="1"/>
  <c r="K248" i="2"/>
  <c r="B248" i="2"/>
  <c r="A248" i="2"/>
  <c r="C248" i="2" s="1"/>
  <c r="K247" i="2"/>
  <c r="B247" i="2"/>
  <c r="A247" i="2"/>
  <c r="C247" i="2" s="1"/>
  <c r="K246" i="2"/>
  <c r="B246" i="2"/>
  <c r="A246" i="2"/>
  <c r="C246" i="2" s="1"/>
  <c r="K245" i="2"/>
  <c r="B245" i="2"/>
  <c r="A245" i="2"/>
  <c r="C245" i="2" s="1"/>
  <c r="K244" i="2"/>
  <c r="B244" i="2"/>
  <c r="A244" i="2"/>
  <c r="C244" i="2" s="1"/>
  <c r="K243" i="2"/>
  <c r="B243" i="2"/>
  <c r="A243" i="2"/>
  <c r="C243" i="2" s="1"/>
  <c r="K242" i="2"/>
  <c r="B242" i="2"/>
  <c r="A242" i="2"/>
  <c r="C242" i="2" s="1"/>
  <c r="K241" i="2"/>
  <c r="B241" i="2"/>
  <c r="A241" i="2"/>
  <c r="C241" i="2" s="1"/>
  <c r="K240" i="2"/>
  <c r="B240" i="2"/>
  <c r="A240" i="2"/>
  <c r="C240" i="2" s="1"/>
  <c r="K239" i="2"/>
  <c r="B239" i="2"/>
  <c r="A239" i="2"/>
  <c r="C239" i="2" s="1"/>
  <c r="K238" i="2"/>
  <c r="B238" i="2"/>
  <c r="A238" i="2"/>
  <c r="C238" i="2" s="1"/>
  <c r="K237" i="2"/>
  <c r="B237" i="2"/>
  <c r="A237" i="2"/>
  <c r="C237" i="2" s="1"/>
  <c r="K236" i="2"/>
  <c r="B236" i="2"/>
  <c r="A236" i="2"/>
  <c r="C236" i="2" s="1"/>
  <c r="K235" i="2"/>
  <c r="B235" i="2"/>
  <c r="A235" i="2"/>
  <c r="C235" i="2" s="1"/>
  <c r="K234" i="2"/>
  <c r="B234" i="2"/>
  <c r="A234" i="2"/>
  <c r="C234" i="2" s="1"/>
  <c r="K233" i="2"/>
  <c r="B233" i="2"/>
  <c r="A233" i="2"/>
  <c r="C233" i="2" s="1"/>
  <c r="K232" i="2"/>
  <c r="B232" i="2"/>
  <c r="A232" i="2"/>
  <c r="C232" i="2" s="1"/>
  <c r="K231" i="2"/>
  <c r="B231" i="2"/>
  <c r="A231" i="2"/>
  <c r="C231" i="2" s="1"/>
  <c r="K230" i="2"/>
  <c r="B230" i="2"/>
  <c r="A230" i="2"/>
  <c r="C230" i="2" s="1"/>
  <c r="K229" i="2"/>
  <c r="B229" i="2"/>
  <c r="A229" i="2"/>
  <c r="C229" i="2" s="1"/>
  <c r="K228" i="2"/>
  <c r="B228" i="2"/>
  <c r="A228" i="2"/>
  <c r="C228" i="2" s="1"/>
  <c r="K227" i="2"/>
  <c r="B227" i="2"/>
  <c r="A227" i="2"/>
  <c r="C227" i="2" s="1"/>
  <c r="K226" i="2"/>
  <c r="B226" i="2"/>
  <c r="A226" i="2"/>
  <c r="C226" i="2" s="1"/>
  <c r="K225" i="2"/>
  <c r="B225" i="2"/>
  <c r="A225" i="2"/>
  <c r="C225" i="2" s="1"/>
  <c r="K224" i="2"/>
  <c r="B224" i="2"/>
  <c r="A224" i="2"/>
  <c r="C224" i="2" s="1"/>
  <c r="K223" i="2"/>
  <c r="B223" i="2"/>
  <c r="A223" i="2"/>
  <c r="C223" i="2" s="1"/>
  <c r="K222" i="2"/>
  <c r="B222" i="2"/>
  <c r="A222" i="2"/>
  <c r="C222" i="2" s="1"/>
  <c r="K221" i="2"/>
  <c r="B221" i="2"/>
  <c r="A221" i="2"/>
  <c r="C221" i="2" s="1"/>
  <c r="K220" i="2"/>
  <c r="B220" i="2"/>
  <c r="A220" i="2"/>
  <c r="C220" i="2" s="1"/>
  <c r="K219" i="2"/>
  <c r="B219" i="2"/>
  <c r="A219" i="2"/>
  <c r="C219" i="2" s="1"/>
  <c r="K218" i="2"/>
  <c r="B218" i="2"/>
  <c r="A218" i="2"/>
  <c r="C218" i="2" s="1"/>
  <c r="K217" i="2"/>
  <c r="B217" i="2"/>
  <c r="A217" i="2"/>
  <c r="C217" i="2" s="1"/>
  <c r="K216" i="2"/>
  <c r="B216" i="2"/>
  <c r="A216" i="2"/>
  <c r="C216" i="2" s="1"/>
  <c r="K215" i="2"/>
  <c r="B215" i="2"/>
  <c r="A215" i="2"/>
  <c r="C215" i="2" s="1"/>
  <c r="K214" i="2"/>
  <c r="B214" i="2"/>
  <c r="A214" i="2"/>
  <c r="C214" i="2" s="1"/>
  <c r="K213" i="2"/>
  <c r="B213" i="2"/>
  <c r="A213" i="2"/>
  <c r="C213" i="2" s="1"/>
  <c r="K212" i="2"/>
  <c r="B212" i="2"/>
  <c r="A212" i="2"/>
  <c r="C212" i="2" s="1"/>
  <c r="K211" i="2"/>
  <c r="B211" i="2"/>
  <c r="A211" i="2"/>
  <c r="C211" i="2" s="1"/>
  <c r="K210" i="2"/>
  <c r="B210" i="2"/>
  <c r="A210" i="2"/>
  <c r="C210" i="2" s="1"/>
  <c r="K209" i="2"/>
  <c r="B209" i="2"/>
  <c r="A209" i="2"/>
  <c r="C209" i="2" s="1"/>
  <c r="K208" i="2"/>
  <c r="B208" i="2"/>
  <c r="A208" i="2"/>
  <c r="C208" i="2" s="1"/>
  <c r="K207" i="2"/>
  <c r="B207" i="2"/>
  <c r="A207" i="2"/>
  <c r="C207" i="2" s="1"/>
  <c r="K206" i="2"/>
  <c r="B206" i="2"/>
  <c r="A206" i="2"/>
  <c r="C206" i="2" s="1"/>
  <c r="K205" i="2"/>
  <c r="B205" i="2"/>
  <c r="A205" i="2"/>
  <c r="C205" i="2" s="1"/>
  <c r="K204" i="2"/>
  <c r="B204" i="2"/>
  <c r="A204" i="2"/>
  <c r="C204" i="2" s="1"/>
  <c r="K203" i="2"/>
  <c r="B203" i="2"/>
  <c r="A203" i="2"/>
  <c r="C203" i="2" s="1"/>
  <c r="K202" i="2"/>
  <c r="B202" i="2"/>
  <c r="A202" i="2"/>
  <c r="C202" i="2" s="1"/>
  <c r="K201" i="2"/>
  <c r="B201" i="2"/>
  <c r="A201" i="2"/>
  <c r="C201" i="2" s="1"/>
  <c r="K200" i="2"/>
  <c r="B200" i="2"/>
  <c r="A200" i="2"/>
  <c r="C200" i="2" s="1"/>
  <c r="K199" i="2"/>
  <c r="B199" i="2"/>
  <c r="A199" i="2"/>
  <c r="C199" i="2" s="1"/>
  <c r="K198" i="2"/>
  <c r="B198" i="2"/>
  <c r="A198" i="2"/>
  <c r="C198" i="2" s="1"/>
  <c r="K197" i="2"/>
  <c r="B197" i="2"/>
  <c r="A197" i="2"/>
  <c r="C197" i="2" s="1"/>
  <c r="K196" i="2"/>
  <c r="B196" i="2"/>
  <c r="A196" i="2"/>
  <c r="C196" i="2" s="1"/>
  <c r="K195" i="2"/>
  <c r="B195" i="2"/>
  <c r="A195" i="2"/>
  <c r="C195" i="2" s="1"/>
  <c r="K194" i="2"/>
  <c r="B194" i="2"/>
  <c r="A194" i="2"/>
  <c r="C194" i="2" s="1"/>
  <c r="K193" i="2"/>
  <c r="B193" i="2"/>
  <c r="A193" i="2"/>
  <c r="C193" i="2" s="1"/>
  <c r="K192" i="2"/>
  <c r="B192" i="2"/>
  <c r="A192" i="2"/>
  <c r="C192" i="2" s="1"/>
  <c r="K191" i="2"/>
  <c r="B191" i="2"/>
  <c r="A191" i="2"/>
  <c r="C191" i="2" s="1"/>
  <c r="K190" i="2"/>
  <c r="B190" i="2"/>
  <c r="A190" i="2"/>
  <c r="C190" i="2" s="1"/>
  <c r="K189" i="2"/>
  <c r="B189" i="2"/>
  <c r="A189" i="2"/>
  <c r="C189" i="2" s="1"/>
  <c r="K188" i="2"/>
  <c r="B188" i="2"/>
  <c r="A188" i="2"/>
  <c r="C188" i="2" s="1"/>
  <c r="K187" i="2"/>
  <c r="B187" i="2"/>
  <c r="A187" i="2"/>
  <c r="C187" i="2" s="1"/>
  <c r="K186" i="2"/>
  <c r="B186" i="2"/>
  <c r="A186" i="2"/>
  <c r="C186" i="2" s="1"/>
  <c r="K185" i="2"/>
  <c r="B185" i="2"/>
  <c r="A185" i="2"/>
  <c r="C185" i="2" s="1"/>
  <c r="K184" i="2"/>
  <c r="B184" i="2"/>
  <c r="A184" i="2"/>
  <c r="C184" i="2" s="1"/>
  <c r="K183" i="2"/>
  <c r="B183" i="2"/>
  <c r="A183" i="2"/>
  <c r="C183" i="2" s="1"/>
  <c r="K182" i="2"/>
  <c r="B182" i="2"/>
  <c r="A182" i="2"/>
  <c r="C182" i="2" s="1"/>
  <c r="K181" i="2"/>
  <c r="B181" i="2"/>
  <c r="A181" i="2"/>
  <c r="C181" i="2" s="1"/>
  <c r="K180" i="2"/>
  <c r="B180" i="2"/>
  <c r="A180" i="2"/>
  <c r="C180" i="2" s="1"/>
  <c r="K179" i="2"/>
  <c r="B179" i="2"/>
  <c r="A179" i="2"/>
  <c r="C179" i="2" s="1"/>
  <c r="K178" i="2"/>
  <c r="B178" i="2"/>
  <c r="A178" i="2"/>
  <c r="C178" i="2" s="1"/>
  <c r="K177" i="2"/>
  <c r="B177" i="2"/>
  <c r="A177" i="2"/>
  <c r="C177" i="2" s="1"/>
  <c r="K176" i="2"/>
  <c r="B176" i="2"/>
  <c r="A176" i="2"/>
  <c r="C176" i="2" s="1"/>
  <c r="K175" i="2"/>
  <c r="B175" i="2"/>
  <c r="A175" i="2"/>
  <c r="C175" i="2" s="1"/>
  <c r="K174" i="2"/>
  <c r="B174" i="2"/>
  <c r="A174" i="2"/>
  <c r="C174" i="2" s="1"/>
  <c r="K173" i="2"/>
  <c r="B173" i="2"/>
  <c r="A173" i="2"/>
  <c r="C173" i="2" s="1"/>
  <c r="K172" i="2"/>
  <c r="B172" i="2"/>
  <c r="A172" i="2"/>
  <c r="C172" i="2" s="1"/>
  <c r="K171" i="2"/>
  <c r="B171" i="2"/>
  <c r="A171" i="2"/>
  <c r="C171" i="2" s="1"/>
  <c r="K170" i="2"/>
  <c r="B170" i="2"/>
  <c r="A170" i="2"/>
  <c r="C170" i="2" s="1"/>
  <c r="K169" i="2"/>
  <c r="B169" i="2"/>
  <c r="A169" i="2"/>
  <c r="C169" i="2" s="1"/>
  <c r="K168" i="2"/>
  <c r="B168" i="2"/>
  <c r="A168" i="2"/>
  <c r="C168" i="2" s="1"/>
  <c r="K167" i="2"/>
  <c r="B167" i="2"/>
  <c r="A167" i="2"/>
  <c r="C167" i="2" s="1"/>
  <c r="K166" i="2"/>
  <c r="B166" i="2"/>
  <c r="A166" i="2"/>
  <c r="C166" i="2" s="1"/>
  <c r="K165" i="2"/>
  <c r="B165" i="2"/>
  <c r="A165" i="2"/>
  <c r="C165" i="2" s="1"/>
  <c r="K164" i="2"/>
  <c r="B164" i="2"/>
  <c r="A164" i="2"/>
  <c r="C164" i="2" s="1"/>
  <c r="K163" i="2"/>
  <c r="B163" i="2"/>
  <c r="A163" i="2"/>
  <c r="C163" i="2" s="1"/>
  <c r="K162" i="2"/>
  <c r="B162" i="2"/>
  <c r="A162" i="2"/>
  <c r="C162" i="2" s="1"/>
  <c r="K161" i="2"/>
  <c r="B161" i="2"/>
  <c r="A161" i="2"/>
  <c r="C161" i="2" s="1"/>
  <c r="K160" i="2"/>
  <c r="B160" i="2"/>
  <c r="A160" i="2"/>
  <c r="C160" i="2" s="1"/>
  <c r="K159" i="2"/>
  <c r="B159" i="2"/>
  <c r="A159" i="2"/>
  <c r="C159" i="2" s="1"/>
  <c r="K158" i="2"/>
  <c r="B158" i="2"/>
  <c r="A158" i="2"/>
  <c r="C158" i="2" s="1"/>
  <c r="K157" i="2"/>
  <c r="B157" i="2"/>
  <c r="A157" i="2"/>
  <c r="C157" i="2" s="1"/>
  <c r="K156" i="2"/>
  <c r="B156" i="2"/>
  <c r="A156" i="2"/>
  <c r="C156" i="2" s="1"/>
  <c r="K155" i="2"/>
  <c r="B155" i="2"/>
  <c r="A155" i="2"/>
  <c r="C155" i="2" s="1"/>
  <c r="K154" i="2"/>
  <c r="B154" i="2"/>
  <c r="A154" i="2"/>
  <c r="C154" i="2" s="1"/>
  <c r="K153" i="2"/>
  <c r="B153" i="2"/>
  <c r="A153" i="2"/>
  <c r="C153" i="2" s="1"/>
  <c r="K152" i="2"/>
  <c r="B152" i="2"/>
  <c r="A152" i="2"/>
  <c r="C152" i="2" s="1"/>
  <c r="K151" i="2"/>
  <c r="B151" i="2"/>
  <c r="A151" i="2"/>
  <c r="C151" i="2" s="1"/>
  <c r="K150" i="2"/>
  <c r="B150" i="2"/>
  <c r="A150" i="2"/>
  <c r="C150" i="2" s="1"/>
  <c r="K149" i="2"/>
  <c r="B149" i="2"/>
  <c r="A149" i="2"/>
  <c r="C149" i="2" s="1"/>
  <c r="K148" i="2"/>
  <c r="B148" i="2"/>
  <c r="A148" i="2"/>
  <c r="C148" i="2" s="1"/>
  <c r="K147" i="2"/>
  <c r="B147" i="2"/>
  <c r="A147" i="2"/>
  <c r="C147" i="2" s="1"/>
  <c r="K146" i="2"/>
  <c r="B146" i="2"/>
  <c r="A146" i="2"/>
  <c r="C146" i="2" s="1"/>
  <c r="K145" i="2"/>
  <c r="B145" i="2"/>
  <c r="A145" i="2"/>
  <c r="C145" i="2" s="1"/>
  <c r="K144" i="2"/>
  <c r="B144" i="2"/>
  <c r="A144" i="2"/>
  <c r="C144" i="2" s="1"/>
  <c r="K143" i="2"/>
  <c r="B143" i="2"/>
  <c r="A143" i="2"/>
  <c r="C143" i="2" s="1"/>
  <c r="K142" i="2"/>
  <c r="B142" i="2"/>
  <c r="A142" i="2"/>
  <c r="C142" i="2" s="1"/>
  <c r="K141" i="2"/>
  <c r="B141" i="2"/>
  <c r="A141" i="2"/>
  <c r="C141" i="2" s="1"/>
  <c r="K140" i="2"/>
  <c r="B140" i="2"/>
  <c r="A140" i="2"/>
  <c r="C140" i="2" s="1"/>
  <c r="K139" i="2"/>
  <c r="B139" i="2"/>
  <c r="A139" i="2"/>
  <c r="C139" i="2" s="1"/>
  <c r="K138" i="2"/>
  <c r="B138" i="2"/>
  <c r="A138" i="2"/>
  <c r="C138" i="2" s="1"/>
  <c r="K137" i="2"/>
  <c r="B137" i="2"/>
  <c r="A137" i="2"/>
  <c r="C137" i="2" s="1"/>
  <c r="K136" i="2"/>
  <c r="B136" i="2"/>
  <c r="A136" i="2"/>
  <c r="C136" i="2" s="1"/>
  <c r="K135" i="2"/>
  <c r="B135" i="2"/>
  <c r="A135" i="2"/>
  <c r="C135" i="2" s="1"/>
  <c r="K134" i="2"/>
  <c r="B134" i="2"/>
  <c r="A134" i="2"/>
  <c r="C134" i="2" s="1"/>
  <c r="K133" i="2"/>
  <c r="B133" i="2"/>
  <c r="A133" i="2"/>
  <c r="C133" i="2" s="1"/>
  <c r="K132" i="2"/>
  <c r="B132" i="2"/>
  <c r="A132" i="2"/>
  <c r="C132" i="2" s="1"/>
  <c r="K131" i="2"/>
  <c r="B131" i="2"/>
  <c r="A131" i="2"/>
  <c r="C131" i="2" s="1"/>
  <c r="K130" i="2"/>
  <c r="B130" i="2"/>
  <c r="A130" i="2"/>
  <c r="C130" i="2" s="1"/>
  <c r="K129" i="2"/>
  <c r="B129" i="2"/>
  <c r="A129" i="2"/>
  <c r="C129" i="2" s="1"/>
  <c r="K128" i="2"/>
  <c r="B128" i="2"/>
  <c r="A128" i="2"/>
  <c r="C128" i="2" s="1"/>
  <c r="K127" i="2"/>
  <c r="B127" i="2"/>
  <c r="A127" i="2"/>
  <c r="C127" i="2" s="1"/>
  <c r="K126" i="2"/>
  <c r="B126" i="2"/>
  <c r="A126" i="2"/>
  <c r="C126" i="2" s="1"/>
  <c r="K125" i="2"/>
  <c r="B125" i="2"/>
  <c r="A125" i="2"/>
  <c r="C125" i="2" s="1"/>
  <c r="K124" i="2"/>
  <c r="B124" i="2"/>
  <c r="A124" i="2"/>
  <c r="C124" i="2" s="1"/>
  <c r="K123" i="2"/>
  <c r="B123" i="2"/>
  <c r="A123" i="2"/>
  <c r="C123" i="2" s="1"/>
  <c r="K122" i="2"/>
  <c r="B122" i="2"/>
  <c r="A122" i="2"/>
  <c r="C122" i="2" s="1"/>
  <c r="K121" i="2"/>
  <c r="B121" i="2"/>
  <c r="A121" i="2"/>
  <c r="C121" i="2" s="1"/>
  <c r="K120" i="2"/>
  <c r="B120" i="2"/>
  <c r="A120" i="2"/>
  <c r="C120" i="2" s="1"/>
  <c r="K119" i="2"/>
  <c r="B119" i="2"/>
  <c r="A119" i="2"/>
  <c r="C119" i="2" s="1"/>
  <c r="K118" i="2"/>
  <c r="B118" i="2"/>
  <c r="A118" i="2"/>
  <c r="C118" i="2" s="1"/>
  <c r="K117" i="2"/>
  <c r="B117" i="2"/>
  <c r="A117" i="2"/>
  <c r="C117" i="2" s="1"/>
  <c r="K116" i="2"/>
  <c r="B116" i="2"/>
  <c r="A116" i="2"/>
  <c r="C116" i="2" s="1"/>
  <c r="K115" i="2"/>
  <c r="B115" i="2"/>
  <c r="A115" i="2"/>
  <c r="C115" i="2" s="1"/>
  <c r="K114" i="2"/>
  <c r="B114" i="2"/>
  <c r="A114" i="2"/>
  <c r="C114" i="2" s="1"/>
  <c r="K113" i="2"/>
  <c r="B113" i="2"/>
  <c r="A113" i="2"/>
  <c r="C113" i="2" s="1"/>
  <c r="K112" i="2"/>
  <c r="B112" i="2"/>
  <c r="A112" i="2"/>
  <c r="C112" i="2" s="1"/>
  <c r="K111" i="2"/>
  <c r="B111" i="2"/>
  <c r="A111" i="2"/>
  <c r="C111" i="2" s="1"/>
  <c r="K110" i="2"/>
  <c r="B110" i="2"/>
  <c r="A110" i="2"/>
  <c r="C110" i="2" s="1"/>
  <c r="K109" i="2"/>
  <c r="B109" i="2"/>
  <c r="A109" i="2"/>
  <c r="C109" i="2" s="1"/>
  <c r="K108" i="2"/>
  <c r="B108" i="2"/>
  <c r="A108" i="2"/>
  <c r="C108" i="2" s="1"/>
  <c r="K107" i="2"/>
  <c r="B107" i="2"/>
  <c r="A107" i="2"/>
  <c r="C107" i="2" s="1"/>
  <c r="K106" i="2"/>
  <c r="B106" i="2"/>
  <c r="A106" i="2"/>
  <c r="C106" i="2" s="1"/>
  <c r="K105" i="2"/>
  <c r="B105" i="2"/>
  <c r="A105" i="2"/>
  <c r="C105" i="2" s="1"/>
  <c r="K104" i="2"/>
  <c r="B104" i="2"/>
  <c r="A104" i="2"/>
  <c r="C104" i="2" s="1"/>
  <c r="K103" i="2"/>
  <c r="B103" i="2"/>
  <c r="A103" i="2"/>
  <c r="C103" i="2" s="1"/>
  <c r="K102" i="2"/>
  <c r="B102" i="2"/>
  <c r="A102" i="2"/>
  <c r="C102" i="2" s="1"/>
  <c r="K101" i="2"/>
  <c r="B101" i="2"/>
  <c r="A101" i="2"/>
  <c r="C101" i="2" s="1"/>
  <c r="K100" i="2"/>
  <c r="B100" i="2"/>
  <c r="A100" i="2"/>
  <c r="C100" i="2" s="1"/>
  <c r="K99" i="2"/>
  <c r="B99" i="2"/>
  <c r="A99" i="2"/>
  <c r="C99" i="2" s="1"/>
  <c r="K98" i="2"/>
  <c r="B98" i="2"/>
  <c r="A98" i="2"/>
  <c r="C98" i="2" s="1"/>
  <c r="K97" i="2"/>
  <c r="B97" i="2"/>
  <c r="A97" i="2"/>
  <c r="C97" i="2" s="1"/>
  <c r="K96" i="2"/>
  <c r="B96" i="2"/>
  <c r="A96" i="2"/>
  <c r="C96" i="2" s="1"/>
  <c r="K95" i="2"/>
  <c r="B95" i="2"/>
  <c r="A95" i="2"/>
  <c r="C95" i="2" s="1"/>
  <c r="K94" i="2"/>
  <c r="B94" i="2"/>
  <c r="A94" i="2"/>
  <c r="C94" i="2" s="1"/>
  <c r="K93" i="2"/>
  <c r="B93" i="2"/>
  <c r="A93" i="2"/>
  <c r="C93" i="2" s="1"/>
  <c r="K92" i="2"/>
  <c r="B92" i="2"/>
  <c r="A92" i="2"/>
  <c r="C92" i="2" s="1"/>
  <c r="K91" i="2"/>
  <c r="B91" i="2"/>
  <c r="A91" i="2"/>
  <c r="C91" i="2" s="1"/>
  <c r="K90" i="2"/>
  <c r="B90" i="2"/>
  <c r="A90" i="2"/>
  <c r="C90" i="2" s="1"/>
  <c r="K89" i="2"/>
  <c r="B89" i="2"/>
  <c r="A89" i="2"/>
  <c r="C89" i="2" s="1"/>
  <c r="K88" i="2"/>
  <c r="B88" i="2"/>
  <c r="A88" i="2"/>
  <c r="C88" i="2" s="1"/>
  <c r="K87" i="2"/>
  <c r="B87" i="2"/>
  <c r="A87" i="2"/>
  <c r="C87" i="2" s="1"/>
  <c r="K86" i="2"/>
  <c r="B86" i="2"/>
  <c r="A86" i="2"/>
  <c r="C86" i="2" s="1"/>
  <c r="K85" i="2"/>
  <c r="B85" i="2"/>
  <c r="A85" i="2"/>
  <c r="C85" i="2" s="1"/>
  <c r="K84" i="2"/>
  <c r="B84" i="2"/>
  <c r="A84" i="2"/>
  <c r="C84" i="2" s="1"/>
  <c r="K83" i="2"/>
  <c r="B83" i="2"/>
  <c r="A83" i="2"/>
  <c r="C83" i="2" s="1"/>
  <c r="K82" i="2"/>
  <c r="B82" i="2"/>
  <c r="A82" i="2"/>
  <c r="C82" i="2" s="1"/>
  <c r="K81" i="2"/>
  <c r="B81" i="2"/>
  <c r="A81" i="2"/>
  <c r="C81" i="2" s="1"/>
  <c r="K80" i="2"/>
  <c r="B80" i="2"/>
  <c r="A80" i="2"/>
  <c r="C80" i="2" s="1"/>
  <c r="K79" i="2"/>
  <c r="B79" i="2"/>
  <c r="A79" i="2"/>
  <c r="C79" i="2" s="1"/>
  <c r="K78" i="2"/>
  <c r="B78" i="2"/>
  <c r="A78" i="2"/>
  <c r="C78" i="2" s="1"/>
  <c r="K77" i="2"/>
  <c r="B77" i="2"/>
  <c r="A77" i="2"/>
  <c r="C77" i="2" s="1"/>
  <c r="K76" i="2"/>
  <c r="B76" i="2"/>
  <c r="A76" i="2"/>
  <c r="C76" i="2" s="1"/>
  <c r="K75" i="2"/>
  <c r="B75" i="2"/>
  <c r="A75" i="2"/>
  <c r="C75" i="2" s="1"/>
  <c r="K74" i="2"/>
  <c r="B74" i="2"/>
  <c r="A74" i="2"/>
  <c r="C74" i="2" s="1"/>
  <c r="K73" i="2"/>
  <c r="B73" i="2"/>
  <c r="A73" i="2"/>
  <c r="C73" i="2" s="1"/>
  <c r="K72" i="2"/>
  <c r="B72" i="2"/>
  <c r="A72" i="2"/>
  <c r="C72" i="2" s="1"/>
  <c r="K71" i="2"/>
  <c r="B71" i="2"/>
  <c r="A71" i="2"/>
  <c r="C71" i="2" s="1"/>
  <c r="K70" i="2"/>
  <c r="B70" i="2"/>
  <c r="A70" i="2"/>
  <c r="C70" i="2" s="1"/>
  <c r="K69" i="2"/>
  <c r="B69" i="2"/>
  <c r="A69" i="2"/>
  <c r="C69" i="2" s="1"/>
  <c r="K68" i="2"/>
  <c r="B68" i="2"/>
  <c r="A68" i="2"/>
  <c r="C68" i="2" s="1"/>
  <c r="K67" i="2"/>
  <c r="B67" i="2"/>
  <c r="A67" i="2"/>
  <c r="C67" i="2" s="1"/>
  <c r="K66" i="2"/>
  <c r="B66" i="2"/>
  <c r="A66" i="2"/>
  <c r="C66" i="2" s="1"/>
  <c r="K65" i="2"/>
  <c r="B65" i="2"/>
  <c r="A65" i="2"/>
  <c r="C65" i="2" s="1"/>
  <c r="K64" i="2"/>
  <c r="B64" i="2"/>
  <c r="A64" i="2"/>
  <c r="C64" i="2" s="1"/>
  <c r="K63" i="2"/>
  <c r="B63" i="2"/>
  <c r="A63" i="2"/>
  <c r="C63" i="2" s="1"/>
  <c r="K62" i="2"/>
  <c r="B62" i="2"/>
  <c r="A62" i="2"/>
  <c r="C62" i="2" s="1"/>
  <c r="K61" i="2"/>
  <c r="B61" i="2"/>
  <c r="A61" i="2"/>
  <c r="C61" i="2" s="1"/>
  <c r="K60" i="2"/>
  <c r="B60" i="2"/>
  <c r="A60" i="2"/>
  <c r="C60" i="2" s="1"/>
  <c r="K59" i="2"/>
  <c r="B59" i="2"/>
  <c r="A59" i="2"/>
  <c r="C59" i="2" s="1"/>
  <c r="K58" i="2"/>
  <c r="B58" i="2"/>
  <c r="A58" i="2"/>
  <c r="C58" i="2" s="1"/>
  <c r="K57" i="2"/>
  <c r="B57" i="2"/>
  <c r="A57" i="2"/>
  <c r="C57" i="2" s="1"/>
  <c r="K56" i="2"/>
  <c r="B56" i="2"/>
  <c r="A56" i="2"/>
  <c r="C56" i="2" s="1"/>
  <c r="K55" i="2"/>
  <c r="B55" i="2"/>
  <c r="A55" i="2"/>
  <c r="C55" i="2" s="1"/>
  <c r="K54" i="2"/>
  <c r="B54" i="2"/>
  <c r="A54" i="2"/>
  <c r="C54" i="2" s="1"/>
  <c r="K53" i="2"/>
  <c r="B53" i="2"/>
  <c r="A53" i="2"/>
  <c r="C53" i="2" s="1"/>
  <c r="K52" i="2"/>
  <c r="B52" i="2"/>
  <c r="A52" i="2"/>
  <c r="C52" i="2" s="1"/>
  <c r="K51" i="2"/>
  <c r="B51" i="2"/>
  <c r="A51" i="2"/>
  <c r="C51" i="2" s="1"/>
  <c r="K50" i="2"/>
  <c r="B50" i="2"/>
  <c r="A50" i="2"/>
  <c r="C50" i="2" s="1"/>
  <c r="K49" i="2"/>
  <c r="B49" i="2"/>
  <c r="A49" i="2"/>
  <c r="C49" i="2" s="1"/>
  <c r="K48" i="2"/>
  <c r="B48" i="2"/>
  <c r="A48" i="2"/>
  <c r="C48" i="2" s="1"/>
  <c r="K47" i="2"/>
  <c r="B47" i="2"/>
  <c r="A47" i="2"/>
  <c r="C47" i="2" s="1"/>
  <c r="K46" i="2"/>
  <c r="B46" i="2"/>
  <c r="A46" i="2"/>
  <c r="C46" i="2" s="1"/>
  <c r="K45" i="2"/>
  <c r="B45" i="2"/>
  <c r="A45" i="2"/>
  <c r="C45" i="2" s="1"/>
  <c r="K44" i="2"/>
  <c r="B44" i="2"/>
  <c r="A44" i="2"/>
  <c r="C44" i="2" s="1"/>
  <c r="K43" i="2"/>
  <c r="B43" i="2"/>
  <c r="A43" i="2"/>
  <c r="C43" i="2" s="1"/>
  <c r="K42" i="2"/>
  <c r="B42" i="2"/>
  <c r="A42" i="2"/>
  <c r="C42" i="2" s="1"/>
  <c r="K41" i="2"/>
  <c r="B41" i="2"/>
  <c r="A41" i="2"/>
  <c r="C41" i="2" s="1"/>
  <c r="K40" i="2"/>
  <c r="B40" i="2"/>
  <c r="A40" i="2"/>
  <c r="C40" i="2" s="1"/>
  <c r="K39" i="2"/>
  <c r="B39" i="2"/>
  <c r="A39" i="2"/>
  <c r="C39" i="2" s="1"/>
  <c r="K38" i="2"/>
  <c r="B38" i="2"/>
  <c r="A38" i="2"/>
  <c r="C38" i="2" s="1"/>
  <c r="K37" i="2"/>
  <c r="B37" i="2"/>
  <c r="A37" i="2"/>
  <c r="C37" i="2" s="1"/>
  <c r="K36" i="2"/>
  <c r="B36" i="2"/>
  <c r="A36" i="2"/>
  <c r="C36" i="2" s="1"/>
  <c r="K35" i="2"/>
  <c r="B35" i="2"/>
  <c r="A35" i="2"/>
  <c r="C35" i="2" s="1"/>
  <c r="K34" i="2"/>
  <c r="B34" i="2"/>
  <c r="A34" i="2"/>
  <c r="C34" i="2" s="1"/>
  <c r="K33" i="2"/>
  <c r="B33" i="2"/>
  <c r="A33" i="2"/>
  <c r="C33" i="2" s="1"/>
  <c r="K32" i="2"/>
  <c r="B32" i="2"/>
  <c r="A32" i="2"/>
  <c r="C32" i="2" s="1"/>
  <c r="K31" i="2"/>
  <c r="B31" i="2"/>
  <c r="A31" i="2"/>
  <c r="C31" i="2" s="1"/>
  <c r="K30" i="2"/>
  <c r="B30" i="2"/>
  <c r="A30" i="2"/>
  <c r="C30" i="2" s="1"/>
  <c r="K29" i="2"/>
  <c r="B29" i="2"/>
  <c r="A29" i="2"/>
  <c r="C29" i="2" s="1"/>
  <c r="K28" i="2"/>
  <c r="B28" i="2"/>
  <c r="A28" i="2"/>
  <c r="C28" i="2" s="1"/>
  <c r="K27" i="2"/>
  <c r="B27" i="2"/>
  <c r="A27" i="2"/>
  <c r="C27" i="2" s="1"/>
  <c r="K26" i="2"/>
  <c r="B26" i="2"/>
  <c r="A26" i="2"/>
  <c r="C26" i="2" s="1"/>
  <c r="K25" i="2"/>
  <c r="B25" i="2"/>
  <c r="A25" i="2"/>
  <c r="C25" i="2" s="1"/>
  <c r="K24" i="2"/>
  <c r="B24" i="2"/>
  <c r="A24" i="2"/>
  <c r="C24" i="2" s="1"/>
  <c r="K23" i="2"/>
  <c r="B23" i="2"/>
  <c r="A23" i="2"/>
  <c r="C23" i="2" s="1"/>
  <c r="K22" i="2"/>
  <c r="B22" i="2"/>
  <c r="A22" i="2"/>
  <c r="C22" i="2" s="1"/>
  <c r="K21" i="2"/>
  <c r="B21" i="2"/>
  <c r="A21" i="2"/>
  <c r="C21" i="2" s="1"/>
  <c r="K20" i="2"/>
  <c r="B20" i="2"/>
  <c r="A20" i="2"/>
  <c r="C20" i="2" s="1"/>
  <c r="K19" i="2"/>
  <c r="B19" i="2"/>
  <c r="A19" i="2"/>
  <c r="C19" i="2" s="1"/>
  <c r="K18" i="2"/>
  <c r="B18" i="2"/>
  <c r="A18" i="2"/>
  <c r="C18" i="2" s="1"/>
  <c r="K17" i="2"/>
  <c r="B17" i="2"/>
  <c r="A17" i="2"/>
  <c r="C17" i="2" s="1"/>
  <c r="K16" i="2"/>
  <c r="B16" i="2"/>
  <c r="A16" i="2"/>
  <c r="C16" i="2" s="1"/>
  <c r="K15" i="2"/>
  <c r="B15" i="2"/>
  <c r="A15" i="2"/>
  <c r="C15" i="2" s="1"/>
  <c r="K14" i="2"/>
  <c r="B14" i="2"/>
  <c r="A14" i="2"/>
  <c r="C14" i="2" s="1"/>
  <c r="K13" i="2"/>
  <c r="B13" i="2"/>
  <c r="A13" i="2"/>
  <c r="C13" i="2" s="1"/>
  <c r="K12" i="2"/>
  <c r="B12" i="2"/>
  <c r="A12" i="2"/>
  <c r="C12" i="2" s="1"/>
  <c r="K11" i="2"/>
  <c r="B11" i="2"/>
  <c r="A11" i="2"/>
  <c r="C11" i="2" s="1"/>
  <c r="K10" i="2"/>
  <c r="B10" i="2"/>
  <c r="A10" i="2"/>
  <c r="C10" i="2" s="1"/>
  <c r="K9" i="2"/>
  <c r="B9" i="2"/>
  <c r="A9" i="2"/>
  <c r="C9" i="2" s="1"/>
  <c r="K8" i="2"/>
  <c r="B8" i="2"/>
  <c r="A8" i="2"/>
  <c r="C8" i="2" s="1"/>
  <c r="K7" i="2"/>
  <c r="B7" i="2"/>
  <c r="A7" i="2"/>
  <c r="C7" i="2" s="1"/>
  <c r="K6" i="2"/>
  <c r="B6" i="2"/>
  <c r="A6" i="2"/>
  <c r="C6" i="2" s="1"/>
  <c r="K5" i="2"/>
  <c r="B5" i="2"/>
  <c r="A5" i="2"/>
  <c r="C5" i="2" s="1"/>
  <c r="K4" i="2"/>
  <c r="B4" i="2"/>
  <c r="A4" i="2"/>
  <c r="C4" i="2" s="1"/>
  <c r="K3" i="2"/>
  <c r="B3" i="2"/>
  <c r="A3" i="2"/>
  <c r="C3" i="2" s="1"/>
  <c r="K2" i="2"/>
  <c r="B2" i="2"/>
  <c r="A2" i="2"/>
  <c r="C2" i="2" s="1"/>
  <c r="E745" i="2" l="1"/>
  <c r="F745" i="2"/>
  <c r="J745" i="2" s="1"/>
  <c r="E744" i="2"/>
  <c r="F744" i="2"/>
  <c r="J744" i="2" s="1"/>
  <c r="F743" i="2"/>
  <c r="J743" i="2" s="1"/>
  <c r="E743" i="2"/>
  <c r="E742" i="2"/>
  <c r="F742" i="2"/>
  <c r="J742" i="2" s="1"/>
  <c r="E741" i="2"/>
  <c r="F741" i="2"/>
  <c r="J741" i="2" s="1"/>
  <c r="E740" i="2"/>
  <c r="F740" i="2"/>
  <c r="J740" i="2" s="1"/>
  <c r="E739" i="2"/>
  <c r="F739" i="2"/>
  <c r="J739" i="2" s="1"/>
  <c r="E738" i="2"/>
  <c r="F738" i="2"/>
  <c r="J738" i="2" s="1"/>
  <c r="E737" i="2"/>
  <c r="F737" i="2"/>
  <c r="J737" i="2" s="1"/>
  <c r="F736" i="2"/>
  <c r="J736" i="2" s="1"/>
  <c r="E736" i="2"/>
  <c r="E735" i="2"/>
  <c r="F735" i="2"/>
  <c r="J735" i="2" s="1"/>
  <c r="E734" i="2"/>
  <c r="F734" i="2"/>
  <c r="J734" i="2" s="1"/>
  <c r="F733" i="2"/>
  <c r="J733" i="2" s="1"/>
  <c r="E733" i="2"/>
  <c r="F732" i="2"/>
  <c r="J732" i="2" s="1"/>
  <c r="E732" i="2"/>
  <c r="E731" i="2"/>
  <c r="F731" i="2"/>
  <c r="J731" i="2" s="1"/>
  <c r="F730" i="2"/>
  <c r="J730" i="2" s="1"/>
  <c r="E730" i="2"/>
  <c r="E729" i="2"/>
  <c r="F729" i="2"/>
  <c r="J729" i="2" s="1"/>
  <c r="E728" i="2"/>
  <c r="F728" i="2"/>
  <c r="J728" i="2" s="1"/>
  <c r="E727" i="2"/>
  <c r="F727" i="2"/>
  <c r="J727" i="2" s="1"/>
  <c r="F726" i="2"/>
  <c r="J726" i="2" s="1"/>
  <c r="E726" i="2"/>
  <c r="E725" i="2"/>
  <c r="F725" i="2"/>
  <c r="J725" i="2" s="1"/>
  <c r="E724" i="2"/>
  <c r="F724" i="2"/>
  <c r="J724" i="2" s="1"/>
  <c r="E723" i="2"/>
  <c r="F723" i="2"/>
  <c r="J723" i="2" s="1"/>
  <c r="E722" i="2"/>
  <c r="F722" i="2"/>
  <c r="J722" i="2" s="1"/>
  <c r="E721" i="2"/>
  <c r="F721" i="2"/>
  <c r="J721" i="2" s="1"/>
  <c r="E720" i="2"/>
  <c r="F720" i="2"/>
  <c r="J720" i="2" s="1"/>
  <c r="E719" i="2"/>
  <c r="F719" i="2"/>
  <c r="J719" i="2" s="1"/>
  <c r="F718" i="2"/>
  <c r="J718" i="2" s="1"/>
  <c r="E718" i="2"/>
  <c r="E717" i="2"/>
  <c r="F717" i="2"/>
  <c r="J717" i="2" s="1"/>
  <c r="E716" i="2"/>
  <c r="F716" i="2"/>
  <c r="J716" i="2" s="1"/>
  <c r="E715" i="2"/>
  <c r="F715" i="2"/>
  <c r="J715" i="2" s="1"/>
  <c r="E714" i="2"/>
  <c r="F714" i="2"/>
  <c r="J714" i="2" s="1"/>
  <c r="E713" i="2"/>
  <c r="F713" i="2"/>
  <c r="J713" i="2" s="1"/>
  <c r="F712" i="2"/>
  <c r="J712" i="2" s="1"/>
  <c r="E712" i="2"/>
  <c r="F711" i="2"/>
  <c r="J711" i="2" s="1"/>
  <c r="E711" i="2"/>
  <c r="E710" i="2"/>
  <c r="F710" i="2"/>
  <c r="J710" i="2" s="1"/>
  <c r="E709" i="2"/>
  <c r="F709" i="2"/>
  <c r="J709" i="2" s="1"/>
  <c r="E708" i="2"/>
  <c r="F708" i="2"/>
  <c r="J708" i="2" s="1"/>
  <c r="E707" i="2"/>
  <c r="F707" i="2"/>
  <c r="J707" i="2" s="1"/>
  <c r="E706" i="2"/>
  <c r="F706" i="2"/>
  <c r="J706" i="2" s="1"/>
  <c r="F705" i="2"/>
  <c r="J705" i="2" s="1"/>
  <c r="E705" i="2"/>
  <c r="E704" i="2"/>
  <c r="F704" i="2"/>
  <c r="J704" i="2" s="1"/>
  <c r="F703" i="2"/>
  <c r="J703" i="2" s="1"/>
  <c r="E703" i="2"/>
  <c r="F702" i="2"/>
  <c r="J702" i="2" s="1"/>
  <c r="E702" i="2"/>
  <c r="E701" i="2"/>
  <c r="F701" i="2"/>
  <c r="J701" i="2" s="1"/>
  <c r="F700" i="2"/>
  <c r="J700" i="2" s="1"/>
  <c r="E700" i="2"/>
  <c r="E699" i="2"/>
  <c r="F699" i="2"/>
  <c r="J699" i="2" s="1"/>
  <c r="F698" i="2"/>
  <c r="J698" i="2" s="1"/>
  <c r="E698" i="2"/>
  <c r="E697" i="2"/>
  <c r="F697" i="2"/>
  <c r="J697" i="2" s="1"/>
  <c r="E696" i="2"/>
  <c r="F696" i="2"/>
  <c r="J696" i="2" s="1"/>
  <c r="E695" i="2"/>
  <c r="F695" i="2"/>
  <c r="J695" i="2" s="1"/>
  <c r="E694" i="2"/>
  <c r="F694" i="2"/>
  <c r="J694" i="2" s="1"/>
  <c r="E693" i="2"/>
  <c r="F693" i="2"/>
  <c r="J693" i="2" s="1"/>
  <c r="E692" i="2"/>
  <c r="F692" i="2"/>
  <c r="J692" i="2" s="1"/>
  <c r="E691" i="2"/>
  <c r="F691" i="2"/>
  <c r="J691" i="2" s="1"/>
  <c r="E690" i="2"/>
  <c r="F690" i="2"/>
  <c r="J690" i="2" s="1"/>
  <c r="E689" i="2"/>
  <c r="F689" i="2"/>
  <c r="J689" i="2" s="1"/>
  <c r="E688" i="2"/>
  <c r="F688" i="2"/>
  <c r="J688" i="2" s="1"/>
  <c r="E687" i="2"/>
  <c r="F687" i="2"/>
  <c r="J687" i="2" s="1"/>
  <c r="E686" i="2"/>
  <c r="F686" i="2"/>
  <c r="J686" i="2" s="1"/>
  <c r="E685" i="2"/>
  <c r="F685" i="2"/>
  <c r="J685" i="2" s="1"/>
  <c r="E684" i="2"/>
  <c r="F684" i="2"/>
  <c r="J684" i="2" s="1"/>
  <c r="E683" i="2"/>
  <c r="F683" i="2"/>
  <c r="J683" i="2" s="1"/>
  <c r="E682" i="2"/>
  <c r="F682" i="2"/>
  <c r="J682" i="2" s="1"/>
  <c r="E681" i="2"/>
  <c r="F681" i="2"/>
  <c r="J681" i="2" s="1"/>
  <c r="E680" i="2"/>
  <c r="F680" i="2"/>
  <c r="J680" i="2" s="1"/>
  <c r="E679" i="2"/>
  <c r="F679" i="2"/>
  <c r="J679" i="2" s="1"/>
  <c r="E678" i="2"/>
  <c r="F678" i="2"/>
  <c r="J678" i="2" s="1"/>
  <c r="E677" i="2"/>
  <c r="F677" i="2"/>
  <c r="J677" i="2" s="1"/>
  <c r="E676" i="2"/>
  <c r="F676" i="2"/>
  <c r="J676" i="2" s="1"/>
  <c r="E675" i="2"/>
  <c r="F675" i="2"/>
  <c r="J675" i="2" s="1"/>
  <c r="E674" i="2"/>
  <c r="F674" i="2"/>
  <c r="J674" i="2" s="1"/>
  <c r="E673" i="2"/>
  <c r="F673" i="2"/>
  <c r="J673" i="2" s="1"/>
  <c r="E672" i="2"/>
  <c r="F672" i="2"/>
  <c r="J672" i="2" s="1"/>
  <c r="E671" i="2"/>
  <c r="F671" i="2"/>
  <c r="J671" i="2" s="1"/>
  <c r="E670" i="2"/>
  <c r="F670" i="2"/>
  <c r="J670" i="2" s="1"/>
  <c r="E669" i="2"/>
  <c r="F669" i="2"/>
  <c r="J669" i="2" s="1"/>
  <c r="E668" i="2"/>
  <c r="F668" i="2"/>
  <c r="J668" i="2" s="1"/>
  <c r="E667" i="2"/>
  <c r="F667" i="2"/>
  <c r="J667" i="2" s="1"/>
  <c r="E666" i="2"/>
  <c r="F666" i="2"/>
  <c r="J666" i="2" s="1"/>
  <c r="E665" i="2"/>
  <c r="F665" i="2"/>
  <c r="J665" i="2" s="1"/>
  <c r="E664" i="2"/>
  <c r="F664" i="2"/>
  <c r="J664" i="2" s="1"/>
  <c r="E663" i="2"/>
  <c r="F663" i="2"/>
  <c r="J663" i="2" s="1"/>
  <c r="F662" i="2"/>
  <c r="J662" i="2" s="1"/>
  <c r="E662" i="2"/>
  <c r="E661" i="2"/>
  <c r="F661" i="2"/>
  <c r="J661" i="2" s="1"/>
  <c r="E660" i="2"/>
  <c r="F660" i="2"/>
  <c r="J660" i="2" s="1"/>
  <c r="E659" i="2"/>
  <c r="F659" i="2"/>
  <c r="J659" i="2" s="1"/>
  <c r="E658" i="2"/>
  <c r="F658" i="2"/>
  <c r="J658" i="2" s="1"/>
  <c r="E657" i="2"/>
  <c r="F657" i="2"/>
  <c r="J657" i="2" s="1"/>
  <c r="E656" i="2"/>
  <c r="F656" i="2"/>
  <c r="J656" i="2" s="1"/>
  <c r="E655" i="2"/>
  <c r="F655" i="2"/>
  <c r="J655" i="2" s="1"/>
  <c r="E654" i="2"/>
  <c r="F654" i="2"/>
  <c r="J654" i="2" s="1"/>
  <c r="E653" i="2"/>
  <c r="F653" i="2"/>
  <c r="J653" i="2" s="1"/>
  <c r="E652" i="2"/>
  <c r="F652" i="2"/>
  <c r="J652" i="2" s="1"/>
  <c r="E651" i="2"/>
  <c r="F651" i="2"/>
  <c r="J651" i="2" s="1"/>
  <c r="E650" i="2"/>
  <c r="F650" i="2"/>
  <c r="J650" i="2" s="1"/>
  <c r="E649" i="2"/>
  <c r="F649" i="2"/>
  <c r="J649" i="2" s="1"/>
  <c r="F648" i="2"/>
  <c r="J648" i="2" s="1"/>
  <c r="E648" i="2"/>
  <c r="E647" i="2"/>
  <c r="F647" i="2"/>
  <c r="J647" i="2" s="1"/>
  <c r="E646" i="2"/>
  <c r="F646" i="2"/>
  <c r="J646" i="2" s="1"/>
  <c r="E645" i="2"/>
  <c r="F645" i="2"/>
  <c r="J645" i="2" s="1"/>
  <c r="E644" i="2"/>
  <c r="F644" i="2"/>
  <c r="J644" i="2" s="1"/>
  <c r="E643" i="2"/>
  <c r="F643" i="2"/>
  <c r="J643" i="2" s="1"/>
  <c r="E642" i="2"/>
  <c r="F642" i="2"/>
  <c r="J642" i="2" s="1"/>
  <c r="E641" i="2"/>
  <c r="F641" i="2"/>
  <c r="J641" i="2" s="1"/>
  <c r="E640" i="2"/>
  <c r="F640" i="2"/>
  <c r="J640" i="2" s="1"/>
  <c r="E639" i="2"/>
  <c r="F639" i="2"/>
  <c r="J639" i="2" s="1"/>
  <c r="E638" i="2"/>
  <c r="F638" i="2"/>
  <c r="J638" i="2" s="1"/>
  <c r="E637" i="2"/>
  <c r="F637" i="2"/>
  <c r="J637" i="2" s="1"/>
  <c r="E636" i="2"/>
  <c r="F636" i="2"/>
  <c r="J636" i="2" s="1"/>
  <c r="E635" i="2"/>
  <c r="F635" i="2"/>
  <c r="J635" i="2" s="1"/>
  <c r="E634" i="2"/>
  <c r="F634" i="2"/>
  <c r="J634" i="2" s="1"/>
  <c r="E633" i="2"/>
  <c r="F633" i="2"/>
  <c r="J633" i="2" s="1"/>
  <c r="E632" i="2"/>
  <c r="F632" i="2"/>
  <c r="J632" i="2" s="1"/>
  <c r="E631" i="2"/>
  <c r="F631" i="2"/>
  <c r="J631" i="2" s="1"/>
  <c r="E630" i="2"/>
  <c r="F630" i="2"/>
  <c r="J630" i="2" s="1"/>
  <c r="E629" i="2"/>
  <c r="F629" i="2"/>
  <c r="J629" i="2" s="1"/>
  <c r="E628" i="2"/>
  <c r="F628" i="2"/>
  <c r="J628" i="2" s="1"/>
  <c r="E627" i="2"/>
  <c r="F627" i="2"/>
  <c r="J627" i="2" s="1"/>
  <c r="E626" i="2"/>
  <c r="F626" i="2"/>
  <c r="J626" i="2" s="1"/>
  <c r="F625" i="2"/>
  <c r="J625" i="2" s="1"/>
  <c r="E625" i="2"/>
  <c r="E624" i="2"/>
  <c r="F624" i="2"/>
  <c r="J624" i="2" s="1"/>
  <c r="E623" i="2"/>
  <c r="F623" i="2"/>
  <c r="J623" i="2" s="1"/>
  <c r="E622" i="2"/>
  <c r="F622" i="2"/>
  <c r="J622" i="2" s="1"/>
  <c r="E621" i="2"/>
  <c r="F621" i="2"/>
  <c r="J621" i="2" s="1"/>
  <c r="E620" i="2"/>
  <c r="F620" i="2"/>
  <c r="J620" i="2" s="1"/>
  <c r="E619" i="2"/>
  <c r="F619" i="2"/>
  <c r="J619" i="2" s="1"/>
  <c r="E618" i="2"/>
  <c r="F618" i="2"/>
  <c r="J618" i="2" s="1"/>
  <c r="E617" i="2"/>
  <c r="F617" i="2"/>
  <c r="J617" i="2" s="1"/>
  <c r="E616" i="2"/>
  <c r="F616" i="2"/>
  <c r="J616" i="2" s="1"/>
  <c r="E615" i="2"/>
  <c r="F615" i="2"/>
  <c r="J615" i="2" s="1"/>
  <c r="E614" i="2"/>
  <c r="F614" i="2"/>
  <c r="J614" i="2" s="1"/>
  <c r="E613" i="2"/>
  <c r="F613" i="2"/>
  <c r="J613" i="2" s="1"/>
  <c r="E612" i="2"/>
  <c r="F612" i="2"/>
  <c r="J612" i="2" s="1"/>
  <c r="E611" i="2"/>
  <c r="F611" i="2"/>
  <c r="J611" i="2" s="1"/>
  <c r="E610" i="2"/>
  <c r="F610" i="2"/>
  <c r="J610" i="2" s="1"/>
  <c r="E609" i="2"/>
  <c r="F609" i="2"/>
  <c r="J609" i="2" s="1"/>
  <c r="E608" i="2"/>
  <c r="F608" i="2"/>
  <c r="J608" i="2" s="1"/>
  <c r="E607" i="2"/>
  <c r="F607" i="2"/>
  <c r="J607" i="2" s="1"/>
  <c r="E606" i="2"/>
  <c r="F606" i="2"/>
  <c r="J606" i="2" s="1"/>
  <c r="E605" i="2"/>
  <c r="F605" i="2"/>
  <c r="J605" i="2" s="1"/>
  <c r="E604" i="2"/>
  <c r="F604" i="2"/>
  <c r="J604" i="2" s="1"/>
  <c r="E603" i="2"/>
  <c r="F603" i="2"/>
  <c r="J603" i="2" s="1"/>
  <c r="E602" i="2"/>
  <c r="F602" i="2"/>
  <c r="J602" i="2" s="1"/>
  <c r="E601" i="2"/>
  <c r="F601" i="2"/>
  <c r="J601" i="2" s="1"/>
  <c r="E600" i="2"/>
  <c r="F600" i="2"/>
  <c r="J600" i="2" s="1"/>
  <c r="E599" i="2"/>
  <c r="F599" i="2"/>
  <c r="J599" i="2" s="1"/>
  <c r="E598" i="2"/>
  <c r="F598" i="2"/>
  <c r="J598" i="2" s="1"/>
  <c r="E597" i="2"/>
  <c r="F597" i="2"/>
  <c r="J597" i="2" s="1"/>
  <c r="E596" i="2"/>
  <c r="F596" i="2"/>
  <c r="J596" i="2" s="1"/>
  <c r="E595" i="2"/>
  <c r="F595" i="2"/>
  <c r="J595" i="2" s="1"/>
  <c r="E594" i="2"/>
  <c r="F594" i="2"/>
  <c r="J594" i="2" s="1"/>
  <c r="E593" i="2"/>
  <c r="F593" i="2"/>
  <c r="J593" i="2" s="1"/>
  <c r="E592" i="2"/>
  <c r="F592" i="2"/>
  <c r="J592" i="2" s="1"/>
  <c r="E591" i="2"/>
  <c r="F591" i="2"/>
  <c r="J591" i="2" s="1"/>
  <c r="E590" i="2"/>
  <c r="F590" i="2"/>
  <c r="J590" i="2" s="1"/>
  <c r="E589" i="2"/>
  <c r="F589" i="2"/>
  <c r="J589" i="2" s="1"/>
  <c r="E588" i="2"/>
  <c r="F588" i="2"/>
  <c r="J588" i="2" s="1"/>
  <c r="E587" i="2"/>
  <c r="F587" i="2"/>
  <c r="J587" i="2" s="1"/>
  <c r="E586" i="2"/>
  <c r="F586" i="2"/>
  <c r="J586" i="2" s="1"/>
  <c r="E585" i="2"/>
  <c r="F585" i="2"/>
  <c r="J585" i="2" s="1"/>
  <c r="E584" i="2"/>
  <c r="F584" i="2"/>
  <c r="J584" i="2" s="1"/>
  <c r="E583" i="2"/>
  <c r="F583" i="2"/>
  <c r="J583" i="2" s="1"/>
  <c r="E582" i="2"/>
  <c r="F582" i="2"/>
  <c r="J582" i="2" s="1"/>
  <c r="E581" i="2"/>
  <c r="F581" i="2"/>
  <c r="J581" i="2" s="1"/>
  <c r="E580" i="2"/>
  <c r="F580" i="2"/>
  <c r="J580" i="2" s="1"/>
  <c r="E579" i="2"/>
  <c r="F579" i="2"/>
  <c r="J579" i="2" s="1"/>
  <c r="E578" i="2"/>
  <c r="F578" i="2"/>
  <c r="J578" i="2" s="1"/>
  <c r="E577" i="2"/>
  <c r="F577" i="2"/>
  <c r="J577" i="2" s="1"/>
  <c r="E576" i="2"/>
  <c r="F576" i="2"/>
  <c r="J576" i="2" s="1"/>
  <c r="E575" i="2"/>
  <c r="F575" i="2"/>
  <c r="J575" i="2" s="1"/>
  <c r="E574" i="2"/>
  <c r="F574" i="2"/>
  <c r="J574" i="2" s="1"/>
  <c r="E573" i="2"/>
  <c r="F573" i="2"/>
  <c r="J573" i="2" s="1"/>
  <c r="E572" i="2"/>
  <c r="F572" i="2"/>
  <c r="J572" i="2" s="1"/>
  <c r="E571" i="2"/>
  <c r="F571" i="2"/>
  <c r="J571" i="2" s="1"/>
  <c r="E570" i="2"/>
  <c r="F570" i="2"/>
  <c r="J570" i="2" s="1"/>
  <c r="E569" i="2"/>
  <c r="F569" i="2"/>
  <c r="J569" i="2" s="1"/>
  <c r="E568" i="2"/>
  <c r="F568" i="2"/>
  <c r="J568" i="2" s="1"/>
  <c r="E567" i="2"/>
  <c r="F567" i="2"/>
  <c r="J567" i="2" s="1"/>
  <c r="E566" i="2"/>
  <c r="F566" i="2"/>
  <c r="J566" i="2" s="1"/>
  <c r="E565" i="2"/>
  <c r="F565" i="2"/>
  <c r="J565" i="2" s="1"/>
  <c r="E564" i="2"/>
  <c r="F564" i="2"/>
  <c r="J564" i="2" s="1"/>
  <c r="E563" i="2"/>
  <c r="F563" i="2"/>
  <c r="J563" i="2" s="1"/>
  <c r="E562" i="2"/>
  <c r="F562" i="2"/>
  <c r="J562" i="2" s="1"/>
  <c r="E561" i="2"/>
  <c r="F561" i="2"/>
  <c r="J561" i="2" s="1"/>
  <c r="E560" i="2"/>
  <c r="F560" i="2"/>
  <c r="J560" i="2" s="1"/>
  <c r="E559" i="2"/>
  <c r="F559" i="2"/>
  <c r="J559" i="2" s="1"/>
  <c r="E558" i="2"/>
  <c r="F558" i="2"/>
  <c r="J558" i="2" s="1"/>
  <c r="E557" i="2"/>
  <c r="F557" i="2"/>
  <c r="J557" i="2" s="1"/>
  <c r="E556" i="2"/>
  <c r="F556" i="2"/>
  <c r="J556" i="2" s="1"/>
  <c r="E555" i="2"/>
  <c r="F555" i="2"/>
  <c r="J555" i="2" s="1"/>
  <c r="E554" i="2"/>
  <c r="F554" i="2"/>
  <c r="J554" i="2" s="1"/>
  <c r="E553" i="2"/>
  <c r="F553" i="2"/>
  <c r="J553" i="2" s="1"/>
  <c r="E552" i="2"/>
  <c r="F552" i="2"/>
  <c r="J552" i="2" s="1"/>
  <c r="E551" i="2"/>
  <c r="F551" i="2"/>
  <c r="J551" i="2" s="1"/>
  <c r="E550" i="2"/>
  <c r="F550" i="2"/>
  <c r="J550" i="2" s="1"/>
  <c r="E549" i="2"/>
  <c r="F549" i="2"/>
  <c r="J549" i="2" s="1"/>
  <c r="E548" i="2"/>
  <c r="F548" i="2"/>
  <c r="J548" i="2" s="1"/>
  <c r="E547" i="2"/>
  <c r="F547" i="2"/>
  <c r="J547" i="2" s="1"/>
  <c r="E546" i="2"/>
  <c r="F546" i="2"/>
  <c r="J546" i="2" s="1"/>
  <c r="E545" i="2"/>
  <c r="F545" i="2"/>
  <c r="J545" i="2" s="1"/>
  <c r="E544" i="2"/>
  <c r="F544" i="2"/>
  <c r="J544" i="2" s="1"/>
  <c r="E543" i="2"/>
  <c r="F543" i="2"/>
  <c r="J543" i="2" s="1"/>
  <c r="E542" i="2"/>
  <c r="F542" i="2"/>
  <c r="J542" i="2" s="1"/>
  <c r="E541" i="2"/>
  <c r="F541" i="2"/>
  <c r="J541" i="2" s="1"/>
  <c r="E540" i="2"/>
  <c r="F540" i="2"/>
  <c r="J540" i="2" s="1"/>
  <c r="E539" i="2"/>
  <c r="F539" i="2"/>
  <c r="J539" i="2" s="1"/>
  <c r="E538" i="2"/>
  <c r="F538" i="2"/>
  <c r="J538" i="2" s="1"/>
  <c r="E537" i="2"/>
  <c r="F537" i="2"/>
  <c r="J537" i="2" s="1"/>
  <c r="E536" i="2"/>
  <c r="F536" i="2"/>
  <c r="J536" i="2" s="1"/>
  <c r="E535" i="2"/>
  <c r="F535" i="2"/>
  <c r="J535" i="2" s="1"/>
  <c r="E534" i="2"/>
  <c r="F534" i="2"/>
  <c r="J534" i="2" s="1"/>
  <c r="E533" i="2"/>
  <c r="F533" i="2"/>
  <c r="J533" i="2" s="1"/>
  <c r="E532" i="2"/>
  <c r="F532" i="2"/>
  <c r="J532" i="2" s="1"/>
  <c r="E531" i="2"/>
  <c r="F531" i="2"/>
  <c r="J531" i="2" s="1"/>
  <c r="E530" i="2"/>
  <c r="F530" i="2"/>
  <c r="J530" i="2" s="1"/>
  <c r="E529" i="2"/>
  <c r="F529" i="2"/>
  <c r="J529" i="2" s="1"/>
  <c r="E528" i="2"/>
  <c r="F528" i="2"/>
  <c r="J528" i="2" s="1"/>
  <c r="E527" i="2"/>
  <c r="F527" i="2"/>
  <c r="J527" i="2" s="1"/>
  <c r="E526" i="2"/>
  <c r="F526" i="2"/>
  <c r="J526" i="2" s="1"/>
  <c r="E525" i="2"/>
  <c r="F525" i="2"/>
  <c r="J525" i="2" s="1"/>
  <c r="E524" i="2"/>
  <c r="F524" i="2"/>
  <c r="J524" i="2" s="1"/>
  <c r="E523" i="2"/>
  <c r="F523" i="2"/>
  <c r="J523" i="2" s="1"/>
  <c r="E522" i="2"/>
  <c r="F522" i="2"/>
  <c r="J522" i="2" s="1"/>
  <c r="E521" i="2"/>
  <c r="F521" i="2"/>
  <c r="J521" i="2" s="1"/>
  <c r="E520" i="2"/>
  <c r="F520" i="2"/>
  <c r="J520" i="2" s="1"/>
  <c r="E519" i="2"/>
  <c r="F519" i="2"/>
  <c r="J519" i="2" s="1"/>
  <c r="E518" i="2"/>
  <c r="F518" i="2"/>
  <c r="J518" i="2" s="1"/>
  <c r="E517" i="2"/>
  <c r="F517" i="2"/>
  <c r="J517" i="2" s="1"/>
  <c r="E516" i="2"/>
  <c r="F516" i="2"/>
  <c r="J516" i="2" s="1"/>
  <c r="E515" i="2"/>
  <c r="F515" i="2"/>
  <c r="J515" i="2" s="1"/>
  <c r="E514" i="2"/>
  <c r="F514" i="2"/>
  <c r="J514" i="2" s="1"/>
  <c r="E513" i="2"/>
  <c r="F513" i="2"/>
  <c r="J513" i="2" s="1"/>
  <c r="E512" i="2"/>
  <c r="F512" i="2"/>
  <c r="J512" i="2" s="1"/>
  <c r="E511" i="2"/>
  <c r="F511" i="2"/>
  <c r="J511" i="2" s="1"/>
  <c r="E510" i="2"/>
  <c r="F510" i="2"/>
  <c r="J510" i="2" s="1"/>
  <c r="E509" i="2"/>
  <c r="F509" i="2"/>
  <c r="J509" i="2" s="1"/>
  <c r="E508" i="2"/>
  <c r="F508" i="2"/>
  <c r="J508" i="2" s="1"/>
  <c r="E507" i="2"/>
  <c r="F507" i="2"/>
  <c r="J507" i="2" s="1"/>
  <c r="E506" i="2"/>
  <c r="F506" i="2"/>
  <c r="J506" i="2" s="1"/>
  <c r="E505" i="2"/>
  <c r="F505" i="2"/>
  <c r="J505" i="2" s="1"/>
  <c r="E504" i="2"/>
  <c r="F504" i="2"/>
  <c r="J504" i="2" s="1"/>
  <c r="E503" i="2"/>
  <c r="F503" i="2"/>
  <c r="J503" i="2" s="1"/>
  <c r="E502" i="2"/>
  <c r="F502" i="2"/>
  <c r="J502" i="2" s="1"/>
  <c r="E501" i="2"/>
  <c r="F501" i="2"/>
  <c r="J501" i="2" s="1"/>
  <c r="F500" i="2"/>
  <c r="J500" i="2" s="1"/>
  <c r="E500" i="2"/>
  <c r="E499" i="2"/>
  <c r="F499" i="2"/>
  <c r="J499" i="2" s="1"/>
  <c r="E498" i="2"/>
  <c r="F498" i="2"/>
  <c r="J498" i="2" s="1"/>
  <c r="E497" i="2"/>
  <c r="F497" i="2"/>
  <c r="J497" i="2" s="1"/>
  <c r="E496" i="2"/>
  <c r="F496" i="2"/>
  <c r="J496" i="2" s="1"/>
  <c r="E495" i="2"/>
  <c r="F495" i="2"/>
  <c r="J495" i="2" s="1"/>
  <c r="E494" i="2"/>
  <c r="F494" i="2"/>
  <c r="J494" i="2" s="1"/>
  <c r="E493" i="2"/>
  <c r="F493" i="2"/>
  <c r="J493" i="2" s="1"/>
  <c r="E492" i="2"/>
  <c r="F492" i="2"/>
  <c r="J492" i="2" s="1"/>
  <c r="E491" i="2"/>
  <c r="F491" i="2"/>
  <c r="J491" i="2" s="1"/>
  <c r="E490" i="2"/>
  <c r="F490" i="2"/>
  <c r="J490" i="2" s="1"/>
  <c r="E489" i="2"/>
  <c r="F489" i="2"/>
  <c r="J489" i="2" s="1"/>
  <c r="E488" i="2"/>
  <c r="F488" i="2"/>
  <c r="J488" i="2" s="1"/>
  <c r="E487" i="2"/>
  <c r="F487" i="2"/>
  <c r="J487" i="2" s="1"/>
  <c r="E486" i="2"/>
  <c r="F486" i="2"/>
  <c r="J486" i="2" s="1"/>
  <c r="E485" i="2"/>
  <c r="F485" i="2"/>
  <c r="J485" i="2" s="1"/>
  <c r="E484" i="2"/>
  <c r="F484" i="2"/>
  <c r="J484" i="2" s="1"/>
  <c r="E483" i="2"/>
  <c r="F483" i="2"/>
  <c r="J483" i="2" s="1"/>
  <c r="E482" i="2"/>
  <c r="F482" i="2"/>
  <c r="J482" i="2" s="1"/>
  <c r="E481" i="2"/>
  <c r="F481" i="2"/>
  <c r="J481" i="2" s="1"/>
  <c r="E480" i="2"/>
  <c r="F480" i="2"/>
  <c r="J480" i="2" s="1"/>
  <c r="E479" i="2"/>
  <c r="F479" i="2"/>
  <c r="J479" i="2" s="1"/>
  <c r="E478" i="2"/>
  <c r="F478" i="2"/>
  <c r="J478" i="2" s="1"/>
  <c r="E477" i="2"/>
  <c r="F477" i="2"/>
  <c r="J477" i="2" s="1"/>
  <c r="E476" i="2"/>
  <c r="F476" i="2"/>
  <c r="J476" i="2" s="1"/>
  <c r="E475" i="2"/>
  <c r="F475" i="2"/>
  <c r="J475" i="2" s="1"/>
  <c r="E474" i="2"/>
  <c r="F474" i="2"/>
  <c r="J474" i="2" s="1"/>
  <c r="E473" i="2"/>
  <c r="F473" i="2"/>
  <c r="J473" i="2" s="1"/>
  <c r="E472" i="2"/>
  <c r="F472" i="2"/>
  <c r="J472" i="2" s="1"/>
  <c r="E471" i="2"/>
  <c r="F471" i="2"/>
  <c r="J471" i="2" s="1"/>
  <c r="F470" i="2"/>
  <c r="J470" i="2" s="1"/>
  <c r="E470" i="2"/>
  <c r="F469" i="2"/>
  <c r="J469" i="2" s="1"/>
  <c r="E469" i="2"/>
  <c r="E468" i="2"/>
  <c r="F468" i="2"/>
  <c r="J468" i="2" s="1"/>
  <c r="E467" i="2"/>
  <c r="F467" i="2"/>
  <c r="J467" i="2" s="1"/>
  <c r="F466" i="2"/>
  <c r="J466" i="2" s="1"/>
  <c r="E466" i="2"/>
  <c r="F465" i="2"/>
  <c r="J465" i="2" s="1"/>
  <c r="E465" i="2"/>
  <c r="E464" i="2"/>
  <c r="F464" i="2"/>
  <c r="J464" i="2" s="1"/>
  <c r="F463" i="2"/>
  <c r="J463" i="2" s="1"/>
  <c r="E463" i="2"/>
  <c r="F462" i="2"/>
  <c r="J462" i="2" s="1"/>
  <c r="E462" i="2"/>
  <c r="E461" i="2"/>
  <c r="F461" i="2"/>
  <c r="J461" i="2" s="1"/>
  <c r="E460" i="2"/>
  <c r="F460" i="2"/>
  <c r="J460" i="2" s="1"/>
  <c r="E459" i="2"/>
  <c r="F459" i="2"/>
  <c r="J459" i="2" s="1"/>
  <c r="F458" i="2"/>
  <c r="J458" i="2" s="1"/>
  <c r="E458" i="2"/>
  <c r="F457" i="2"/>
  <c r="J457" i="2" s="1"/>
  <c r="E457" i="2"/>
  <c r="F456" i="2"/>
  <c r="J456" i="2" s="1"/>
  <c r="E456" i="2"/>
  <c r="E455" i="2"/>
  <c r="F455" i="2"/>
  <c r="J455" i="2" s="1"/>
  <c r="F454" i="2"/>
  <c r="J454" i="2" s="1"/>
  <c r="E454" i="2"/>
  <c r="E453" i="2"/>
  <c r="F453" i="2"/>
  <c r="J453" i="2" s="1"/>
  <c r="F452" i="2"/>
  <c r="J452" i="2" s="1"/>
  <c r="E452" i="2"/>
  <c r="F451" i="2"/>
  <c r="J451" i="2" s="1"/>
  <c r="E451" i="2"/>
  <c r="E450" i="2"/>
  <c r="F450" i="2"/>
  <c r="J450" i="2" s="1"/>
  <c r="F449" i="2"/>
  <c r="J449" i="2" s="1"/>
  <c r="E449" i="2"/>
  <c r="F448" i="2"/>
  <c r="J448" i="2" s="1"/>
  <c r="E448" i="2"/>
  <c r="E447" i="2"/>
  <c r="F447" i="2"/>
  <c r="J447" i="2" s="1"/>
  <c r="F446" i="2"/>
  <c r="J446" i="2" s="1"/>
  <c r="E446" i="2"/>
  <c r="F445" i="2"/>
  <c r="J445" i="2" s="1"/>
  <c r="E445" i="2"/>
  <c r="E444" i="2"/>
  <c r="F444" i="2"/>
  <c r="J444" i="2" s="1"/>
  <c r="E443" i="2"/>
  <c r="F443" i="2"/>
  <c r="J443" i="2" s="1"/>
  <c r="E442" i="2"/>
  <c r="F442" i="2"/>
  <c r="J442" i="2" s="1"/>
  <c r="F441" i="2"/>
  <c r="J441" i="2" s="1"/>
  <c r="E441" i="2"/>
  <c r="F440" i="2"/>
  <c r="J440" i="2" s="1"/>
  <c r="E440" i="2"/>
  <c r="E439" i="2"/>
  <c r="F439" i="2"/>
  <c r="J439" i="2" s="1"/>
  <c r="F438" i="2"/>
  <c r="J438" i="2" s="1"/>
  <c r="E438" i="2"/>
  <c r="E437" i="2"/>
  <c r="F437" i="2"/>
  <c r="J437" i="2" s="1"/>
  <c r="F436" i="2"/>
  <c r="J436" i="2" s="1"/>
  <c r="E436" i="2"/>
  <c r="E435" i="2"/>
  <c r="F435" i="2"/>
  <c r="J435" i="2" s="1"/>
  <c r="F434" i="2"/>
  <c r="J434" i="2" s="1"/>
  <c r="E434" i="2"/>
  <c r="E433" i="2"/>
  <c r="F433" i="2"/>
  <c r="J433" i="2" s="1"/>
  <c r="F432" i="2"/>
  <c r="J432" i="2" s="1"/>
  <c r="E432" i="2"/>
  <c r="E431" i="2"/>
  <c r="F431" i="2"/>
  <c r="J431" i="2" s="1"/>
  <c r="E430" i="2"/>
  <c r="F430" i="2"/>
  <c r="J430" i="2" s="1"/>
  <c r="F429" i="2"/>
  <c r="J429" i="2" s="1"/>
  <c r="E429" i="2"/>
  <c r="E428" i="2"/>
  <c r="F428" i="2"/>
  <c r="J428" i="2" s="1"/>
  <c r="F427" i="2"/>
  <c r="J427" i="2" s="1"/>
  <c r="E427" i="2"/>
  <c r="E426" i="2"/>
  <c r="F426" i="2"/>
  <c r="J426" i="2" s="1"/>
  <c r="F425" i="2"/>
  <c r="J425" i="2" s="1"/>
  <c r="E425" i="2"/>
  <c r="F424" i="2"/>
  <c r="J424" i="2" s="1"/>
  <c r="E424" i="2"/>
  <c r="E423" i="2"/>
  <c r="F423" i="2"/>
  <c r="J423" i="2" s="1"/>
  <c r="F422" i="2"/>
  <c r="J422" i="2" s="1"/>
  <c r="E422" i="2"/>
  <c r="E421" i="2"/>
  <c r="F421" i="2"/>
  <c r="J421" i="2" s="1"/>
  <c r="E420" i="2"/>
  <c r="F420" i="2"/>
  <c r="J420" i="2" s="1"/>
  <c r="F419" i="2"/>
  <c r="J419" i="2" s="1"/>
  <c r="E419" i="2"/>
  <c r="F418" i="2"/>
  <c r="J418" i="2" s="1"/>
  <c r="E418" i="2"/>
  <c r="F417" i="2"/>
  <c r="J417" i="2" s="1"/>
  <c r="E417" i="2"/>
  <c r="F416" i="2"/>
  <c r="J416" i="2" s="1"/>
  <c r="E416" i="2"/>
  <c r="F415" i="2"/>
  <c r="J415" i="2" s="1"/>
  <c r="E415" i="2"/>
  <c r="E414" i="2"/>
  <c r="F414" i="2"/>
  <c r="J414" i="2" s="1"/>
  <c r="E413" i="2"/>
  <c r="F413" i="2"/>
  <c r="J413" i="2" s="1"/>
  <c r="E412" i="2"/>
  <c r="F412" i="2"/>
  <c r="J412" i="2" s="1"/>
  <c r="F411" i="2"/>
  <c r="J411" i="2" s="1"/>
  <c r="E411" i="2"/>
  <c r="F410" i="2"/>
  <c r="J410" i="2" s="1"/>
  <c r="E410" i="2"/>
  <c r="F409" i="2"/>
  <c r="J409" i="2" s="1"/>
  <c r="E409" i="2"/>
  <c r="E408" i="2"/>
  <c r="F408" i="2"/>
  <c r="J408" i="2" s="1"/>
  <c r="E407" i="2"/>
  <c r="F407" i="2"/>
  <c r="J407" i="2" s="1"/>
  <c r="F406" i="2"/>
  <c r="J406" i="2" s="1"/>
  <c r="E406" i="2"/>
  <c r="F405" i="2"/>
  <c r="J405" i="2" s="1"/>
  <c r="E405" i="2"/>
  <c r="F404" i="2"/>
  <c r="J404" i="2" s="1"/>
  <c r="E404" i="2"/>
  <c r="F403" i="2"/>
  <c r="J403" i="2" s="1"/>
  <c r="E403" i="2"/>
  <c r="F402" i="2"/>
  <c r="J402" i="2" s="1"/>
  <c r="E402" i="2"/>
  <c r="E401" i="2"/>
  <c r="F401" i="2"/>
  <c r="J401" i="2" s="1"/>
  <c r="E400" i="2"/>
  <c r="F400" i="2"/>
  <c r="J400" i="2" s="1"/>
  <c r="F399" i="2"/>
  <c r="J399" i="2" s="1"/>
  <c r="E399" i="2"/>
  <c r="F398" i="2"/>
  <c r="J398" i="2" s="1"/>
  <c r="E398" i="2"/>
  <c r="F397" i="2"/>
  <c r="J397" i="2" s="1"/>
  <c r="E397" i="2"/>
  <c r="E396" i="2"/>
  <c r="F396" i="2"/>
  <c r="J396" i="2" s="1"/>
  <c r="E395" i="2"/>
  <c r="F395" i="2"/>
  <c r="J395" i="2" s="1"/>
  <c r="E394" i="2"/>
  <c r="F394" i="2"/>
  <c r="J394" i="2" s="1"/>
  <c r="F393" i="2"/>
  <c r="J393" i="2" s="1"/>
  <c r="E393" i="2"/>
  <c r="F392" i="2"/>
  <c r="J392" i="2" s="1"/>
  <c r="E392" i="2"/>
  <c r="F391" i="2"/>
  <c r="J391" i="2" s="1"/>
  <c r="E391" i="2"/>
  <c r="E390" i="2"/>
  <c r="F390" i="2"/>
  <c r="J390" i="2" s="1"/>
  <c r="E389" i="2"/>
  <c r="F389" i="2"/>
  <c r="J389" i="2" s="1"/>
  <c r="F388" i="2"/>
  <c r="J388" i="2" s="1"/>
  <c r="E388" i="2"/>
  <c r="F387" i="2"/>
  <c r="J387" i="2" s="1"/>
  <c r="E387" i="2"/>
  <c r="F386" i="2"/>
  <c r="J386" i="2" s="1"/>
  <c r="E386" i="2"/>
  <c r="F385" i="2"/>
  <c r="J385" i="2" s="1"/>
  <c r="E385" i="2"/>
  <c r="F384" i="2"/>
  <c r="J384" i="2" s="1"/>
  <c r="E384" i="2"/>
  <c r="E383" i="2"/>
  <c r="F383" i="2"/>
  <c r="J383" i="2" s="1"/>
  <c r="F382" i="2"/>
  <c r="J382" i="2" s="1"/>
  <c r="E382" i="2"/>
  <c r="F381" i="2"/>
  <c r="J381" i="2" s="1"/>
  <c r="E381" i="2"/>
  <c r="E380" i="2"/>
  <c r="F380" i="2"/>
  <c r="J380" i="2" s="1"/>
  <c r="E379" i="2"/>
  <c r="F379" i="2"/>
  <c r="J379" i="2" s="1"/>
  <c r="E378" i="2"/>
  <c r="F378" i="2"/>
  <c r="J378" i="2" s="1"/>
  <c r="E377" i="2"/>
  <c r="F377" i="2"/>
  <c r="J377" i="2" s="1"/>
  <c r="F376" i="2"/>
  <c r="J376" i="2" s="1"/>
  <c r="E376" i="2"/>
  <c r="E375" i="2"/>
  <c r="F375" i="2"/>
  <c r="J375" i="2" s="1"/>
  <c r="E374" i="2"/>
  <c r="F374" i="2"/>
  <c r="J374" i="2" s="1"/>
  <c r="F373" i="2"/>
  <c r="J373" i="2" s="1"/>
  <c r="E373" i="2"/>
  <c r="F372" i="2"/>
  <c r="J372" i="2" s="1"/>
  <c r="E372" i="2"/>
  <c r="E371" i="2"/>
  <c r="F371" i="2"/>
  <c r="J371" i="2" s="1"/>
  <c r="E370" i="2"/>
  <c r="F370" i="2"/>
  <c r="J370" i="2" s="1"/>
  <c r="E369" i="2"/>
  <c r="F369" i="2"/>
  <c r="J369" i="2" s="1"/>
  <c r="E368" i="2"/>
  <c r="F368" i="2"/>
  <c r="J368" i="2" s="1"/>
  <c r="E367" i="2"/>
  <c r="F367" i="2"/>
  <c r="J367" i="2" s="1"/>
  <c r="E366" i="2"/>
  <c r="F366" i="2"/>
  <c r="J366" i="2" s="1"/>
  <c r="E365" i="2"/>
  <c r="F365" i="2"/>
  <c r="J365" i="2" s="1"/>
  <c r="E364" i="2"/>
  <c r="F364" i="2"/>
  <c r="J364" i="2" s="1"/>
  <c r="E363" i="2"/>
  <c r="F363" i="2"/>
  <c r="J363" i="2" s="1"/>
  <c r="E362" i="2"/>
  <c r="F362" i="2"/>
  <c r="J362" i="2" s="1"/>
  <c r="E361" i="2"/>
  <c r="F361" i="2"/>
  <c r="J361" i="2" s="1"/>
  <c r="E360" i="2"/>
  <c r="F360" i="2"/>
  <c r="J360" i="2" s="1"/>
  <c r="E359" i="2"/>
  <c r="F359" i="2"/>
  <c r="J359" i="2" s="1"/>
  <c r="E358" i="2"/>
  <c r="F358" i="2"/>
  <c r="J358" i="2" s="1"/>
  <c r="E357" i="2"/>
  <c r="F357" i="2"/>
  <c r="J357" i="2" s="1"/>
  <c r="E356" i="2"/>
  <c r="F356" i="2"/>
  <c r="J356" i="2" s="1"/>
  <c r="E355" i="2"/>
  <c r="F355" i="2"/>
  <c r="J355" i="2" s="1"/>
  <c r="E354" i="2"/>
  <c r="F354" i="2"/>
  <c r="J354" i="2" s="1"/>
  <c r="E353" i="2"/>
  <c r="F353" i="2"/>
  <c r="J353" i="2" s="1"/>
  <c r="E352" i="2"/>
  <c r="F352" i="2"/>
  <c r="J352" i="2" s="1"/>
  <c r="E351" i="2"/>
  <c r="F351" i="2"/>
  <c r="J351" i="2" s="1"/>
  <c r="E350" i="2"/>
  <c r="F350" i="2"/>
  <c r="J350" i="2" s="1"/>
  <c r="E349" i="2"/>
  <c r="F349" i="2"/>
  <c r="J349" i="2" s="1"/>
  <c r="E348" i="2"/>
  <c r="F348" i="2"/>
  <c r="J348" i="2" s="1"/>
  <c r="E347" i="2"/>
  <c r="F347" i="2"/>
  <c r="J347" i="2" s="1"/>
  <c r="E346" i="2"/>
  <c r="F346" i="2"/>
  <c r="J346" i="2" s="1"/>
  <c r="E345" i="2"/>
  <c r="F345" i="2"/>
  <c r="J345" i="2" s="1"/>
  <c r="E344" i="2"/>
  <c r="F344" i="2"/>
  <c r="J344" i="2" s="1"/>
  <c r="E343" i="2"/>
  <c r="F343" i="2"/>
  <c r="J343" i="2" s="1"/>
  <c r="E342" i="2"/>
  <c r="F342" i="2"/>
  <c r="J342" i="2" s="1"/>
  <c r="E341" i="2"/>
  <c r="F341" i="2"/>
  <c r="J341" i="2" s="1"/>
  <c r="E340" i="2"/>
  <c r="F340" i="2"/>
  <c r="J340" i="2" s="1"/>
  <c r="E339" i="2"/>
  <c r="F339" i="2"/>
  <c r="J339" i="2" s="1"/>
  <c r="E338" i="2"/>
  <c r="F338" i="2"/>
  <c r="J338" i="2" s="1"/>
  <c r="E337" i="2"/>
  <c r="F337" i="2"/>
  <c r="J337" i="2" s="1"/>
  <c r="E336" i="2"/>
  <c r="F336" i="2"/>
  <c r="J336" i="2" s="1"/>
  <c r="E335" i="2"/>
  <c r="F335" i="2"/>
  <c r="J335" i="2" s="1"/>
  <c r="E334" i="2"/>
  <c r="F334" i="2"/>
  <c r="J334" i="2" s="1"/>
  <c r="E333" i="2"/>
  <c r="F333" i="2"/>
  <c r="J333" i="2" s="1"/>
  <c r="E332" i="2"/>
  <c r="F332" i="2"/>
  <c r="J332" i="2" s="1"/>
  <c r="E331" i="2"/>
  <c r="F331" i="2"/>
  <c r="J331" i="2" s="1"/>
  <c r="E330" i="2"/>
  <c r="F330" i="2"/>
  <c r="J330" i="2" s="1"/>
  <c r="E329" i="2"/>
  <c r="F329" i="2"/>
  <c r="J329" i="2" s="1"/>
  <c r="E328" i="2"/>
  <c r="F328" i="2"/>
  <c r="J328" i="2" s="1"/>
  <c r="E327" i="2"/>
  <c r="F327" i="2"/>
  <c r="J327" i="2" s="1"/>
  <c r="E326" i="2"/>
  <c r="F326" i="2"/>
  <c r="J326" i="2" s="1"/>
  <c r="E325" i="2"/>
  <c r="F325" i="2"/>
  <c r="J325" i="2" s="1"/>
  <c r="E324" i="2"/>
  <c r="F324" i="2"/>
  <c r="J324" i="2" s="1"/>
  <c r="E323" i="2"/>
  <c r="F323" i="2"/>
  <c r="J323" i="2" s="1"/>
  <c r="E322" i="2"/>
  <c r="F322" i="2"/>
  <c r="J322" i="2" s="1"/>
  <c r="F321" i="2"/>
  <c r="J321" i="2" s="1"/>
  <c r="E321" i="2"/>
  <c r="F320" i="2"/>
  <c r="J320" i="2" s="1"/>
  <c r="E320" i="2"/>
  <c r="E319" i="2"/>
  <c r="F319" i="2"/>
  <c r="J319" i="2" s="1"/>
  <c r="E318" i="2"/>
  <c r="F318" i="2"/>
  <c r="J318" i="2" s="1"/>
  <c r="F317" i="2"/>
  <c r="J317" i="2" s="1"/>
  <c r="E317" i="2"/>
  <c r="F316" i="2"/>
  <c r="J316" i="2" s="1"/>
  <c r="E316" i="2"/>
  <c r="E315" i="2"/>
  <c r="F315" i="2"/>
  <c r="J315" i="2" s="1"/>
  <c r="F314" i="2"/>
  <c r="J314" i="2" s="1"/>
  <c r="E314" i="2"/>
  <c r="F313" i="2"/>
  <c r="J313" i="2" s="1"/>
  <c r="E313" i="2"/>
  <c r="F312" i="2"/>
  <c r="J312" i="2" s="1"/>
  <c r="E312" i="2"/>
  <c r="E311" i="2"/>
  <c r="F311" i="2"/>
  <c r="J311" i="2" s="1"/>
  <c r="F310" i="2"/>
  <c r="J310" i="2" s="1"/>
  <c r="E310" i="2"/>
  <c r="F309" i="2"/>
  <c r="J309" i="2" s="1"/>
  <c r="E309" i="2"/>
  <c r="E308" i="2"/>
  <c r="F308" i="2"/>
  <c r="J308" i="2" s="1"/>
  <c r="E307" i="2"/>
  <c r="F307" i="2"/>
  <c r="J307" i="2" s="1"/>
  <c r="E306" i="2"/>
  <c r="F306" i="2"/>
  <c r="J306" i="2" s="1"/>
  <c r="E305" i="2"/>
  <c r="F305" i="2"/>
  <c r="J305" i="2" s="1"/>
  <c r="F304" i="2"/>
  <c r="J304" i="2" s="1"/>
  <c r="E304" i="2"/>
  <c r="E303" i="2"/>
  <c r="F303" i="2"/>
  <c r="J303" i="2" s="1"/>
  <c r="E302" i="2"/>
  <c r="F302" i="2"/>
  <c r="J302" i="2" s="1"/>
  <c r="E301" i="2"/>
  <c r="F301" i="2"/>
  <c r="J301" i="2" s="1"/>
  <c r="E300" i="2"/>
  <c r="F300" i="2"/>
  <c r="J300" i="2" s="1"/>
  <c r="E299" i="2"/>
  <c r="F299" i="2"/>
  <c r="J299" i="2" s="1"/>
  <c r="F298" i="2"/>
  <c r="J298" i="2" s="1"/>
  <c r="E298" i="2"/>
  <c r="F297" i="2"/>
  <c r="J297" i="2" s="1"/>
  <c r="E297" i="2"/>
  <c r="E296" i="2"/>
  <c r="F296" i="2"/>
  <c r="J296" i="2" s="1"/>
  <c r="E295" i="2"/>
  <c r="F295" i="2"/>
  <c r="J295" i="2" s="1"/>
  <c r="F294" i="2"/>
  <c r="J294" i="2" s="1"/>
  <c r="E294" i="2"/>
  <c r="F293" i="2"/>
  <c r="J293" i="2" s="1"/>
  <c r="E293" i="2"/>
  <c r="F292" i="2"/>
  <c r="J292" i="2" s="1"/>
  <c r="E292" i="2"/>
  <c r="E291" i="2"/>
  <c r="F291" i="2"/>
  <c r="J291" i="2" s="1"/>
  <c r="F290" i="2"/>
  <c r="J290" i="2" s="1"/>
  <c r="E290" i="2"/>
  <c r="E289" i="2"/>
  <c r="F289" i="2"/>
  <c r="J289" i="2" s="1"/>
  <c r="F288" i="2"/>
  <c r="J288" i="2" s="1"/>
  <c r="E288" i="2"/>
  <c r="E287" i="2"/>
  <c r="F287" i="2"/>
  <c r="J287" i="2" s="1"/>
  <c r="E286" i="2"/>
  <c r="F286" i="2"/>
  <c r="J286" i="2" s="1"/>
  <c r="E285" i="2"/>
  <c r="F285" i="2"/>
  <c r="J285" i="2" s="1"/>
  <c r="E284" i="2"/>
  <c r="F284" i="2"/>
  <c r="J284" i="2" s="1"/>
  <c r="E283" i="2"/>
  <c r="F283" i="2"/>
  <c r="J283" i="2" s="1"/>
  <c r="F282" i="2"/>
  <c r="J282" i="2" s="1"/>
  <c r="E282" i="2"/>
  <c r="F281" i="2"/>
  <c r="J281" i="2" s="1"/>
  <c r="E281" i="2"/>
  <c r="F280" i="2"/>
  <c r="J280" i="2" s="1"/>
  <c r="E280" i="2"/>
  <c r="E279" i="2"/>
  <c r="F279" i="2"/>
  <c r="J279" i="2" s="1"/>
  <c r="F278" i="2"/>
  <c r="J278" i="2" s="1"/>
  <c r="E278" i="2"/>
  <c r="F277" i="2"/>
  <c r="J277" i="2" s="1"/>
  <c r="E277" i="2"/>
  <c r="E276" i="2"/>
  <c r="F276" i="2"/>
  <c r="J276" i="2" s="1"/>
  <c r="E275" i="2"/>
  <c r="F275" i="2"/>
  <c r="J275" i="2" s="1"/>
  <c r="F274" i="2"/>
  <c r="J274" i="2" s="1"/>
  <c r="E274" i="2"/>
  <c r="E273" i="2"/>
  <c r="F273" i="2"/>
  <c r="J273" i="2" s="1"/>
  <c r="E272" i="2"/>
  <c r="F272" i="2"/>
  <c r="J272" i="2" s="1"/>
  <c r="E271" i="2"/>
  <c r="F271" i="2"/>
  <c r="J271" i="2" s="1"/>
  <c r="F270" i="2"/>
  <c r="J270" i="2" s="1"/>
  <c r="E270" i="2"/>
  <c r="F269" i="2"/>
  <c r="J269" i="2" s="1"/>
  <c r="E269" i="2"/>
  <c r="F268" i="2"/>
  <c r="J268" i="2" s="1"/>
  <c r="E268" i="2"/>
  <c r="E267" i="2"/>
  <c r="F267" i="2"/>
  <c r="J267" i="2" s="1"/>
  <c r="E266" i="2"/>
  <c r="F266" i="2"/>
  <c r="J266" i="2" s="1"/>
  <c r="E265" i="2"/>
  <c r="F265" i="2"/>
  <c r="J265" i="2" s="1"/>
  <c r="F264" i="2"/>
  <c r="J264" i="2" s="1"/>
  <c r="E264" i="2"/>
  <c r="E263" i="2"/>
  <c r="F263" i="2"/>
  <c r="J263" i="2" s="1"/>
  <c r="E262" i="2"/>
  <c r="F262" i="2"/>
  <c r="J262" i="2" s="1"/>
  <c r="E261" i="2"/>
  <c r="F261" i="2"/>
  <c r="J261" i="2" s="1"/>
  <c r="F260" i="2"/>
  <c r="J260" i="2" s="1"/>
  <c r="E260" i="2"/>
  <c r="F259" i="2"/>
  <c r="J259" i="2" s="1"/>
  <c r="E259" i="2"/>
  <c r="E258" i="2"/>
  <c r="F258" i="2"/>
  <c r="J258" i="2" s="1"/>
  <c r="E257" i="2"/>
  <c r="F257" i="2"/>
  <c r="J257" i="2" s="1"/>
  <c r="F256" i="2"/>
  <c r="J256" i="2" s="1"/>
  <c r="E256" i="2"/>
  <c r="F255" i="2"/>
  <c r="J255" i="2" s="1"/>
  <c r="E255" i="2"/>
  <c r="E254" i="2"/>
  <c r="F254" i="2"/>
  <c r="J254" i="2" s="1"/>
  <c r="E253" i="2"/>
  <c r="F253" i="2"/>
  <c r="J253" i="2" s="1"/>
  <c r="F252" i="2"/>
  <c r="J252" i="2" s="1"/>
  <c r="E252" i="2"/>
  <c r="F251" i="2"/>
  <c r="J251" i="2" s="1"/>
  <c r="E251" i="2"/>
  <c r="F250" i="2"/>
  <c r="J250" i="2" s="1"/>
  <c r="E250" i="2"/>
  <c r="F249" i="2"/>
  <c r="J249" i="2" s="1"/>
  <c r="E249" i="2"/>
  <c r="E248" i="2"/>
  <c r="F248" i="2"/>
  <c r="J248" i="2" s="1"/>
  <c r="E247" i="2"/>
  <c r="F247" i="2"/>
  <c r="J247" i="2" s="1"/>
  <c r="F246" i="2"/>
  <c r="J246" i="2" s="1"/>
  <c r="E246" i="2"/>
  <c r="F245" i="2"/>
  <c r="J245" i="2" s="1"/>
  <c r="E245" i="2"/>
  <c r="F244" i="2"/>
  <c r="J244" i="2" s="1"/>
  <c r="E244" i="2"/>
  <c r="F243" i="2"/>
  <c r="J243" i="2" s="1"/>
  <c r="E243" i="2"/>
  <c r="E242" i="2"/>
  <c r="F242" i="2"/>
  <c r="J242" i="2" s="1"/>
  <c r="F241" i="2"/>
  <c r="J241" i="2" s="1"/>
  <c r="E241" i="2"/>
  <c r="F240" i="2"/>
  <c r="J240" i="2" s="1"/>
  <c r="E240" i="2"/>
  <c r="F239" i="2"/>
  <c r="J239" i="2" s="1"/>
  <c r="E239" i="2"/>
  <c r="E238" i="2"/>
  <c r="F238" i="2"/>
  <c r="J238" i="2" s="1"/>
  <c r="F237" i="2"/>
  <c r="J237" i="2" s="1"/>
  <c r="E237" i="2"/>
  <c r="F236" i="2"/>
  <c r="J236" i="2" s="1"/>
  <c r="E236" i="2"/>
  <c r="E235" i="2"/>
  <c r="F235" i="2"/>
  <c r="J235" i="2" s="1"/>
  <c r="F234" i="2"/>
  <c r="J234" i="2" s="1"/>
  <c r="E234" i="2"/>
  <c r="F233" i="2"/>
  <c r="J233" i="2" s="1"/>
  <c r="E233" i="2"/>
  <c r="F232" i="2"/>
  <c r="J232" i="2" s="1"/>
  <c r="E232" i="2"/>
  <c r="E231" i="2"/>
  <c r="F231" i="2"/>
  <c r="J231" i="2" s="1"/>
  <c r="F230" i="2"/>
  <c r="J230" i="2" s="1"/>
  <c r="E230" i="2"/>
  <c r="F229" i="2"/>
  <c r="J229" i="2" s="1"/>
  <c r="E229" i="2"/>
  <c r="F228" i="2"/>
  <c r="J228" i="2" s="1"/>
  <c r="E228" i="2"/>
  <c r="F227" i="2"/>
  <c r="J227" i="2" s="1"/>
  <c r="E227" i="2"/>
  <c r="F226" i="2"/>
  <c r="J226" i="2" s="1"/>
  <c r="E226" i="2"/>
  <c r="E225" i="2"/>
  <c r="F225" i="2"/>
  <c r="J225" i="2" s="1"/>
  <c r="E224" i="2"/>
  <c r="F224" i="2"/>
  <c r="J224" i="2" s="1"/>
  <c r="F223" i="2"/>
  <c r="J223" i="2" s="1"/>
  <c r="E223" i="2"/>
  <c r="E222" i="2"/>
  <c r="F222" i="2"/>
  <c r="J222" i="2" s="1"/>
  <c r="F221" i="2"/>
  <c r="J221" i="2" s="1"/>
  <c r="E221" i="2"/>
  <c r="F220" i="2"/>
  <c r="J220" i="2" s="1"/>
  <c r="E220" i="2"/>
  <c r="E219" i="2"/>
  <c r="F219" i="2"/>
  <c r="J219" i="2" s="1"/>
  <c r="F218" i="2"/>
  <c r="J218" i="2" s="1"/>
  <c r="E218" i="2"/>
  <c r="F217" i="2"/>
  <c r="J217" i="2" s="1"/>
  <c r="E217" i="2"/>
  <c r="E216" i="2"/>
  <c r="F216" i="2"/>
  <c r="J216" i="2" s="1"/>
  <c r="E215" i="2"/>
  <c r="F215" i="2"/>
  <c r="J215" i="2" s="1"/>
  <c r="F214" i="2"/>
  <c r="J214" i="2" s="1"/>
  <c r="E214" i="2"/>
  <c r="F213" i="2"/>
  <c r="J213" i="2" s="1"/>
  <c r="E213" i="2"/>
  <c r="E212" i="2"/>
  <c r="F212" i="2"/>
  <c r="J212" i="2" s="1"/>
  <c r="F211" i="2"/>
  <c r="J211" i="2" s="1"/>
  <c r="E211" i="2"/>
  <c r="F210" i="2"/>
  <c r="J210" i="2" s="1"/>
  <c r="E210" i="2"/>
  <c r="F209" i="2"/>
  <c r="J209" i="2" s="1"/>
  <c r="E209" i="2"/>
  <c r="F208" i="2"/>
  <c r="J208" i="2" s="1"/>
  <c r="E208" i="2"/>
  <c r="F207" i="2"/>
  <c r="J207" i="2" s="1"/>
  <c r="E207" i="2"/>
  <c r="F206" i="2"/>
  <c r="J206" i="2" s="1"/>
  <c r="E206" i="2"/>
  <c r="E205" i="2"/>
  <c r="F205" i="2"/>
  <c r="J205" i="2" s="1"/>
  <c r="E204" i="2"/>
  <c r="F204" i="2"/>
  <c r="J204" i="2" s="1"/>
  <c r="F203" i="2"/>
  <c r="J203" i="2" s="1"/>
  <c r="E203" i="2"/>
  <c r="E202" i="2"/>
  <c r="F202" i="2"/>
  <c r="J202" i="2" s="1"/>
  <c r="E201" i="2"/>
  <c r="F201" i="2"/>
  <c r="J201" i="2" s="1"/>
  <c r="E200" i="2"/>
  <c r="F200" i="2"/>
  <c r="J200" i="2" s="1"/>
  <c r="F199" i="2"/>
  <c r="J199" i="2" s="1"/>
  <c r="E199" i="2"/>
  <c r="F198" i="2"/>
  <c r="J198" i="2" s="1"/>
  <c r="E198" i="2"/>
  <c r="F197" i="2"/>
  <c r="J197" i="2" s="1"/>
  <c r="E197" i="2"/>
  <c r="E196" i="2"/>
  <c r="F196" i="2"/>
  <c r="J196" i="2" s="1"/>
  <c r="F195" i="2"/>
  <c r="J195" i="2" s="1"/>
  <c r="E195" i="2"/>
  <c r="E194" i="2"/>
  <c r="F194" i="2"/>
  <c r="J194" i="2" s="1"/>
  <c r="E193" i="2"/>
  <c r="F193" i="2"/>
  <c r="J193" i="2" s="1"/>
  <c r="F192" i="2"/>
  <c r="J192" i="2" s="1"/>
  <c r="E192" i="2"/>
  <c r="E191" i="2"/>
  <c r="F191" i="2"/>
  <c r="J191" i="2" s="1"/>
  <c r="F190" i="2"/>
  <c r="J190" i="2" s="1"/>
  <c r="E190" i="2"/>
  <c r="E189" i="2"/>
  <c r="F189" i="2"/>
  <c r="J189" i="2" s="1"/>
  <c r="E188" i="2"/>
  <c r="F188" i="2"/>
  <c r="J188" i="2" s="1"/>
  <c r="F187" i="2"/>
  <c r="J187" i="2" s="1"/>
  <c r="E187" i="2"/>
  <c r="F186" i="2"/>
  <c r="J186" i="2" s="1"/>
  <c r="E186" i="2"/>
  <c r="F185" i="2"/>
  <c r="J185" i="2" s="1"/>
  <c r="E185" i="2"/>
  <c r="F184" i="2"/>
  <c r="J184" i="2" s="1"/>
  <c r="E184" i="2"/>
  <c r="E183" i="2"/>
  <c r="F183" i="2"/>
  <c r="J183" i="2" s="1"/>
  <c r="E182" i="2"/>
  <c r="F182" i="2"/>
  <c r="J182" i="2" s="1"/>
  <c r="E181" i="2"/>
  <c r="F181" i="2"/>
  <c r="J181" i="2" s="1"/>
  <c r="E180" i="2"/>
  <c r="F180" i="2"/>
  <c r="J180" i="2" s="1"/>
  <c r="F179" i="2"/>
  <c r="J179" i="2" s="1"/>
  <c r="E179" i="2"/>
  <c r="E178" i="2"/>
  <c r="F178" i="2"/>
  <c r="J178" i="2" s="1"/>
  <c r="E177" i="2"/>
  <c r="F177" i="2"/>
  <c r="J177" i="2" s="1"/>
  <c r="F176" i="2"/>
  <c r="J176" i="2" s="1"/>
  <c r="E176" i="2"/>
  <c r="E175" i="2"/>
  <c r="F175" i="2"/>
  <c r="J175" i="2" s="1"/>
  <c r="E174" i="2"/>
  <c r="F174" i="2"/>
  <c r="J174" i="2" s="1"/>
  <c r="E173" i="2"/>
  <c r="F173" i="2"/>
  <c r="J173" i="2" s="1"/>
  <c r="E172" i="2"/>
  <c r="F172" i="2"/>
  <c r="J172" i="2" s="1"/>
  <c r="E171" i="2"/>
  <c r="F171" i="2"/>
  <c r="J171" i="2" s="1"/>
  <c r="E170" i="2"/>
  <c r="F170" i="2"/>
  <c r="J170" i="2" s="1"/>
  <c r="F169" i="2"/>
  <c r="J169" i="2" s="1"/>
  <c r="E169" i="2"/>
  <c r="F168" i="2"/>
  <c r="J168" i="2" s="1"/>
  <c r="E168" i="2"/>
  <c r="F167" i="2"/>
  <c r="J167" i="2" s="1"/>
  <c r="E167" i="2"/>
  <c r="F166" i="2"/>
  <c r="J166" i="2" s="1"/>
  <c r="E166" i="2"/>
  <c r="F165" i="2"/>
  <c r="J165" i="2" s="1"/>
  <c r="E165" i="2"/>
  <c r="F164" i="2"/>
  <c r="J164" i="2" s="1"/>
  <c r="E164" i="2"/>
  <c r="F163" i="2"/>
  <c r="J163" i="2" s="1"/>
  <c r="E163" i="2"/>
  <c r="F162" i="2"/>
  <c r="J162" i="2" s="1"/>
  <c r="E162" i="2"/>
  <c r="F161" i="2"/>
  <c r="J161" i="2" s="1"/>
  <c r="E161" i="2"/>
  <c r="F160" i="2"/>
  <c r="J160" i="2" s="1"/>
  <c r="E160" i="2"/>
  <c r="E159" i="2"/>
  <c r="F159" i="2"/>
  <c r="J159" i="2" s="1"/>
  <c r="F158" i="2"/>
  <c r="J158" i="2" s="1"/>
  <c r="E158" i="2"/>
  <c r="F157" i="2"/>
  <c r="J157" i="2" s="1"/>
  <c r="E157" i="2"/>
  <c r="E156" i="2"/>
  <c r="F156" i="2"/>
  <c r="J156" i="2" s="1"/>
  <c r="E155" i="2"/>
  <c r="F155" i="2"/>
  <c r="J155" i="2" s="1"/>
  <c r="E154" i="2"/>
  <c r="F154" i="2"/>
  <c r="J154" i="2" s="1"/>
  <c r="F153" i="2"/>
  <c r="J153" i="2" s="1"/>
  <c r="E153" i="2"/>
  <c r="E152" i="2"/>
  <c r="F152" i="2"/>
  <c r="J152" i="2" s="1"/>
  <c r="F151" i="2"/>
  <c r="J151" i="2" s="1"/>
  <c r="E151" i="2"/>
  <c r="F150" i="2"/>
  <c r="J150" i="2" s="1"/>
  <c r="E150" i="2"/>
  <c r="E149" i="2"/>
  <c r="F149" i="2"/>
  <c r="J149" i="2" s="1"/>
  <c r="E148" i="2"/>
  <c r="F148" i="2"/>
  <c r="J148" i="2" s="1"/>
  <c r="E147" i="2"/>
  <c r="F147" i="2"/>
  <c r="J147" i="2" s="1"/>
  <c r="E146" i="2"/>
  <c r="F146" i="2"/>
  <c r="J146" i="2" s="1"/>
  <c r="E145" i="2"/>
  <c r="F145" i="2"/>
  <c r="J145" i="2" s="1"/>
  <c r="F144" i="2"/>
  <c r="J144" i="2" s="1"/>
  <c r="E144" i="2"/>
  <c r="E143" i="2"/>
  <c r="F143" i="2"/>
  <c r="J143" i="2" s="1"/>
  <c r="F142" i="2"/>
  <c r="J142" i="2" s="1"/>
  <c r="E142" i="2"/>
  <c r="E141" i="2"/>
  <c r="F141" i="2"/>
  <c r="J141" i="2" s="1"/>
  <c r="F140" i="2"/>
  <c r="J140" i="2" s="1"/>
  <c r="E140" i="2"/>
  <c r="E139" i="2"/>
  <c r="F139" i="2"/>
  <c r="J139" i="2" s="1"/>
  <c r="E138" i="2"/>
  <c r="F138" i="2"/>
  <c r="J138" i="2" s="1"/>
  <c r="F137" i="2"/>
  <c r="J137" i="2" s="1"/>
  <c r="E137" i="2"/>
  <c r="E136" i="2"/>
  <c r="F136" i="2"/>
  <c r="J136" i="2" s="1"/>
  <c r="E135" i="2"/>
  <c r="F135" i="2"/>
  <c r="J135" i="2" s="1"/>
  <c r="E134" i="2"/>
  <c r="F134" i="2"/>
  <c r="J134" i="2" s="1"/>
  <c r="F133" i="2"/>
  <c r="J133" i="2" s="1"/>
  <c r="E133" i="2"/>
  <c r="E132" i="2"/>
  <c r="F132" i="2"/>
  <c r="J132" i="2" s="1"/>
  <c r="F131" i="2"/>
  <c r="J131" i="2" s="1"/>
  <c r="E131" i="2"/>
  <c r="E130" i="2"/>
  <c r="F130" i="2"/>
  <c r="J130" i="2" s="1"/>
  <c r="E129" i="2"/>
  <c r="F129" i="2"/>
  <c r="J129" i="2" s="1"/>
  <c r="E128" i="2"/>
  <c r="F128" i="2"/>
  <c r="J128" i="2" s="1"/>
  <c r="F127" i="2"/>
  <c r="J127" i="2" s="1"/>
  <c r="E127" i="2"/>
  <c r="E126" i="2"/>
  <c r="F126" i="2"/>
  <c r="J126" i="2" s="1"/>
  <c r="F125" i="2"/>
  <c r="J125" i="2" s="1"/>
  <c r="E125" i="2"/>
  <c r="F124" i="2"/>
  <c r="J124" i="2" s="1"/>
  <c r="E124" i="2"/>
  <c r="F123" i="2"/>
  <c r="J123" i="2" s="1"/>
  <c r="E123" i="2"/>
  <c r="E122" i="2"/>
  <c r="F122" i="2"/>
  <c r="J122" i="2" s="1"/>
  <c r="F121" i="2"/>
  <c r="J121" i="2" s="1"/>
  <c r="E121" i="2"/>
  <c r="E120" i="2"/>
  <c r="F120" i="2"/>
  <c r="J120" i="2" s="1"/>
  <c r="F119" i="2"/>
  <c r="J119" i="2" s="1"/>
  <c r="E119" i="2"/>
  <c r="E118" i="2"/>
  <c r="F118" i="2"/>
  <c r="J118" i="2" s="1"/>
  <c r="E117" i="2"/>
  <c r="F117" i="2"/>
  <c r="J117" i="2" s="1"/>
  <c r="F116" i="2"/>
  <c r="J116" i="2" s="1"/>
  <c r="E116" i="2"/>
  <c r="E115" i="2"/>
  <c r="F115" i="2"/>
  <c r="J115" i="2" s="1"/>
  <c r="F114" i="2"/>
  <c r="J114" i="2" s="1"/>
  <c r="E114" i="2"/>
  <c r="E113" i="2"/>
  <c r="F113" i="2"/>
  <c r="J113" i="2" s="1"/>
  <c r="F112" i="2"/>
  <c r="J112" i="2" s="1"/>
  <c r="E112" i="2"/>
  <c r="E111" i="2"/>
  <c r="F111" i="2"/>
  <c r="J111" i="2" s="1"/>
  <c r="E110" i="2"/>
  <c r="F110" i="2"/>
  <c r="J110" i="2" s="1"/>
  <c r="F109" i="2"/>
  <c r="J109" i="2" s="1"/>
  <c r="E109" i="2"/>
  <c r="E108" i="2"/>
  <c r="F108" i="2"/>
  <c r="J108" i="2" s="1"/>
  <c r="E107" i="2"/>
  <c r="F107" i="2"/>
  <c r="J107" i="2" s="1"/>
  <c r="F106" i="2"/>
  <c r="J106" i="2" s="1"/>
  <c r="E106" i="2"/>
  <c r="F105" i="2"/>
  <c r="J105" i="2" s="1"/>
  <c r="E105" i="2"/>
  <c r="F104" i="2"/>
  <c r="J104" i="2" s="1"/>
  <c r="E104" i="2"/>
  <c r="E103" i="2"/>
  <c r="F103" i="2"/>
  <c r="J103" i="2" s="1"/>
  <c r="E102" i="2"/>
  <c r="F102" i="2"/>
  <c r="J102" i="2" s="1"/>
  <c r="E101" i="2"/>
  <c r="F101" i="2"/>
  <c r="J101" i="2" s="1"/>
  <c r="F100" i="2"/>
  <c r="J100" i="2" s="1"/>
  <c r="E100" i="2"/>
  <c r="F99" i="2"/>
  <c r="J99" i="2" s="1"/>
  <c r="E99" i="2"/>
  <c r="F98" i="2"/>
  <c r="J98" i="2" s="1"/>
  <c r="E98" i="2"/>
  <c r="E97" i="2"/>
  <c r="F97" i="2"/>
  <c r="J97" i="2" s="1"/>
  <c r="E96" i="2"/>
  <c r="F96" i="2"/>
  <c r="J96" i="2" s="1"/>
  <c r="F95" i="2"/>
  <c r="J95" i="2" s="1"/>
  <c r="E95" i="2"/>
  <c r="F94" i="2"/>
  <c r="J94" i="2" s="1"/>
  <c r="E94" i="2"/>
  <c r="E93" i="2"/>
  <c r="F93" i="2"/>
  <c r="J93" i="2" s="1"/>
  <c r="E92" i="2"/>
  <c r="F92" i="2"/>
  <c r="J92" i="2" s="1"/>
  <c r="E91" i="2"/>
  <c r="F91" i="2"/>
  <c r="J91" i="2" s="1"/>
  <c r="E90" i="2"/>
  <c r="F90" i="2"/>
  <c r="J90" i="2" s="1"/>
  <c r="F89" i="2"/>
  <c r="J89" i="2" s="1"/>
  <c r="E89" i="2"/>
  <c r="F88" i="2"/>
  <c r="J88" i="2" s="1"/>
  <c r="E88" i="2"/>
  <c r="F87" i="2"/>
  <c r="J87" i="2" s="1"/>
  <c r="E87" i="2"/>
  <c r="F86" i="2"/>
  <c r="J86" i="2" s="1"/>
  <c r="E86" i="2"/>
  <c r="E85" i="2"/>
  <c r="F85" i="2"/>
  <c r="J85" i="2" s="1"/>
  <c r="E84" i="2"/>
  <c r="F84" i="2"/>
  <c r="J84" i="2" s="1"/>
  <c r="E83" i="2"/>
  <c r="F83" i="2"/>
  <c r="J83" i="2" s="1"/>
  <c r="F82" i="2"/>
  <c r="J82" i="2" s="1"/>
  <c r="E82" i="2"/>
  <c r="E81" i="2"/>
  <c r="F81" i="2"/>
  <c r="J81" i="2" s="1"/>
  <c r="E80" i="2"/>
  <c r="F80" i="2"/>
  <c r="J80" i="2" s="1"/>
  <c r="E79" i="2"/>
  <c r="F79" i="2"/>
  <c r="J79" i="2" s="1"/>
  <c r="F78" i="2"/>
  <c r="J78" i="2" s="1"/>
  <c r="E78" i="2"/>
  <c r="F77" i="2"/>
  <c r="J77" i="2" s="1"/>
  <c r="E77" i="2"/>
  <c r="E76" i="2"/>
  <c r="F76" i="2"/>
  <c r="J76" i="2" s="1"/>
  <c r="F75" i="2"/>
  <c r="J75" i="2" s="1"/>
  <c r="E75" i="2"/>
  <c r="F74" i="2"/>
  <c r="J74" i="2" s="1"/>
  <c r="E74" i="2"/>
  <c r="F73" i="2"/>
  <c r="J73" i="2" s="1"/>
  <c r="E73" i="2"/>
  <c r="F72" i="2"/>
  <c r="J72" i="2" s="1"/>
  <c r="E72" i="2"/>
  <c r="F71" i="2"/>
  <c r="J71" i="2" s="1"/>
  <c r="E71" i="2"/>
  <c r="E70" i="2"/>
  <c r="F70" i="2"/>
  <c r="J70" i="2" s="1"/>
  <c r="F69" i="2"/>
  <c r="J69" i="2" s="1"/>
  <c r="E69" i="2"/>
  <c r="E68" i="2"/>
  <c r="F68" i="2"/>
  <c r="J68" i="2" s="1"/>
  <c r="F67" i="2"/>
  <c r="J67" i="2" s="1"/>
  <c r="E67" i="2"/>
  <c r="F66" i="2"/>
  <c r="J66" i="2" s="1"/>
  <c r="E66" i="2"/>
  <c r="E65" i="2"/>
  <c r="F65" i="2"/>
  <c r="J65" i="2" s="1"/>
  <c r="F64" i="2"/>
  <c r="J64" i="2" s="1"/>
  <c r="E64" i="2"/>
  <c r="E63" i="2"/>
  <c r="F63" i="2"/>
  <c r="J63" i="2" s="1"/>
  <c r="F62" i="2"/>
  <c r="J62" i="2" s="1"/>
  <c r="E62" i="2"/>
  <c r="E61" i="2"/>
  <c r="F61" i="2"/>
  <c r="J61" i="2" s="1"/>
  <c r="E60" i="2"/>
  <c r="F60" i="2"/>
  <c r="J60" i="2" s="1"/>
  <c r="E59" i="2"/>
  <c r="F59" i="2"/>
  <c r="J59" i="2" s="1"/>
  <c r="E58" i="2"/>
  <c r="F58" i="2"/>
  <c r="J58" i="2" s="1"/>
  <c r="E57" i="2"/>
  <c r="F57" i="2"/>
  <c r="J57" i="2" s="1"/>
  <c r="E56" i="2"/>
  <c r="F56" i="2"/>
  <c r="J56" i="2" s="1"/>
  <c r="F55" i="2"/>
  <c r="J55" i="2" s="1"/>
  <c r="E55" i="2"/>
  <c r="F54" i="2"/>
  <c r="J54" i="2" s="1"/>
  <c r="E54" i="2"/>
  <c r="F53" i="2"/>
  <c r="J53" i="2" s="1"/>
  <c r="E53" i="2"/>
  <c r="F52" i="2"/>
  <c r="J52" i="2" s="1"/>
  <c r="E52" i="2"/>
  <c r="E51" i="2"/>
  <c r="F51" i="2"/>
  <c r="J51" i="2" s="1"/>
  <c r="E50" i="2"/>
  <c r="F50" i="2"/>
  <c r="J50" i="2" s="1"/>
  <c r="F49" i="2"/>
  <c r="J49" i="2" s="1"/>
  <c r="E49" i="2"/>
  <c r="F48" i="2"/>
  <c r="J48" i="2" s="1"/>
  <c r="E48" i="2"/>
  <c r="F47" i="2"/>
  <c r="J47" i="2" s="1"/>
  <c r="E47" i="2"/>
  <c r="E46" i="2"/>
  <c r="F46" i="2"/>
  <c r="J46" i="2" s="1"/>
  <c r="E45" i="2"/>
  <c r="F45" i="2"/>
  <c r="J45" i="2" s="1"/>
  <c r="F44" i="2"/>
  <c r="J44" i="2" s="1"/>
  <c r="E44" i="2"/>
  <c r="E43" i="2"/>
  <c r="F43" i="2"/>
  <c r="J43" i="2" s="1"/>
  <c r="E42" i="2"/>
  <c r="F42" i="2"/>
  <c r="J42" i="2" s="1"/>
  <c r="E41" i="2"/>
  <c r="F41" i="2"/>
  <c r="J41" i="2" s="1"/>
  <c r="F40" i="2"/>
  <c r="J40" i="2" s="1"/>
  <c r="E40" i="2"/>
  <c r="F39" i="2"/>
  <c r="J39" i="2" s="1"/>
  <c r="E39" i="2"/>
  <c r="E38" i="2"/>
  <c r="F38" i="2"/>
  <c r="J38" i="2" s="1"/>
  <c r="F37" i="2"/>
  <c r="J37" i="2" s="1"/>
  <c r="E37" i="2"/>
  <c r="E36" i="2"/>
  <c r="F36" i="2"/>
  <c r="J36" i="2" s="1"/>
  <c r="F35" i="2"/>
  <c r="J35" i="2" s="1"/>
  <c r="E35" i="2"/>
  <c r="F34" i="2"/>
  <c r="J34" i="2" s="1"/>
  <c r="E34" i="2"/>
  <c r="E33" i="2"/>
  <c r="F33" i="2"/>
  <c r="J33" i="2" s="1"/>
  <c r="F32" i="2"/>
  <c r="J32" i="2" s="1"/>
  <c r="E32" i="2"/>
  <c r="F31" i="2"/>
  <c r="J31" i="2" s="1"/>
  <c r="E31" i="2"/>
  <c r="F30" i="2"/>
  <c r="J30" i="2" s="1"/>
  <c r="E30" i="2"/>
  <c r="F29" i="2"/>
  <c r="J29" i="2" s="1"/>
  <c r="E29" i="2"/>
  <c r="E28" i="2"/>
  <c r="F28" i="2"/>
  <c r="J28" i="2" s="1"/>
  <c r="E27" i="2"/>
  <c r="F27" i="2"/>
  <c r="J27" i="2" s="1"/>
  <c r="E26" i="2"/>
  <c r="F26" i="2"/>
  <c r="J26" i="2" s="1"/>
  <c r="F25" i="2"/>
  <c r="J25" i="2" s="1"/>
  <c r="E25" i="2"/>
  <c r="F24" i="2"/>
  <c r="J24" i="2" s="1"/>
  <c r="E24" i="2"/>
  <c r="F23" i="2"/>
  <c r="J23" i="2" s="1"/>
  <c r="E23" i="2"/>
  <c r="F22" i="2"/>
  <c r="J22" i="2" s="1"/>
  <c r="E22" i="2"/>
  <c r="E21" i="2"/>
  <c r="F21" i="2"/>
  <c r="J21" i="2" s="1"/>
  <c r="F20" i="2"/>
  <c r="J20" i="2" s="1"/>
  <c r="E20" i="2"/>
  <c r="F19" i="2"/>
  <c r="J19" i="2" s="1"/>
  <c r="E19" i="2"/>
  <c r="E18" i="2"/>
  <c r="F18" i="2"/>
  <c r="J18" i="2" s="1"/>
  <c r="F17" i="2"/>
  <c r="J17" i="2" s="1"/>
  <c r="E17" i="2"/>
  <c r="F16" i="2"/>
  <c r="J16" i="2" s="1"/>
  <c r="E16" i="2"/>
  <c r="E15" i="2"/>
  <c r="F15" i="2"/>
  <c r="J15" i="2" s="1"/>
  <c r="E14" i="2"/>
  <c r="F14" i="2"/>
  <c r="J14" i="2" s="1"/>
  <c r="E13" i="2"/>
  <c r="F13" i="2"/>
  <c r="J13" i="2" s="1"/>
  <c r="F12" i="2"/>
  <c r="J12" i="2" s="1"/>
  <c r="E12" i="2"/>
  <c r="E11" i="2"/>
  <c r="F11" i="2"/>
  <c r="J11" i="2" s="1"/>
  <c r="E10" i="2"/>
  <c r="F10" i="2"/>
  <c r="J10" i="2" s="1"/>
  <c r="E9" i="2"/>
  <c r="F9" i="2"/>
  <c r="J9" i="2" s="1"/>
  <c r="F8" i="2"/>
  <c r="J8" i="2" s="1"/>
  <c r="E8" i="2"/>
  <c r="F7" i="2"/>
  <c r="J7" i="2" s="1"/>
  <c r="E7" i="2"/>
  <c r="E6" i="2"/>
  <c r="F6" i="2"/>
  <c r="J6" i="2" s="1"/>
  <c r="E5" i="2"/>
  <c r="F5" i="2"/>
  <c r="J5" i="2" s="1"/>
  <c r="F4" i="2"/>
  <c r="J4" i="2" s="1"/>
  <c r="E4" i="2"/>
  <c r="F3" i="2"/>
  <c r="J3" i="2" s="1"/>
  <c r="E3" i="2"/>
  <c r="F2" i="2"/>
  <c r="J2" i="2" s="1"/>
  <c r="E2" i="2"/>
  <c r="G745" i="2" l="1"/>
  <c r="H745" i="2"/>
  <c r="I745" i="2"/>
  <c r="G744" i="2"/>
  <c r="H744" i="2"/>
  <c r="I744" i="2"/>
  <c r="G743" i="2"/>
  <c r="H743" i="2"/>
  <c r="I743" i="2"/>
  <c r="G742" i="2"/>
  <c r="H742" i="2" s="1"/>
  <c r="I742" i="2"/>
  <c r="G741" i="2"/>
  <c r="H741" i="2"/>
  <c r="I741" i="2"/>
  <c r="I740" i="2"/>
  <c r="G740" i="2"/>
  <c r="H740" i="2" s="1"/>
  <c r="G739" i="2"/>
  <c r="H739" i="2" s="1"/>
  <c r="I739" i="2"/>
  <c r="I738" i="2"/>
  <c r="G738" i="2"/>
  <c r="H738" i="2" s="1"/>
  <c r="G737" i="2"/>
  <c r="H737" i="2" s="1"/>
  <c r="I737" i="2"/>
  <c r="G736" i="2"/>
  <c r="H736" i="2" s="1"/>
  <c r="I736" i="2"/>
  <c r="I735" i="2"/>
  <c r="G735" i="2"/>
  <c r="H735" i="2" s="1"/>
  <c r="G734" i="2"/>
  <c r="H734" i="2"/>
  <c r="I734" i="2"/>
  <c r="G733" i="2"/>
  <c r="H733" i="2" s="1"/>
  <c r="I733" i="2"/>
  <c r="G732" i="2"/>
  <c r="I732" i="2"/>
  <c r="H732" i="2"/>
  <c r="I731" i="2"/>
  <c r="G731" i="2"/>
  <c r="H731" i="2" s="1"/>
  <c r="G730" i="2"/>
  <c r="H730" i="2"/>
  <c r="I730" i="2"/>
  <c r="G729" i="2"/>
  <c r="I729" i="2"/>
  <c r="H729" i="2"/>
  <c r="I728" i="2"/>
  <c r="G728" i="2"/>
  <c r="H728" i="2" s="1"/>
  <c r="G727" i="2"/>
  <c r="I727" i="2"/>
  <c r="H727" i="2"/>
  <c r="G726" i="2"/>
  <c r="H726" i="2"/>
  <c r="I726" i="2"/>
  <c r="I725" i="2"/>
  <c r="G725" i="2"/>
  <c r="H725" i="2" s="1"/>
  <c r="G724" i="2"/>
  <c r="H724" i="2" s="1"/>
  <c r="I724" i="2"/>
  <c r="G723" i="2"/>
  <c r="H723" i="2" s="1"/>
  <c r="I723" i="2"/>
  <c r="I722" i="2"/>
  <c r="G722" i="2"/>
  <c r="H722" i="2" s="1"/>
  <c r="G721" i="2"/>
  <c r="H721" i="2"/>
  <c r="I721" i="2"/>
  <c r="G720" i="2"/>
  <c r="H720" i="2" s="1"/>
  <c r="I720" i="2"/>
  <c r="G719" i="2"/>
  <c r="I719" i="2"/>
  <c r="H719" i="2"/>
  <c r="G718" i="2"/>
  <c r="H718" i="2"/>
  <c r="I718" i="2"/>
  <c r="G717" i="2"/>
  <c r="H717" i="2"/>
  <c r="I717" i="2"/>
  <c r="G716" i="2"/>
  <c r="H716" i="2" s="1"/>
  <c r="I716" i="2"/>
  <c r="G715" i="2"/>
  <c r="H715" i="2"/>
  <c r="I715" i="2"/>
  <c r="G714" i="2"/>
  <c r="H714" i="2"/>
  <c r="I714" i="2"/>
  <c r="G713" i="2"/>
  <c r="I713" i="2"/>
  <c r="H713" i="2"/>
  <c r="G712" i="2"/>
  <c r="H712" i="2" s="1"/>
  <c r="I712" i="2"/>
  <c r="G711" i="2"/>
  <c r="H711" i="2"/>
  <c r="I711" i="2"/>
  <c r="G710" i="2"/>
  <c r="I710" i="2"/>
  <c r="H710" i="2"/>
  <c r="G709" i="2"/>
  <c r="I709" i="2"/>
  <c r="H709" i="2"/>
  <c r="G708" i="2"/>
  <c r="H708" i="2"/>
  <c r="I708" i="2"/>
  <c r="H707" i="2"/>
  <c r="G707" i="2"/>
  <c r="I707" i="2"/>
  <c r="G706" i="2"/>
  <c r="I706" i="2"/>
  <c r="H706" i="2"/>
  <c r="G705" i="2"/>
  <c r="H705" i="2"/>
  <c r="I705" i="2"/>
  <c r="G704" i="2"/>
  <c r="H704" i="2" s="1"/>
  <c r="I704" i="2"/>
  <c r="I703" i="2"/>
  <c r="G703" i="2"/>
  <c r="H703" i="2" s="1"/>
  <c r="I702" i="2"/>
  <c r="G702" i="2"/>
  <c r="H702" i="2" s="1"/>
  <c r="G701" i="2"/>
  <c r="H701" i="2" s="1"/>
  <c r="I701" i="2"/>
  <c r="G700" i="2"/>
  <c r="H700" i="2" s="1"/>
  <c r="I700" i="2"/>
  <c r="G699" i="2"/>
  <c r="H699" i="2" s="1"/>
  <c r="I699" i="2"/>
  <c r="G698" i="2"/>
  <c r="I698" i="2"/>
  <c r="H698" i="2"/>
  <c r="G697" i="2"/>
  <c r="H697" i="2"/>
  <c r="I697" i="2"/>
  <c r="G696" i="2"/>
  <c r="H696" i="2"/>
  <c r="I696" i="2"/>
  <c r="G695" i="2"/>
  <c r="H695" i="2"/>
  <c r="I695" i="2"/>
  <c r="G694" i="2"/>
  <c r="H694" i="2" s="1"/>
  <c r="I694" i="2"/>
  <c r="G693" i="2"/>
  <c r="H693" i="2"/>
  <c r="I693" i="2"/>
  <c r="G692" i="2"/>
  <c r="H692" i="2"/>
  <c r="I692" i="2"/>
  <c r="G691" i="2"/>
  <c r="H691" i="2"/>
  <c r="I691" i="2"/>
  <c r="G690" i="2"/>
  <c r="H690" i="2"/>
  <c r="I690" i="2"/>
  <c r="G689" i="2"/>
  <c r="H689" i="2" s="1"/>
  <c r="I689" i="2"/>
  <c r="G688" i="2"/>
  <c r="H688" i="2" s="1"/>
  <c r="I688" i="2"/>
  <c r="G687" i="2"/>
  <c r="H687" i="2"/>
  <c r="I687" i="2"/>
  <c r="G686" i="2"/>
  <c r="H686" i="2" s="1"/>
  <c r="I686" i="2"/>
  <c r="G685" i="2"/>
  <c r="H685" i="2" s="1"/>
  <c r="I685" i="2"/>
  <c r="G684" i="2"/>
  <c r="H684" i="2"/>
  <c r="I684" i="2"/>
  <c r="G683" i="2"/>
  <c r="H683" i="2"/>
  <c r="I683" i="2"/>
  <c r="G682" i="2"/>
  <c r="H682" i="2"/>
  <c r="I682" i="2"/>
  <c r="G681" i="2"/>
  <c r="H681" i="2"/>
  <c r="I681" i="2"/>
  <c r="G680" i="2"/>
  <c r="H680" i="2"/>
  <c r="I680" i="2"/>
  <c r="G679" i="2"/>
  <c r="H679" i="2" s="1"/>
  <c r="I679" i="2"/>
  <c r="G678" i="2"/>
  <c r="H678" i="2" s="1"/>
  <c r="I678" i="2"/>
  <c r="G677" i="2"/>
  <c r="H677" i="2"/>
  <c r="I677" i="2"/>
  <c r="G676" i="2"/>
  <c r="H676" i="2"/>
  <c r="I676" i="2"/>
  <c r="G675" i="2"/>
  <c r="H675" i="2"/>
  <c r="I675" i="2"/>
  <c r="G674" i="2"/>
  <c r="H674" i="2"/>
  <c r="I674" i="2"/>
  <c r="G673" i="2"/>
  <c r="H673" i="2"/>
  <c r="I673" i="2"/>
  <c r="G672" i="2"/>
  <c r="H672" i="2"/>
  <c r="I672" i="2"/>
  <c r="G671" i="2"/>
  <c r="H671" i="2"/>
  <c r="I671" i="2"/>
  <c r="G670" i="2"/>
  <c r="H670" i="2" s="1"/>
  <c r="I670" i="2"/>
  <c r="G669" i="2"/>
  <c r="H669" i="2"/>
  <c r="I669" i="2"/>
  <c r="G668" i="2"/>
  <c r="H668" i="2"/>
  <c r="I668" i="2"/>
  <c r="G667" i="2"/>
  <c r="H667" i="2" s="1"/>
  <c r="I667" i="2"/>
  <c r="G666" i="2"/>
  <c r="H666" i="2"/>
  <c r="I666" i="2"/>
  <c r="G665" i="2"/>
  <c r="H665" i="2" s="1"/>
  <c r="I665" i="2"/>
  <c r="G664" i="2"/>
  <c r="H664" i="2" s="1"/>
  <c r="I664" i="2"/>
  <c r="H663" i="2"/>
  <c r="G663" i="2"/>
  <c r="I663" i="2"/>
  <c r="G662" i="2"/>
  <c r="H662" i="2"/>
  <c r="I662" i="2"/>
  <c r="G661" i="2"/>
  <c r="I661" i="2"/>
  <c r="H661" i="2"/>
  <c r="G660" i="2"/>
  <c r="H660" i="2"/>
  <c r="I660" i="2"/>
  <c r="I659" i="2"/>
  <c r="G659" i="2"/>
  <c r="H659" i="2" s="1"/>
  <c r="G658" i="2"/>
  <c r="H658" i="2" s="1"/>
  <c r="I658" i="2"/>
  <c r="I657" i="2"/>
  <c r="G657" i="2"/>
  <c r="H657" i="2" s="1"/>
  <c r="G656" i="2"/>
  <c r="H656" i="2"/>
  <c r="I656" i="2"/>
  <c r="G655" i="2"/>
  <c r="H655" i="2"/>
  <c r="I655" i="2"/>
  <c r="G654" i="2"/>
  <c r="H654" i="2" s="1"/>
  <c r="I654" i="2"/>
  <c r="G653" i="2"/>
  <c r="H653" i="2" s="1"/>
  <c r="I653" i="2"/>
  <c r="G652" i="2"/>
  <c r="H652" i="2" s="1"/>
  <c r="I652" i="2"/>
  <c r="G651" i="2"/>
  <c r="H651" i="2"/>
  <c r="I651" i="2"/>
  <c r="G650" i="2"/>
  <c r="H650" i="2" s="1"/>
  <c r="I650" i="2"/>
  <c r="G649" i="2"/>
  <c r="H649" i="2" s="1"/>
  <c r="I649" i="2"/>
  <c r="G648" i="2"/>
  <c r="H648" i="2" s="1"/>
  <c r="I648" i="2"/>
  <c r="G647" i="2"/>
  <c r="H647" i="2"/>
  <c r="I647" i="2"/>
  <c r="G646" i="2"/>
  <c r="H646" i="2" s="1"/>
  <c r="I646" i="2"/>
  <c r="G645" i="2"/>
  <c r="H645" i="2"/>
  <c r="I645" i="2"/>
  <c r="G644" i="2"/>
  <c r="H644" i="2" s="1"/>
  <c r="I644" i="2"/>
  <c r="G643" i="2"/>
  <c r="H643" i="2" s="1"/>
  <c r="I643" i="2"/>
  <c r="G642" i="2"/>
  <c r="H642" i="2" s="1"/>
  <c r="I642" i="2"/>
  <c r="G641" i="2"/>
  <c r="H641" i="2"/>
  <c r="I641" i="2"/>
  <c r="G640" i="2"/>
  <c r="H640" i="2" s="1"/>
  <c r="I640" i="2"/>
  <c r="G639" i="2"/>
  <c r="H639" i="2" s="1"/>
  <c r="I639" i="2"/>
  <c r="G638" i="2"/>
  <c r="H638" i="2" s="1"/>
  <c r="I638" i="2"/>
  <c r="G637" i="2"/>
  <c r="H637" i="2"/>
  <c r="I637" i="2"/>
  <c r="G636" i="2"/>
  <c r="H636" i="2"/>
  <c r="I636" i="2"/>
  <c r="G635" i="2"/>
  <c r="H635" i="2" s="1"/>
  <c r="I635" i="2"/>
  <c r="G634" i="2"/>
  <c r="H634" i="2" s="1"/>
  <c r="I634" i="2"/>
  <c r="G633" i="2"/>
  <c r="H633" i="2" s="1"/>
  <c r="I633" i="2"/>
  <c r="G632" i="2"/>
  <c r="H632" i="2" s="1"/>
  <c r="I632" i="2"/>
  <c r="G631" i="2"/>
  <c r="H631" i="2"/>
  <c r="I631" i="2"/>
  <c r="I630" i="2"/>
  <c r="G630" i="2"/>
  <c r="H630" i="2" s="1"/>
  <c r="G629" i="2"/>
  <c r="H629" i="2" s="1"/>
  <c r="I629" i="2"/>
  <c r="G628" i="2"/>
  <c r="H628" i="2"/>
  <c r="I628" i="2"/>
  <c r="H627" i="2"/>
  <c r="G627" i="2"/>
  <c r="I627" i="2"/>
  <c r="G626" i="2"/>
  <c r="I626" i="2"/>
  <c r="H626" i="2"/>
  <c r="G625" i="2"/>
  <c r="H625" i="2"/>
  <c r="I625" i="2"/>
  <c r="G624" i="2"/>
  <c r="H624" i="2"/>
  <c r="I624" i="2"/>
  <c r="G623" i="2"/>
  <c r="H623" i="2" s="1"/>
  <c r="I623" i="2"/>
  <c r="G622" i="2"/>
  <c r="I622" i="2"/>
  <c r="H622" i="2"/>
  <c r="G621" i="2"/>
  <c r="H621" i="2"/>
  <c r="I621" i="2"/>
  <c r="G620" i="2"/>
  <c r="H620" i="2"/>
  <c r="I620" i="2"/>
  <c r="G619" i="2"/>
  <c r="H619" i="2"/>
  <c r="I619" i="2"/>
  <c r="G618" i="2"/>
  <c r="H618" i="2"/>
  <c r="I618" i="2"/>
  <c r="G617" i="2"/>
  <c r="H617" i="2" s="1"/>
  <c r="I617" i="2"/>
  <c r="G616" i="2"/>
  <c r="H616" i="2"/>
  <c r="I616" i="2"/>
  <c r="G615" i="2"/>
  <c r="H615" i="2" s="1"/>
  <c r="I615" i="2"/>
  <c r="G614" i="2"/>
  <c r="H614" i="2"/>
  <c r="I614" i="2"/>
  <c r="G613" i="2"/>
  <c r="H613" i="2"/>
  <c r="I613" i="2"/>
  <c r="G612" i="2"/>
  <c r="H612" i="2"/>
  <c r="I612" i="2"/>
  <c r="G611" i="2"/>
  <c r="H611" i="2"/>
  <c r="I611" i="2"/>
  <c r="G610" i="2"/>
  <c r="H610" i="2"/>
  <c r="I610" i="2"/>
  <c r="G609" i="2"/>
  <c r="H609" i="2"/>
  <c r="I609" i="2"/>
  <c r="G608" i="2"/>
  <c r="H608" i="2" s="1"/>
  <c r="I608" i="2"/>
  <c r="G607" i="2"/>
  <c r="H607" i="2" s="1"/>
  <c r="I607" i="2"/>
  <c r="G606" i="2"/>
  <c r="H606" i="2" s="1"/>
  <c r="I606" i="2"/>
  <c r="G605" i="2"/>
  <c r="H605" i="2"/>
  <c r="I605" i="2"/>
  <c r="G604" i="2"/>
  <c r="H604" i="2" s="1"/>
  <c r="I604" i="2"/>
  <c r="G603" i="2"/>
  <c r="H603" i="2" s="1"/>
  <c r="I603" i="2"/>
  <c r="G602" i="2"/>
  <c r="H602" i="2"/>
  <c r="I602" i="2"/>
  <c r="G601" i="2"/>
  <c r="H601" i="2"/>
  <c r="I601" i="2"/>
  <c r="G600" i="2"/>
  <c r="H600" i="2"/>
  <c r="I600" i="2"/>
  <c r="G599" i="2"/>
  <c r="H599" i="2"/>
  <c r="I599" i="2"/>
  <c r="G598" i="2"/>
  <c r="H598" i="2"/>
  <c r="I598" i="2"/>
  <c r="G597" i="2"/>
  <c r="H597" i="2"/>
  <c r="I597" i="2"/>
  <c r="G596" i="2"/>
  <c r="H596" i="2"/>
  <c r="I596" i="2"/>
  <c r="G595" i="2"/>
  <c r="H595" i="2" s="1"/>
  <c r="I595" i="2"/>
  <c r="G594" i="2"/>
  <c r="H594" i="2"/>
  <c r="I594" i="2"/>
  <c r="G593" i="2"/>
  <c r="H593" i="2" s="1"/>
  <c r="I593" i="2"/>
  <c r="G592" i="2"/>
  <c r="H592" i="2" s="1"/>
  <c r="I592" i="2"/>
  <c r="G591" i="2"/>
  <c r="H591" i="2"/>
  <c r="I591" i="2"/>
  <c r="G590" i="2"/>
  <c r="H590" i="2"/>
  <c r="I590" i="2"/>
  <c r="G589" i="2"/>
  <c r="H589" i="2"/>
  <c r="I589" i="2"/>
  <c r="G588" i="2"/>
  <c r="H588" i="2"/>
  <c r="I588" i="2"/>
  <c r="G587" i="2"/>
  <c r="H587" i="2"/>
  <c r="I587" i="2"/>
  <c r="G586" i="2"/>
  <c r="H586" i="2"/>
  <c r="I586" i="2"/>
  <c r="G585" i="2"/>
  <c r="H585" i="2"/>
  <c r="I585" i="2"/>
  <c r="G584" i="2"/>
  <c r="H584" i="2"/>
  <c r="I584" i="2"/>
  <c r="G583" i="2"/>
  <c r="H583" i="2"/>
  <c r="I583" i="2"/>
  <c r="G582" i="2"/>
  <c r="H582" i="2"/>
  <c r="I582" i="2"/>
  <c r="G581" i="2"/>
  <c r="H581" i="2"/>
  <c r="I581" i="2"/>
  <c r="G580" i="2"/>
  <c r="H580" i="2"/>
  <c r="I580" i="2"/>
  <c r="G579" i="2"/>
  <c r="H579" i="2"/>
  <c r="I579" i="2"/>
  <c r="G578" i="2"/>
  <c r="H578" i="2"/>
  <c r="I578" i="2"/>
  <c r="G577" i="2"/>
  <c r="H577" i="2"/>
  <c r="I577" i="2"/>
  <c r="G576" i="2"/>
  <c r="H576" i="2"/>
  <c r="I576" i="2"/>
  <c r="G575" i="2"/>
  <c r="H575" i="2" s="1"/>
  <c r="I575" i="2"/>
  <c r="G574" i="2"/>
  <c r="H574" i="2"/>
  <c r="I574" i="2"/>
  <c r="G573" i="2"/>
  <c r="H573" i="2" s="1"/>
  <c r="I573" i="2"/>
  <c r="G572" i="2"/>
  <c r="H572" i="2"/>
  <c r="I572" i="2"/>
  <c r="G571" i="2"/>
  <c r="H571" i="2"/>
  <c r="I571" i="2"/>
  <c r="G570" i="2"/>
  <c r="H570" i="2"/>
  <c r="I570" i="2"/>
  <c r="G569" i="2"/>
  <c r="H569" i="2" s="1"/>
  <c r="I569" i="2"/>
  <c r="G568" i="2"/>
  <c r="H568" i="2"/>
  <c r="I568" i="2"/>
  <c r="G567" i="2"/>
  <c r="H567" i="2"/>
  <c r="I567" i="2"/>
  <c r="G566" i="2"/>
  <c r="H566" i="2"/>
  <c r="I566" i="2"/>
  <c r="G565" i="2"/>
  <c r="H565" i="2"/>
  <c r="I565" i="2"/>
  <c r="G564" i="2"/>
  <c r="H564" i="2"/>
  <c r="I564" i="2"/>
  <c r="G563" i="2"/>
  <c r="H563" i="2" s="1"/>
  <c r="I563" i="2"/>
  <c r="G562" i="2"/>
  <c r="H562" i="2"/>
  <c r="I562" i="2"/>
  <c r="G561" i="2"/>
  <c r="H561" i="2"/>
  <c r="I561" i="2"/>
  <c r="G560" i="2"/>
  <c r="H560" i="2"/>
  <c r="I560" i="2"/>
  <c r="G559" i="2"/>
  <c r="H559" i="2"/>
  <c r="I559" i="2"/>
  <c r="G558" i="2"/>
  <c r="H558" i="2" s="1"/>
  <c r="I558" i="2"/>
  <c r="G557" i="2"/>
  <c r="H557" i="2"/>
  <c r="I557" i="2"/>
  <c r="G556" i="2"/>
  <c r="H556" i="2" s="1"/>
  <c r="I556" i="2"/>
  <c r="G555" i="2"/>
  <c r="H555" i="2" s="1"/>
  <c r="I555" i="2"/>
  <c r="G554" i="2"/>
  <c r="H554" i="2"/>
  <c r="I554" i="2"/>
  <c r="G553" i="2"/>
  <c r="H553" i="2" s="1"/>
  <c r="I553" i="2"/>
  <c r="G552" i="2"/>
  <c r="H552" i="2" s="1"/>
  <c r="I552" i="2"/>
  <c r="G551" i="2"/>
  <c r="H551" i="2" s="1"/>
  <c r="I551" i="2"/>
  <c r="G550" i="2"/>
  <c r="H550" i="2"/>
  <c r="I550" i="2"/>
  <c r="G549" i="2"/>
  <c r="H549" i="2"/>
  <c r="I549" i="2"/>
  <c r="G548" i="2"/>
  <c r="H548" i="2"/>
  <c r="I548" i="2"/>
  <c r="G547" i="2"/>
  <c r="H547" i="2"/>
  <c r="I547" i="2"/>
  <c r="G546" i="2"/>
  <c r="H546" i="2"/>
  <c r="I546" i="2"/>
  <c r="G545" i="2"/>
  <c r="H545" i="2" s="1"/>
  <c r="I545" i="2"/>
  <c r="G544" i="2"/>
  <c r="H544" i="2"/>
  <c r="I544" i="2"/>
  <c r="G543" i="2"/>
  <c r="H543" i="2" s="1"/>
  <c r="I543" i="2"/>
  <c r="G542" i="2"/>
  <c r="H542" i="2"/>
  <c r="I542" i="2"/>
  <c r="G541" i="2"/>
  <c r="H541" i="2" s="1"/>
  <c r="I541" i="2"/>
  <c r="G540" i="2"/>
  <c r="H540" i="2"/>
  <c r="I540" i="2"/>
  <c r="G539" i="2"/>
  <c r="H539" i="2" s="1"/>
  <c r="I539" i="2"/>
  <c r="G538" i="2"/>
  <c r="H538" i="2" s="1"/>
  <c r="I538" i="2"/>
  <c r="G537" i="2"/>
  <c r="H537" i="2"/>
  <c r="I537" i="2"/>
  <c r="G536" i="2"/>
  <c r="H536" i="2"/>
  <c r="I536" i="2"/>
  <c r="G535" i="2"/>
  <c r="H535" i="2"/>
  <c r="I535" i="2"/>
  <c r="G534" i="2"/>
  <c r="H534" i="2" s="1"/>
  <c r="I534" i="2"/>
  <c r="G533" i="2"/>
  <c r="H533" i="2"/>
  <c r="I533" i="2"/>
  <c r="G532" i="2"/>
  <c r="H532" i="2" s="1"/>
  <c r="I532" i="2"/>
  <c r="G531" i="2"/>
  <c r="H531" i="2"/>
  <c r="I531" i="2"/>
  <c r="G530" i="2"/>
  <c r="H530" i="2"/>
  <c r="I530" i="2"/>
  <c r="G529" i="2"/>
  <c r="H529" i="2"/>
  <c r="I529" i="2"/>
  <c r="G528" i="2"/>
  <c r="H528" i="2"/>
  <c r="I528" i="2"/>
  <c r="G527" i="2"/>
  <c r="H527" i="2" s="1"/>
  <c r="I527" i="2"/>
  <c r="G526" i="2"/>
  <c r="H526" i="2" s="1"/>
  <c r="I526" i="2"/>
  <c r="G525" i="2"/>
  <c r="H525" i="2" s="1"/>
  <c r="I525" i="2"/>
  <c r="G524" i="2"/>
  <c r="H524" i="2"/>
  <c r="I524" i="2"/>
  <c r="G523" i="2"/>
  <c r="H523" i="2" s="1"/>
  <c r="I523" i="2"/>
  <c r="G522" i="2"/>
  <c r="H522" i="2"/>
  <c r="I522" i="2"/>
  <c r="G521" i="2"/>
  <c r="H521" i="2"/>
  <c r="I521" i="2"/>
  <c r="G520" i="2"/>
  <c r="H520" i="2"/>
  <c r="I520" i="2"/>
  <c r="G519" i="2"/>
  <c r="H519" i="2" s="1"/>
  <c r="I519" i="2"/>
  <c r="G518" i="2"/>
  <c r="H518" i="2" s="1"/>
  <c r="I518" i="2"/>
  <c r="G517" i="2"/>
  <c r="H517" i="2" s="1"/>
  <c r="I517" i="2"/>
  <c r="G516" i="2"/>
  <c r="H516" i="2" s="1"/>
  <c r="I516" i="2"/>
  <c r="G515" i="2"/>
  <c r="H515" i="2" s="1"/>
  <c r="I515" i="2"/>
  <c r="G514" i="2"/>
  <c r="H514" i="2" s="1"/>
  <c r="I514" i="2"/>
  <c r="G513" i="2"/>
  <c r="H513" i="2"/>
  <c r="I513" i="2"/>
  <c r="G512" i="2"/>
  <c r="H512" i="2"/>
  <c r="I512" i="2"/>
  <c r="G511" i="2"/>
  <c r="H511" i="2"/>
  <c r="I511" i="2"/>
  <c r="G510" i="2"/>
  <c r="H510" i="2"/>
  <c r="I510" i="2"/>
  <c r="G509" i="2"/>
  <c r="H509" i="2"/>
  <c r="I509" i="2"/>
  <c r="G508" i="2"/>
  <c r="H508" i="2" s="1"/>
  <c r="I508" i="2"/>
  <c r="G507" i="2"/>
  <c r="H507" i="2" s="1"/>
  <c r="I507" i="2"/>
  <c r="G506" i="2"/>
  <c r="H506" i="2"/>
  <c r="I506" i="2"/>
  <c r="G505" i="2"/>
  <c r="H505" i="2"/>
  <c r="I505" i="2"/>
  <c r="G504" i="2"/>
  <c r="H504" i="2"/>
  <c r="I504" i="2"/>
  <c r="G503" i="2"/>
  <c r="H503" i="2"/>
  <c r="I503" i="2"/>
  <c r="G502" i="2"/>
  <c r="H502" i="2" s="1"/>
  <c r="I502" i="2"/>
  <c r="G501" i="2"/>
  <c r="H501" i="2" s="1"/>
  <c r="I501" i="2"/>
  <c r="G500" i="2"/>
  <c r="I500" i="2"/>
  <c r="H500" i="2"/>
  <c r="G499" i="2"/>
  <c r="H499" i="2"/>
  <c r="I499" i="2"/>
  <c r="I498" i="2"/>
  <c r="G498" i="2"/>
  <c r="H498" i="2" s="1"/>
  <c r="G497" i="2"/>
  <c r="H497" i="2"/>
  <c r="I497" i="2"/>
  <c r="G496" i="2"/>
  <c r="H496" i="2" s="1"/>
  <c r="I496" i="2"/>
  <c r="G495" i="2"/>
  <c r="H495" i="2"/>
  <c r="I495" i="2"/>
  <c r="G494" i="2"/>
  <c r="H494" i="2" s="1"/>
  <c r="I494" i="2"/>
  <c r="G493" i="2"/>
  <c r="H493" i="2"/>
  <c r="I493" i="2"/>
  <c r="G492" i="2"/>
  <c r="H492" i="2" s="1"/>
  <c r="I492" i="2"/>
  <c r="G491" i="2"/>
  <c r="H491" i="2" s="1"/>
  <c r="I491" i="2"/>
  <c r="G490" i="2"/>
  <c r="H490" i="2"/>
  <c r="I490" i="2"/>
  <c r="G489" i="2"/>
  <c r="H489" i="2" s="1"/>
  <c r="I489" i="2"/>
  <c r="G488" i="2"/>
  <c r="H488" i="2"/>
  <c r="I488" i="2"/>
  <c r="G487" i="2"/>
  <c r="H487" i="2" s="1"/>
  <c r="I487" i="2"/>
  <c r="G486" i="2"/>
  <c r="H486" i="2"/>
  <c r="I486" i="2"/>
  <c r="G485" i="2"/>
  <c r="H485" i="2"/>
  <c r="I485" i="2"/>
  <c r="G484" i="2"/>
  <c r="H484" i="2" s="1"/>
  <c r="I484" i="2"/>
  <c r="G483" i="2"/>
  <c r="H483" i="2" s="1"/>
  <c r="I483" i="2"/>
  <c r="G482" i="2"/>
  <c r="H482" i="2" s="1"/>
  <c r="I482" i="2"/>
  <c r="G481" i="2"/>
  <c r="H481" i="2"/>
  <c r="I481" i="2"/>
  <c r="G480" i="2"/>
  <c r="H480" i="2" s="1"/>
  <c r="I480" i="2"/>
  <c r="G479" i="2"/>
  <c r="H479" i="2"/>
  <c r="I479" i="2"/>
  <c r="G478" i="2"/>
  <c r="H478" i="2"/>
  <c r="I478" i="2"/>
  <c r="G477" i="2"/>
  <c r="H477" i="2" s="1"/>
  <c r="I477" i="2"/>
  <c r="G476" i="2"/>
  <c r="H476" i="2"/>
  <c r="I476" i="2"/>
  <c r="G475" i="2"/>
  <c r="H475" i="2" s="1"/>
  <c r="I475" i="2"/>
  <c r="G474" i="2"/>
  <c r="H474" i="2" s="1"/>
  <c r="I474" i="2"/>
  <c r="G473" i="2"/>
  <c r="H473" i="2" s="1"/>
  <c r="I473" i="2"/>
  <c r="G472" i="2"/>
  <c r="H472" i="2"/>
  <c r="I472" i="2"/>
  <c r="G471" i="2"/>
  <c r="H471" i="2" s="1"/>
  <c r="I471" i="2"/>
  <c r="G470" i="2"/>
  <c r="H470" i="2" s="1"/>
  <c r="I470" i="2"/>
  <c r="G469" i="2"/>
  <c r="I469" i="2"/>
  <c r="H469" i="2"/>
  <c r="G468" i="2"/>
  <c r="H468" i="2" s="1"/>
  <c r="I468" i="2"/>
  <c r="G467" i="2"/>
  <c r="H467" i="2" s="1"/>
  <c r="I467" i="2"/>
  <c r="H466" i="2"/>
  <c r="G466" i="2"/>
  <c r="I466" i="2"/>
  <c r="G465" i="2"/>
  <c r="H465" i="2" s="1"/>
  <c r="I465" i="2"/>
  <c r="G464" i="2"/>
  <c r="H464" i="2" s="1"/>
  <c r="I464" i="2"/>
  <c r="G463" i="2"/>
  <c r="H463" i="2" s="1"/>
  <c r="I463" i="2"/>
  <c r="G462" i="2"/>
  <c r="H462" i="2"/>
  <c r="I462" i="2"/>
  <c r="G461" i="2"/>
  <c r="H461" i="2" s="1"/>
  <c r="I461" i="2"/>
  <c r="I460" i="2"/>
  <c r="G460" i="2"/>
  <c r="H460" i="2" s="1"/>
  <c r="G459" i="2"/>
  <c r="H459" i="2" s="1"/>
  <c r="I459" i="2"/>
  <c r="G458" i="2"/>
  <c r="I458" i="2"/>
  <c r="H458" i="2"/>
  <c r="G457" i="2"/>
  <c r="H457" i="2"/>
  <c r="I457" i="2"/>
  <c r="I456" i="2"/>
  <c r="G456" i="2"/>
  <c r="H456" i="2" s="1"/>
  <c r="G455" i="2"/>
  <c r="H455" i="2" s="1"/>
  <c r="I455" i="2"/>
  <c r="G454" i="2"/>
  <c r="H454" i="2" s="1"/>
  <c r="I454" i="2"/>
  <c r="I453" i="2"/>
  <c r="G453" i="2"/>
  <c r="H453" i="2" s="1"/>
  <c r="G452" i="2"/>
  <c r="I452" i="2"/>
  <c r="H452" i="2"/>
  <c r="I451" i="2"/>
  <c r="G451" i="2"/>
  <c r="H451" i="2" s="1"/>
  <c r="G450" i="2"/>
  <c r="H450" i="2" s="1"/>
  <c r="I450" i="2"/>
  <c r="G449" i="2"/>
  <c r="H449" i="2"/>
  <c r="I449" i="2"/>
  <c r="G448" i="2"/>
  <c r="H448" i="2"/>
  <c r="I448" i="2"/>
  <c r="G447" i="2"/>
  <c r="I447" i="2"/>
  <c r="H447" i="2"/>
  <c r="G446" i="2"/>
  <c r="I446" i="2"/>
  <c r="H446" i="2"/>
  <c r="G445" i="2"/>
  <c r="H445" i="2" s="1"/>
  <c r="I445" i="2"/>
  <c r="G444" i="2"/>
  <c r="H444" i="2" s="1"/>
  <c r="I444" i="2"/>
  <c r="G443" i="2"/>
  <c r="I443" i="2"/>
  <c r="H443" i="2"/>
  <c r="G442" i="2"/>
  <c r="H442" i="2" s="1"/>
  <c r="I442" i="2"/>
  <c r="H441" i="2"/>
  <c r="G441" i="2"/>
  <c r="I441" i="2"/>
  <c r="G440" i="2"/>
  <c r="I440" i="2"/>
  <c r="H440" i="2"/>
  <c r="G439" i="2"/>
  <c r="H439" i="2" s="1"/>
  <c r="I439" i="2"/>
  <c r="I438" i="2"/>
  <c r="G438" i="2"/>
  <c r="H438" i="2" s="1"/>
  <c r="I437" i="2"/>
  <c r="G437" i="2"/>
  <c r="H437" i="2" s="1"/>
  <c r="G436" i="2"/>
  <c r="I436" i="2"/>
  <c r="H436" i="2"/>
  <c r="G435" i="2"/>
  <c r="H435" i="2" s="1"/>
  <c r="I435" i="2"/>
  <c r="G434" i="2"/>
  <c r="H434" i="2" s="1"/>
  <c r="I434" i="2"/>
  <c r="I433" i="2"/>
  <c r="G433" i="2"/>
  <c r="H433" i="2" s="1"/>
  <c r="I432" i="2"/>
  <c r="G432" i="2"/>
  <c r="H432" i="2" s="1"/>
  <c r="G431" i="2"/>
  <c r="I431" i="2"/>
  <c r="H431" i="2"/>
  <c r="G430" i="2"/>
  <c r="H430" i="2" s="1"/>
  <c r="I430" i="2"/>
  <c r="G429" i="2"/>
  <c r="I429" i="2"/>
  <c r="H429" i="2"/>
  <c r="G428" i="2"/>
  <c r="I428" i="2"/>
  <c r="H428" i="2"/>
  <c r="G427" i="2"/>
  <c r="H427" i="2" s="1"/>
  <c r="I427" i="2"/>
  <c r="G426" i="2"/>
  <c r="I426" i="2"/>
  <c r="H426" i="2"/>
  <c r="G425" i="2"/>
  <c r="H425" i="2"/>
  <c r="I425" i="2"/>
  <c r="I424" i="2"/>
  <c r="G424" i="2"/>
  <c r="H424" i="2" s="1"/>
  <c r="G423" i="2"/>
  <c r="H423" i="2"/>
  <c r="I423" i="2"/>
  <c r="G422" i="2"/>
  <c r="H422" i="2" s="1"/>
  <c r="I422" i="2"/>
  <c r="G421" i="2"/>
  <c r="H421" i="2"/>
  <c r="I421" i="2"/>
  <c r="I420" i="2"/>
  <c r="G420" i="2"/>
  <c r="H420" i="2" s="1"/>
  <c r="G419" i="2"/>
  <c r="H419" i="2"/>
  <c r="I419" i="2"/>
  <c r="I418" i="2"/>
  <c r="G418" i="2"/>
  <c r="H418" i="2" s="1"/>
  <c r="G417" i="2"/>
  <c r="H417" i="2" s="1"/>
  <c r="I417" i="2"/>
  <c r="I416" i="2"/>
  <c r="G416" i="2"/>
  <c r="H416" i="2" s="1"/>
  <c r="G415" i="2"/>
  <c r="H415" i="2" s="1"/>
  <c r="I415" i="2"/>
  <c r="I414" i="2"/>
  <c r="G414" i="2"/>
  <c r="H414" i="2" s="1"/>
  <c r="G413" i="2"/>
  <c r="H413" i="2"/>
  <c r="I413" i="2"/>
  <c r="G412" i="2"/>
  <c r="H412" i="2"/>
  <c r="I412" i="2"/>
  <c r="G411" i="2"/>
  <c r="I411" i="2"/>
  <c r="H411" i="2"/>
  <c r="I410" i="2"/>
  <c r="G410" i="2"/>
  <c r="H410" i="2" s="1"/>
  <c r="I409" i="2"/>
  <c r="G409" i="2"/>
  <c r="H409" i="2" s="1"/>
  <c r="G408" i="2"/>
  <c r="I408" i="2"/>
  <c r="H408" i="2"/>
  <c r="I407" i="2"/>
  <c r="G407" i="2"/>
  <c r="H407" i="2" s="1"/>
  <c r="G406" i="2"/>
  <c r="H406" i="2"/>
  <c r="I406" i="2"/>
  <c r="G405" i="2"/>
  <c r="H405" i="2"/>
  <c r="I405" i="2"/>
  <c r="G404" i="2"/>
  <c r="H404" i="2"/>
  <c r="I404" i="2"/>
  <c r="G403" i="2"/>
  <c r="H403" i="2" s="1"/>
  <c r="I403" i="2"/>
  <c r="G402" i="2"/>
  <c r="I402" i="2"/>
  <c r="H402" i="2"/>
  <c r="I401" i="2"/>
  <c r="G401" i="2"/>
  <c r="H401" i="2" s="1"/>
  <c r="G400" i="2"/>
  <c r="H400" i="2" s="1"/>
  <c r="I400" i="2"/>
  <c r="G399" i="2"/>
  <c r="H399" i="2"/>
  <c r="I399" i="2"/>
  <c r="I398" i="2"/>
  <c r="G398" i="2"/>
  <c r="H398" i="2" s="1"/>
  <c r="G397" i="2"/>
  <c r="H397" i="2" s="1"/>
  <c r="I397" i="2"/>
  <c r="G396" i="2"/>
  <c r="H396" i="2" s="1"/>
  <c r="I396" i="2"/>
  <c r="G395" i="2"/>
  <c r="I395" i="2"/>
  <c r="H395" i="2"/>
  <c r="G394" i="2"/>
  <c r="I394" i="2"/>
  <c r="H394" i="2"/>
  <c r="G393" i="2"/>
  <c r="H393" i="2"/>
  <c r="I393" i="2"/>
  <c r="I392" i="2"/>
  <c r="G392" i="2"/>
  <c r="H392" i="2"/>
  <c r="G391" i="2"/>
  <c r="I391" i="2"/>
  <c r="H391" i="2"/>
  <c r="I390" i="2"/>
  <c r="G390" i="2"/>
  <c r="H390" i="2" s="1"/>
  <c r="I389" i="2"/>
  <c r="G389" i="2"/>
  <c r="H389" i="2" s="1"/>
  <c r="G388" i="2"/>
  <c r="H388" i="2" s="1"/>
  <c r="I388" i="2"/>
  <c r="I387" i="2"/>
  <c r="G387" i="2"/>
  <c r="H387" i="2" s="1"/>
  <c r="I386" i="2"/>
  <c r="G386" i="2"/>
  <c r="H386" i="2" s="1"/>
  <c r="I385" i="2"/>
  <c r="G385" i="2"/>
  <c r="H385" i="2" s="1"/>
  <c r="I384" i="2"/>
  <c r="G384" i="2"/>
  <c r="H384" i="2" s="1"/>
  <c r="G383" i="2"/>
  <c r="I383" i="2"/>
  <c r="H383" i="2"/>
  <c r="G382" i="2"/>
  <c r="H382" i="2" s="1"/>
  <c r="I382" i="2"/>
  <c r="G381" i="2"/>
  <c r="H381" i="2"/>
  <c r="I381" i="2"/>
  <c r="G380" i="2"/>
  <c r="H380" i="2" s="1"/>
  <c r="I380" i="2"/>
  <c r="G379" i="2"/>
  <c r="H379" i="2" s="1"/>
  <c r="I379" i="2"/>
  <c r="G378" i="2"/>
  <c r="H378" i="2"/>
  <c r="I378" i="2"/>
  <c r="I377" i="2"/>
  <c r="G377" i="2"/>
  <c r="H377" i="2"/>
  <c r="G376" i="2"/>
  <c r="H376" i="2" s="1"/>
  <c r="I376" i="2"/>
  <c r="I375" i="2"/>
  <c r="G375" i="2"/>
  <c r="H375" i="2" s="1"/>
  <c r="I374" i="2"/>
  <c r="G374" i="2"/>
  <c r="H374" i="2"/>
  <c r="G373" i="2"/>
  <c r="H373" i="2" s="1"/>
  <c r="I373" i="2"/>
  <c r="I372" i="2"/>
  <c r="G372" i="2"/>
  <c r="H372" i="2" s="1"/>
  <c r="G371" i="2"/>
  <c r="H371" i="2"/>
  <c r="I371" i="2"/>
  <c r="G370" i="2"/>
  <c r="H370" i="2" s="1"/>
  <c r="I370" i="2"/>
  <c r="G369" i="2"/>
  <c r="H369" i="2" s="1"/>
  <c r="I369" i="2"/>
  <c r="G368" i="2"/>
  <c r="H368" i="2"/>
  <c r="I368" i="2"/>
  <c r="G367" i="2"/>
  <c r="H367" i="2"/>
  <c r="I367" i="2"/>
  <c r="G366" i="2"/>
  <c r="H366" i="2"/>
  <c r="I366" i="2"/>
  <c r="G365" i="2"/>
  <c r="H365" i="2"/>
  <c r="I365" i="2"/>
  <c r="G364" i="2"/>
  <c r="H364" i="2"/>
  <c r="I364" i="2"/>
  <c r="G363" i="2"/>
  <c r="H363" i="2"/>
  <c r="I363" i="2"/>
  <c r="G362" i="2"/>
  <c r="H362" i="2"/>
  <c r="I362" i="2"/>
  <c r="G361" i="2"/>
  <c r="H361" i="2"/>
  <c r="I361" i="2"/>
  <c r="G360" i="2"/>
  <c r="H360" i="2"/>
  <c r="I360" i="2"/>
  <c r="G359" i="2"/>
  <c r="H359" i="2"/>
  <c r="I359" i="2"/>
  <c r="G358" i="2"/>
  <c r="H358" i="2"/>
  <c r="I358" i="2"/>
  <c r="G357" i="2"/>
  <c r="H357" i="2"/>
  <c r="I357" i="2"/>
  <c r="G356" i="2"/>
  <c r="H356" i="2"/>
  <c r="I356" i="2"/>
  <c r="G355" i="2"/>
  <c r="H355" i="2"/>
  <c r="I355" i="2"/>
  <c r="G354" i="2"/>
  <c r="H354" i="2"/>
  <c r="I354" i="2"/>
  <c r="G353" i="2"/>
  <c r="H353" i="2"/>
  <c r="I353" i="2"/>
  <c r="G352" i="2"/>
  <c r="H352" i="2"/>
  <c r="I352" i="2"/>
  <c r="G351" i="2"/>
  <c r="H351" i="2"/>
  <c r="I351" i="2"/>
  <c r="G350" i="2"/>
  <c r="H350" i="2"/>
  <c r="I350" i="2"/>
  <c r="G349" i="2"/>
  <c r="H349" i="2"/>
  <c r="I349" i="2"/>
  <c r="G348" i="2"/>
  <c r="H348" i="2"/>
  <c r="I348" i="2"/>
  <c r="G347" i="2"/>
  <c r="H347" i="2"/>
  <c r="I347" i="2"/>
  <c r="G346" i="2"/>
  <c r="H346" i="2"/>
  <c r="I346" i="2"/>
  <c r="G345" i="2"/>
  <c r="H345" i="2"/>
  <c r="I345" i="2"/>
  <c r="G344" i="2"/>
  <c r="H344" i="2"/>
  <c r="I344" i="2"/>
  <c r="G343" i="2"/>
  <c r="H343" i="2"/>
  <c r="I343" i="2"/>
  <c r="G342" i="2"/>
  <c r="H342" i="2"/>
  <c r="I342" i="2"/>
  <c r="G341" i="2"/>
  <c r="H341" i="2"/>
  <c r="I341" i="2"/>
  <c r="G340" i="2"/>
  <c r="H340" i="2"/>
  <c r="I340" i="2"/>
  <c r="G339" i="2"/>
  <c r="H339" i="2"/>
  <c r="I339" i="2"/>
  <c r="G338" i="2"/>
  <c r="H338" i="2"/>
  <c r="I338" i="2"/>
  <c r="G337" i="2"/>
  <c r="H337" i="2"/>
  <c r="I337" i="2"/>
  <c r="G336" i="2"/>
  <c r="H336" i="2"/>
  <c r="I336" i="2"/>
  <c r="G335" i="2"/>
  <c r="H335" i="2"/>
  <c r="I335" i="2"/>
  <c r="G334" i="2"/>
  <c r="H334" i="2"/>
  <c r="I334" i="2"/>
  <c r="G333" i="2"/>
  <c r="H333" i="2"/>
  <c r="I333" i="2"/>
  <c r="G332" i="2"/>
  <c r="H332" i="2"/>
  <c r="I332" i="2"/>
  <c r="G331" i="2"/>
  <c r="H331" i="2"/>
  <c r="I331" i="2"/>
  <c r="G330" i="2"/>
  <c r="H330" i="2"/>
  <c r="I330" i="2"/>
  <c r="G329" i="2"/>
  <c r="H329" i="2"/>
  <c r="I329" i="2"/>
  <c r="G328" i="2"/>
  <c r="H328" i="2"/>
  <c r="I328" i="2"/>
  <c r="G327" i="2"/>
  <c r="H327" i="2"/>
  <c r="I327" i="2"/>
  <c r="G326" i="2"/>
  <c r="H326" i="2"/>
  <c r="I326" i="2"/>
  <c r="G325" i="2"/>
  <c r="H325" i="2"/>
  <c r="I325" i="2"/>
  <c r="G324" i="2"/>
  <c r="H324" i="2"/>
  <c r="I324" i="2"/>
  <c r="G323" i="2"/>
  <c r="H323" i="2"/>
  <c r="I323" i="2"/>
  <c r="G322" i="2"/>
  <c r="I322" i="2"/>
  <c r="H322" i="2"/>
  <c r="I321" i="2"/>
  <c r="G321" i="2"/>
  <c r="H321" i="2" s="1"/>
  <c r="G320" i="2"/>
  <c r="H320" i="2"/>
  <c r="I320" i="2"/>
  <c r="G319" i="2"/>
  <c r="H319" i="2" s="1"/>
  <c r="I319" i="2"/>
  <c r="G318" i="2"/>
  <c r="H318" i="2" s="1"/>
  <c r="I318" i="2"/>
  <c r="G317" i="2"/>
  <c r="I317" i="2"/>
  <c r="H317" i="2"/>
  <c r="I316" i="2"/>
  <c r="G316" i="2"/>
  <c r="H316" i="2" s="1"/>
  <c r="G315" i="2"/>
  <c r="H315" i="2" s="1"/>
  <c r="I315" i="2"/>
  <c r="I314" i="2"/>
  <c r="G314" i="2"/>
  <c r="H314" i="2"/>
  <c r="I313" i="2"/>
  <c r="G313" i="2"/>
  <c r="H313" i="2" s="1"/>
  <c r="I312" i="2"/>
  <c r="G312" i="2"/>
  <c r="H312" i="2"/>
  <c r="G311" i="2"/>
  <c r="I311" i="2"/>
  <c r="H311" i="2"/>
  <c r="G310" i="2"/>
  <c r="H310" i="2"/>
  <c r="I310" i="2"/>
  <c r="G309" i="2"/>
  <c r="H309" i="2" s="1"/>
  <c r="I309" i="2"/>
  <c r="G308" i="2"/>
  <c r="H308" i="2"/>
  <c r="I308" i="2"/>
  <c r="G307" i="2"/>
  <c r="H307" i="2"/>
  <c r="I307" i="2"/>
  <c r="G306" i="2"/>
  <c r="H306" i="2"/>
  <c r="I306" i="2"/>
  <c r="G305" i="2"/>
  <c r="H305" i="2" s="1"/>
  <c r="I305" i="2"/>
  <c r="I304" i="2"/>
  <c r="G304" i="2"/>
  <c r="H304" i="2"/>
  <c r="G303" i="2"/>
  <c r="I303" i="2"/>
  <c r="H303" i="2"/>
  <c r="G302" i="2"/>
  <c r="H302" i="2" s="1"/>
  <c r="I302" i="2"/>
  <c r="I301" i="2"/>
  <c r="G301" i="2"/>
  <c r="H301" i="2"/>
  <c r="I300" i="2"/>
  <c r="G300" i="2"/>
  <c r="H300" i="2" s="1"/>
  <c r="G299" i="2"/>
  <c r="H299" i="2"/>
  <c r="I299" i="2"/>
  <c r="G298" i="2"/>
  <c r="I298" i="2"/>
  <c r="H298" i="2"/>
  <c r="G297" i="2"/>
  <c r="H297" i="2" s="1"/>
  <c r="I297" i="2"/>
  <c r="G296" i="2"/>
  <c r="H296" i="2" s="1"/>
  <c r="I296" i="2"/>
  <c r="G295" i="2"/>
  <c r="H295" i="2"/>
  <c r="I295" i="2"/>
  <c r="G294" i="2"/>
  <c r="H294" i="2"/>
  <c r="I294" i="2"/>
  <c r="I293" i="2"/>
  <c r="G293" i="2"/>
  <c r="H293" i="2"/>
  <c r="G292" i="2"/>
  <c r="H292" i="2"/>
  <c r="I292" i="2"/>
  <c r="I291" i="2"/>
  <c r="G291" i="2"/>
  <c r="H291" i="2"/>
  <c r="G290" i="2"/>
  <c r="H290" i="2" s="1"/>
  <c r="I290" i="2"/>
  <c r="I289" i="2"/>
  <c r="G289" i="2"/>
  <c r="H289" i="2" s="1"/>
  <c r="G288" i="2"/>
  <c r="H288" i="2"/>
  <c r="I288" i="2"/>
  <c r="G287" i="2"/>
  <c r="I287" i="2"/>
  <c r="H287" i="2"/>
  <c r="I286" i="2"/>
  <c r="G286" i="2"/>
  <c r="H286" i="2" s="1"/>
  <c r="G285" i="2"/>
  <c r="I285" i="2"/>
  <c r="H285" i="2"/>
  <c r="G284" i="2"/>
  <c r="H284" i="2"/>
  <c r="I284" i="2"/>
  <c r="G283" i="2"/>
  <c r="H283" i="2"/>
  <c r="I283" i="2"/>
  <c r="I282" i="2"/>
  <c r="G282" i="2"/>
  <c r="H282" i="2"/>
  <c r="G281" i="2"/>
  <c r="H281" i="2" s="1"/>
  <c r="I281" i="2"/>
  <c r="I280" i="2"/>
  <c r="G280" i="2"/>
  <c r="H280" i="2"/>
  <c r="I279" i="2"/>
  <c r="G279" i="2"/>
  <c r="H279" i="2" s="1"/>
  <c r="I278" i="2"/>
  <c r="G278" i="2"/>
  <c r="H278" i="2" s="1"/>
  <c r="G277" i="2"/>
  <c r="I277" i="2"/>
  <c r="H277" i="2"/>
  <c r="G276" i="2"/>
  <c r="I276" i="2"/>
  <c r="H276" i="2"/>
  <c r="I275" i="2"/>
  <c r="G275" i="2"/>
  <c r="H275" i="2"/>
  <c r="I274" i="2"/>
  <c r="G274" i="2"/>
  <c r="H274" i="2" s="1"/>
  <c r="I273" i="2"/>
  <c r="G273" i="2"/>
  <c r="H273" i="2" s="1"/>
  <c r="G272" i="2"/>
  <c r="H272" i="2" s="1"/>
  <c r="I272" i="2"/>
  <c r="G271" i="2"/>
  <c r="I271" i="2"/>
  <c r="H271" i="2"/>
  <c r="G270" i="2"/>
  <c r="I270" i="2"/>
  <c r="H270" i="2"/>
  <c r="G269" i="2"/>
  <c r="I269" i="2"/>
  <c r="H269" i="2"/>
  <c r="G268" i="2"/>
  <c r="I268" i="2"/>
  <c r="H268" i="2"/>
  <c r="I267" i="2"/>
  <c r="G267" i="2"/>
  <c r="H267" i="2"/>
  <c r="G266" i="2"/>
  <c r="H266" i="2" s="1"/>
  <c r="I266" i="2"/>
  <c r="I265" i="2"/>
  <c r="H265" i="2"/>
  <c r="G265" i="2"/>
  <c r="G264" i="2"/>
  <c r="I264" i="2"/>
  <c r="H264" i="2"/>
  <c r="I263" i="2"/>
  <c r="G263" i="2"/>
  <c r="H263" i="2"/>
  <c r="I262" i="2"/>
  <c r="G262" i="2"/>
  <c r="H262" i="2" s="1"/>
  <c r="G261" i="2"/>
  <c r="H261" i="2" s="1"/>
  <c r="I261" i="2"/>
  <c r="H260" i="2"/>
  <c r="G260" i="2"/>
  <c r="I260" i="2"/>
  <c r="G259" i="2"/>
  <c r="H259" i="2" s="1"/>
  <c r="I259" i="2"/>
  <c r="G258" i="2"/>
  <c r="H258" i="2" s="1"/>
  <c r="I258" i="2"/>
  <c r="I257" i="2"/>
  <c r="G257" i="2"/>
  <c r="H257" i="2" s="1"/>
  <c r="I256" i="2"/>
  <c r="G256" i="2"/>
  <c r="H256" i="2"/>
  <c r="I255" i="2"/>
  <c r="G255" i="2"/>
  <c r="H255" i="2" s="1"/>
  <c r="G254" i="2"/>
  <c r="H254" i="2" s="1"/>
  <c r="I254" i="2"/>
  <c r="G253" i="2"/>
  <c r="H253" i="2"/>
  <c r="I253" i="2"/>
  <c r="G252" i="2"/>
  <c r="H252" i="2" s="1"/>
  <c r="I252" i="2"/>
  <c r="I251" i="2"/>
  <c r="G251" i="2"/>
  <c r="H251" i="2" s="1"/>
  <c r="H250" i="2"/>
  <c r="G250" i="2"/>
  <c r="I250" i="2"/>
  <c r="G249" i="2"/>
  <c r="H249" i="2"/>
  <c r="I249" i="2"/>
  <c r="G248" i="2"/>
  <c r="H248" i="2" s="1"/>
  <c r="I248" i="2"/>
  <c r="I247" i="2"/>
  <c r="G247" i="2"/>
  <c r="H247" i="2" s="1"/>
  <c r="G246" i="2"/>
  <c r="H246" i="2" s="1"/>
  <c r="I246" i="2"/>
  <c r="G245" i="2"/>
  <c r="H245" i="2" s="1"/>
  <c r="I245" i="2"/>
  <c r="G244" i="2"/>
  <c r="I244" i="2"/>
  <c r="H244" i="2"/>
  <c r="I243" i="2"/>
  <c r="G243" i="2"/>
  <c r="H243" i="2" s="1"/>
  <c r="G242" i="2"/>
  <c r="H242" i="2" s="1"/>
  <c r="I242" i="2"/>
  <c r="G241" i="2"/>
  <c r="H241" i="2" s="1"/>
  <c r="I241" i="2"/>
  <c r="G240" i="2"/>
  <c r="H240" i="2" s="1"/>
  <c r="I240" i="2"/>
  <c r="G239" i="2"/>
  <c r="H239" i="2" s="1"/>
  <c r="I239" i="2"/>
  <c r="I238" i="2"/>
  <c r="G238" i="2"/>
  <c r="H238" i="2"/>
  <c r="G237" i="2"/>
  <c r="H237" i="2" s="1"/>
  <c r="I237" i="2"/>
  <c r="I236" i="2"/>
  <c r="G236" i="2"/>
  <c r="H236" i="2" s="1"/>
  <c r="I235" i="2"/>
  <c r="G235" i="2"/>
  <c r="H235" i="2" s="1"/>
  <c r="I234" i="2"/>
  <c r="G234" i="2"/>
  <c r="H234" i="2" s="1"/>
  <c r="G233" i="2"/>
  <c r="H233" i="2"/>
  <c r="I233" i="2"/>
  <c r="I232" i="2"/>
  <c r="G232" i="2"/>
  <c r="H232" i="2"/>
  <c r="G231" i="2"/>
  <c r="H231" i="2" s="1"/>
  <c r="I231" i="2"/>
  <c r="G230" i="2"/>
  <c r="H230" i="2"/>
  <c r="I230" i="2"/>
  <c r="G229" i="2"/>
  <c r="H229" i="2" s="1"/>
  <c r="I229" i="2"/>
  <c r="G228" i="2"/>
  <c r="H228" i="2"/>
  <c r="I228" i="2"/>
  <c r="G227" i="2"/>
  <c r="H227" i="2" s="1"/>
  <c r="I227" i="2"/>
  <c r="I226" i="2"/>
  <c r="G226" i="2"/>
  <c r="H226" i="2" s="1"/>
  <c r="I225" i="2"/>
  <c r="G225" i="2"/>
  <c r="H225" i="2"/>
  <c r="G224" i="2"/>
  <c r="I224" i="2"/>
  <c r="H224" i="2"/>
  <c r="I223" i="2"/>
  <c r="G223" i="2"/>
  <c r="H223" i="2" s="1"/>
  <c r="G222" i="2"/>
  <c r="H222" i="2" s="1"/>
  <c r="I222" i="2"/>
  <c r="I221" i="2"/>
  <c r="G221" i="2"/>
  <c r="H221" i="2" s="1"/>
  <c r="I220" i="2"/>
  <c r="H220" i="2"/>
  <c r="G220" i="2"/>
  <c r="I219" i="2"/>
  <c r="G219" i="2"/>
  <c r="H219" i="2" s="1"/>
  <c r="G218" i="2"/>
  <c r="I218" i="2"/>
  <c r="H218" i="2"/>
  <c r="I217" i="2"/>
  <c r="H217" i="2"/>
  <c r="G217" i="2"/>
  <c r="G216" i="2"/>
  <c r="H216" i="2" s="1"/>
  <c r="I216" i="2"/>
  <c r="G215" i="2"/>
  <c r="H215" i="2" s="1"/>
  <c r="I215" i="2"/>
  <c r="G214" i="2"/>
  <c r="H214" i="2" s="1"/>
  <c r="I214" i="2"/>
  <c r="G213" i="2"/>
  <c r="I213" i="2"/>
  <c r="H213" i="2"/>
  <c r="G212" i="2"/>
  <c r="I212" i="2"/>
  <c r="H212" i="2"/>
  <c r="I211" i="2"/>
  <c r="G211" i="2"/>
  <c r="H211" i="2" s="1"/>
  <c r="I210" i="2"/>
  <c r="G210" i="2"/>
  <c r="H210" i="2"/>
  <c r="G209" i="2"/>
  <c r="H209" i="2"/>
  <c r="I209" i="2"/>
  <c r="G208" i="2"/>
  <c r="H208" i="2"/>
  <c r="I208" i="2"/>
  <c r="G207" i="2"/>
  <c r="H207" i="2" s="1"/>
  <c r="I207" i="2"/>
  <c r="I206" i="2"/>
  <c r="G206" i="2"/>
  <c r="H206" i="2"/>
  <c r="I205" i="2"/>
  <c r="G205" i="2"/>
  <c r="H205" i="2" s="1"/>
  <c r="I204" i="2"/>
  <c r="G204" i="2"/>
  <c r="H204" i="2" s="1"/>
  <c r="G203" i="2"/>
  <c r="H203" i="2" s="1"/>
  <c r="I203" i="2"/>
  <c r="G202" i="2"/>
  <c r="H202" i="2" s="1"/>
  <c r="I202" i="2"/>
  <c r="I201" i="2"/>
  <c r="G201" i="2"/>
  <c r="H201" i="2" s="1"/>
  <c r="G200" i="2"/>
  <c r="H200" i="2" s="1"/>
  <c r="I200" i="2"/>
  <c r="G199" i="2"/>
  <c r="H199" i="2" s="1"/>
  <c r="I199" i="2"/>
  <c r="I198" i="2"/>
  <c r="G198" i="2"/>
  <c r="H198" i="2"/>
  <c r="G197" i="2"/>
  <c r="I197" i="2"/>
  <c r="H197" i="2"/>
  <c r="G196" i="2"/>
  <c r="I196" i="2"/>
  <c r="H196" i="2"/>
  <c r="G195" i="2"/>
  <c r="H195" i="2" s="1"/>
  <c r="I195" i="2"/>
  <c r="G194" i="2"/>
  <c r="H194" i="2" s="1"/>
  <c r="I194" i="2"/>
  <c r="G193" i="2"/>
  <c r="H193" i="2" s="1"/>
  <c r="I193" i="2"/>
  <c r="I192" i="2"/>
  <c r="G192" i="2"/>
  <c r="H192" i="2" s="1"/>
  <c r="G191" i="2"/>
  <c r="H191" i="2" s="1"/>
  <c r="I191" i="2"/>
  <c r="G190" i="2"/>
  <c r="H190" i="2" s="1"/>
  <c r="I190" i="2"/>
  <c r="G189" i="2"/>
  <c r="H189" i="2" s="1"/>
  <c r="I189" i="2"/>
  <c r="I188" i="2"/>
  <c r="G188" i="2"/>
  <c r="H188" i="2" s="1"/>
  <c r="G187" i="2"/>
  <c r="H187" i="2" s="1"/>
  <c r="I187" i="2"/>
  <c r="G186" i="2"/>
  <c r="H186" i="2" s="1"/>
  <c r="I186" i="2"/>
  <c r="I185" i="2"/>
  <c r="G185" i="2"/>
  <c r="H185" i="2"/>
  <c r="I184" i="2"/>
  <c r="G184" i="2"/>
  <c r="H184" i="2" s="1"/>
  <c r="I183" i="2"/>
  <c r="G183" i="2"/>
  <c r="H183" i="2" s="1"/>
  <c r="I182" i="2"/>
  <c r="G182" i="2"/>
  <c r="H182" i="2" s="1"/>
  <c r="I181" i="2"/>
  <c r="G181" i="2"/>
  <c r="H181" i="2" s="1"/>
  <c r="I180" i="2"/>
  <c r="G180" i="2"/>
  <c r="H180" i="2" s="1"/>
  <c r="H179" i="2"/>
  <c r="I179" i="2"/>
  <c r="G179" i="2"/>
  <c r="G178" i="2"/>
  <c r="H178" i="2" s="1"/>
  <c r="I178" i="2"/>
  <c r="G177" i="2"/>
  <c r="H177" i="2" s="1"/>
  <c r="I177" i="2"/>
  <c r="I176" i="2"/>
  <c r="G176" i="2"/>
  <c r="H176" i="2"/>
  <c r="I175" i="2"/>
  <c r="G175" i="2"/>
  <c r="H175" i="2" s="1"/>
  <c r="G174" i="2"/>
  <c r="H174" i="2" s="1"/>
  <c r="I174" i="2"/>
  <c r="G173" i="2"/>
  <c r="H173" i="2" s="1"/>
  <c r="I173" i="2"/>
  <c r="I172" i="2"/>
  <c r="G172" i="2"/>
  <c r="H172" i="2" s="1"/>
  <c r="G171" i="2"/>
  <c r="I171" i="2"/>
  <c r="H171" i="2"/>
  <c r="G170" i="2"/>
  <c r="H170" i="2"/>
  <c r="I170" i="2"/>
  <c r="I169" i="2"/>
  <c r="G169" i="2"/>
  <c r="H169" i="2" s="1"/>
  <c r="I168" i="2"/>
  <c r="G168" i="2"/>
  <c r="H168" i="2" s="1"/>
  <c r="G167" i="2"/>
  <c r="H167" i="2" s="1"/>
  <c r="I167" i="2"/>
  <c r="G166" i="2"/>
  <c r="H166" i="2" s="1"/>
  <c r="I166" i="2"/>
  <c r="I165" i="2"/>
  <c r="G165" i="2"/>
  <c r="H165" i="2" s="1"/>
  <c r="G164" i="2"/>
  <c r="H164" i="2" s="1"/>
  <c r="I164" i="2"/>
  <c r="G163" i="2"/>
  <c r="I163" i="2"/>
  <c r="H163" i="2"/>
  <c r="G162" i="2"/>
  <c r="I162" i="2"/>
  <c r="H162" i="2"/>
  <c r="I161" i="2"/>
  <c r="G161" i="2"/>
  <c r="H161" i="2"/>
  <c r="G160" i="2"/>
  <c r="I160" i="2"/>
  <c r="H160" i="2"/>
  <c r="I159" i="2"/>
  <c r="G159" i="2"/>
  <c r="H159" i="2" s="1"/>
  <c r="I158" i="2"/>
  <c r="G158" i="2"/>
  <c r="H158" i="2"/>
  <c r="I157" i="2"/>
  <c r="G157" i="2"/>
  <c r="H157" i="2"/>
  <c r="G156" i="2"/>
  <c r="H156" i="2" s="1"/>
  <c r="I156" i="2"/>
  <c r="G155" i="2"/>
  <c r="I155" i="2"/>
  <c r="H155" i="2"/>
  <c r="G154" i="2"/>
  <c r="I154" i="2"/>
  <c r="H154" i="2"/>
  <c r="G153" i="2"/>
  <c r="H153" i="2" s="1"/>
  <c r="I153" i="2"/>
  <c r="I152" i="2"/>
  <c r="G152" i="2"/>
  <c r="H152" i="2" s="1"/>
  <c r="I151" i="2"/>
  <c r="G151" i="2"/>
  <c r="H151" i="2" s="1"/>
  <c r="G150" i="2"/>
  <c r="H150" i="2" s="1"/>
  <c r="I150" i="2"/>
  <c r="G149" i="2"/>
  <c r="I149" i="2"/>
  <c r="H149" i="2"/>
  <c r="G148" i="2"/>
  <c r="H148" i="2" s="1"/>
  <c r="I148" i="2"/>
  <c r="G147" i="2"/>
  <c r="I147" i="2"/>
  <c r="H147" i="2"/>
  <c r="I146" i="2"/>
  <c r="G146" i="2"/>
  <c r="H146" i="2"/>
  <c r="G145" i="2"/>
  <c r="H145" i="2" s="1"/>
  <c r="I145" i="2"/>
  <c r="I144" i="2"/>
  <c r="G144" i="2"/>
  <c r="H144" i="2" s="1"/>
  <c r="I143" i="2"/>
  <c r="G143" i="2"/>
  <c r="H143" i="2" s="1"/>
  <c r="G142" i="2"/>
  <c r="H142" i="2" s="1"/>
  <c r="I142" i="2"/>
  <c r="I141" i="2"/>
  <c r="G141" i="2"/>
  <c r="H141" i="2" s="1"/>
  <c r="I140" i="2"/>
  <c r="G140" i="2"/>
  <c r="H140" i="2"/>
  <c r="G139" i="2"/>
  <c r="H139" i="2" s="1"/>
  <c r="I139" i="2"/>
  <c r="G138" i="2"/>
  <c r="H138" i="2"/>
  <c r="I138" i="2"/>
  <c r="G137" i="2"/>
  <c r="H137" i="2"/>
  <c r="I137" i="2"/>
  <c r="G136" i="2"/>
  <c r="H136" i="2"/>
  <c r="I136" i="2"/>
  <c r="I135" i="2"/>
  <c r="G135" i="2"/>
  <c r="H135" i="2" s="1"/>
  <c r="G134" i="2"/>
  <c r="I134" i="2"/>
  <c r="H134" i="2"/>
  <c r="G133" i="2"/>
  <c r="I133" i="2"/>
  <c r="H133" i="2"/>
  <c r="G132" i="2"/>
  <c r="H132" i="2"/>
  <c r="I132" i="2"/>
  <c r="G131" i="2"/>
  <c r="H131" i="2"/>
  <c r="I131" i="2"/>
  <c r="G130" i="2"/>
  <c r="I130" i="2"/>
  <c r="H130" i="2"/>
  <c r="G129" i="2"/>
  <c r="H129" i="2"/>
  <c r="I129" i="2"/>
  <c r="G128" i="2"/>
  <c r="H128" i="2"/>
  <c r="I128" i="2"/>
  <c r="G127" i="2"/>
  <c r="H127" i="2" s="1"/>
  <c r="I127" i="2"/>
  <c r="G126" i="2"/>
  <c r="H126" i="2" s="1"/>
  <c r="I126" i="2"/>
  <c r="G125" i="2"/>
  <c r="I125" i="2"/>
  <c r="H125" i="2"/>
  <c r="G124" i="2"/>
  <c r="I124" i="2"/>
  <c r="H124" i="2"/>
  <c r="I123" i="2"/>
  <c r="G123" i="2"/>
  <c r="H123" i="2" s="1"/>
  <c r="I122" i="2"/>
  <c r="G122" i="2"/>
  <c r="H122" i="2" s="1"/>
  <c r="G121" i="2"/>
  <c r="H121" i="2" s="1"/>
  <c r="I121" i="2"/>
  <c r="G120" i="2"/>
  <c r="I120" i="2"/>
  <c r="H120" i="2"/>
  <c r="G119" i="2"/>
  <c r="H119" i="2"/>
  <c r="I119" i="2"/>
  <c r="I118" i="2"/>
  <c r="G118" i="2"/>
  <c r="H118" i="2"/>
  <c r="I117" i="2"/>
  <c r="G117" i="2"/>
  <c r="H117" i="2"/>
  <c r="I116" i="2"/>
  <c r="G116" i="2"/>
  <c r="H116" i="2" s="1"/>
  <c r="G115" i="2"/>
  <c r="H115" i="2"/>
  <c r="I115" i="2"/>
  <c r="G114" i="2"/>
  <c r="H114" i="2" s="1"/>
  <c r="I114" i="2"/>
  <c r="G113" i="2"/>
  <c r="H113" i="2" s="1"/>
  <c r="I113" i="2"/>
  <c r="I112" i="2"/>
  <c r="G112" i="2"/>
  <c r="H112" i="2" s="1"/>
  <c r="I111" i="2"/>
  <c r="G111" i="2"/>
  <c r="H111" i="2" s="1"/>
  <c r="I110" i="2"/>
  <c r="G110" i="2"/>
  <c r="H110" i="2"/>
  <c r="G109" i="2"/>
  <c r="H109" i="2" s="1"/>
  <c r="I109" i="2"/>
  <c r="G108" i="2"/>
  <c r="H108" i="2" s="1"/>
  <c r="I108" i="2"/>
  <c r="I107" i="2"/>
  <c r="G107" i="2"/>
  <c r="H107" i="2" s="1"/>
  <c r="G106" i="2"/>
  <c r="I106" i="2"/>
  <c r="H106" i="2"/>
  <c r="I105" i="2"/>
  <c r="G105" i="2"/>
  <c r="H105" i="2"/>
  <c r="I104" i="2"/>
  <c r="G104" i="2"/>
  <c r="H104" i="2" s="1"/>
  <c r="I103" i="2"/>
  <c r="G103" i="2"/>
  <c r="H103" i="2" s="1"/>
  <c r="G102" i="2"/>
  <c r="I102" i="2"/>
  <c r="H102" i="2"/>
  <c r="G101" i="2"/>
  <c r="I101" i="2"/>
  <c r="H101" i="2"/>
  <c r="G100" i="2"/>
  <c r="H100" i="2" s="1"/>
  <c r="I100" i="2"/>
  <c r="I99" i="2"/>
  <c r="G99" i="2"/>
  <c r="H99" i="2" s="1"/>
  <c r="G98" i="2"/>
  <c r="I98" i="2"/>
  <c r="H98" i="2"/>
  <c r="G97" i="2"/>
  <c r="H97" i="2" s="1"/>
  <c r="I97" i="2"/>
  <c r="G96" i="2"/>
  <c r="H96" i="2" s="1"/>
  <c r="I96" i="2"/>
  <c r="G95" i="2"/>
  <c r="I95" i="2"/>
  <c r="H95" i="2"/>
  <c r="I94" i="2"/>
  <c r="G94" i="2"/>
  <c r="H94" i="2" s="1"/>
  <c r="I93" i="2"/>
  <c r="G93" i="2"/>
  <c r="H93" i="2" s="1"/>
  <c r="G92" i="2"/>
  <c r="H92" i="2" s="1"/>
  <c r="I92" i="2"/>
  <c r="G91" i="2"/>
  <c r="H91" i="2" s="1"/>
  <c r="I91" i="2"/>
  <c r="G90" i="2"/>
  <c r="I90" i="2"/>
  <c r="H90" i="2"/>
  <c r="I89" i="2"/>
  <c r="G89" i="2"/>
  <c r="H89" i="2" s="1"/>
  <c r="I88" i="2"/>
  <c r="G88" i="2"/>
  <c r="H88" i="2"/>
  <c r="G87" i="2"/>
  <c r="I87" i="2"/>
  <c r="H87" i="2"/>
  <c r="G86" i="2"/>
  <c r="I86" i="2"/>
  <c r="H86" i="2"/>
  <c r="I85" i="2"/>
  <c r="G85" i="2"/>
  <c r="H85" i="2"/>
  <c r="I84" i="2"/>
  <c r="G84" i="2"/>
  <c r="H84" i="2" s="1"/>
  <c r="G83" i="2"/>
  <c r="I83" i="2"/>
  <c r="H83" i="2"/>
  <c r="G82" i="2"/>
  <c r="H82" i="2" s="1"/>
  <c r="I82" i="2"/>
  <c r="G81" i="2"/>
  <c r="I81" i="2"/>
  <c r="H81" i="2"/>
  <c r="I80" i="2"/>
  <c r="G80" i="2"/>
  <c r="H80" i="2" s="1"/>
  <c r="I79" i="2"/>
  <c r="G79" i="2"/>
  <c r="H79" i="2"/>
  <c r="G78" i="2"/>
  <c r="I78" i="2"/>
  <c r="H78" i="2"/>
  <c r="I77" i="2"/>
  <c r="G77" i="2"/>
  <c r="H77" i="2" s="1"/>
  <c r="G76" i="2"/>
  <c r="I76" i="2"/>
  <c r="H76" i="2"/>
  <c r="G75" i="2"/>
  <c r="H75" i="2" s="1"/>
  <c r="I75" i="2"/>
  <c r="G74" i="2"/>
  <c r="H74" i="2" s="1"/>
  <c r="I74" i="2"/>
  <c r="I73" i="2"/>
  <c r="G73" i="2"/>
  <c r="H73" i="2"/>
  <c r="G72" i="2"/>
  <c r="I72" i="2"/>
  <c r="H72" i="2"/>
  <c r="I71" i="2"/>
  <c r="G71" i="2"/>
  <c r="H71" i="2"/>
  <c r="I70" i="2"/>
  <c r="G70" i="2"/>
  <c r="H70" i="2" s="1"/>
  <c r="G69" i="2"/>
  <c r="H69" i="2"/>
  <c r="I69" i="2"/>
  <c r="I68" i="2"/>
  <c r="G68" i="2"/>
  <c r="H68" i="2" s="1"/>
  <c r="G67" i="2"/>
  <c r="I67" i="2"/>
  <c r="H67" i="2"/>
  <c r="G66" i="2"/>
  <c r="H66" i="2" s="1"/>
  <c r="I66" i="2"/>
  <c r="I65" i="2"/>
  <c r="G65" i="2"/>
  <c r="H65" i="2" s="1"/>
  <c r="I64" i="2"/>
  <c r="G64" i="2"/>
  <c r="H64" i="2" s="1"/>
  <c r="I63" i="2"/>
  <c r="G63" i="2"/>
  <c r="H63" i="2" s="1"/>
  <c r="I62" i="2"/>
  <c r="G62" i="2"/>
  <c r="H62" i="2"/>
  <c r="I61" i="2"/>
  <c r="G61" i="2"/>
  <c r="H61" i="2"/>
  <c r="I60" i="2"/>
  <c r="G60" i="2"/>
  <c r="H60" i="2" s="1"/>
  <c r="I59" i="2"/>
  <c r="G59" i="2"/>
  <c r="H59" i="2" s="1"/>
  <c r="G58" i="2"/>
  <c r="I58" i="2"/>
  <c r="H58" i="2"/>
  <c r="G57" i="2"/>
  <c r="H57" i="2"/>
  <c r="I57" i="2"/>
  <c r="I56" i="2"/>
  <c r="G56" i="2"/>
  <c r="H56" i="2" s="1"/>
  <c r="I55" i="2"/>
  <c r="G55" i="2"/>
  <c r="H55" i="2" s="1"/>
  <c r="I54" i="2"/>
  <c r="G54" i="2"/>
  <c r="H54" i="2" s="1"/>
  <c r="G53" i="2"/>
  <c r="I53" i="2"/>
  <c r="H53" i="2"/>
  <c r="G52" i="2"/>
  <c r="H52" i="2"/>
  <c r="I52" i="2"/>
  <c r="I51" i="2"/>
  <c r="G51" i="2"/>
  <c r="H51" i="2" s="1"/>
  <c r="G50" i="2"/>
  <c r="H50" i="2"/>
  <c r="I50" i="2"/>
  <c r="G49" i="2"/>
  <c r="I49" i="2"/>
  <c r="H49" i="2"/>
  <c r="I48" i="2"/>
  <c r="G48" i="2"/>
  <c r="H48" i="2" s="1"/>
  <c r="G47" i="2"/>
  <c r="I47" i="2"/>
  <c r="H47" i="2"/>
  <c r="G46" i="2"/>
  <c r="H46" i="2"/>
  <c r="I46" i="2"/>
  <c r="G45" i="2"/>
  <c r="H45" i="2" s="1"/>
  <c r="I45" i="2"/>
  <c r="H44" i="2"/>
  <c r="I44" i="2"/>
  <c r="G44" i="2"/>
  <c r="G43" i="2"/>
  <c r="H43" i="2" s="1"/>
  <c r="I43" i="2"/>
  <c r="H42" i="2"/>
  <c r="G42" i="2"/>
  <c r="I42" i="2"/>
  <c r="I41" i="2"/>
  <c r="G41" i="2"/>
  <c r="H41" i="2" s="1"/>
  <c r="G40" i="2"/>
  <c r="H40" i="2" s="1"/>
  <c r="I40" i="2"/>
  <c r="G39" i="2"/>
  <c r="H39" i="2" s="1"/>
  <c r="I39" i="2"/>
  <c r="G38" i="2"/>
  <c r="H38" i="2" s="1"/>
  <c r="I38" i="2"/>
  <c r="H37" i="2"/>
  <c r="G37" i="2"/>
  <c r="I37" i="2"/>
  <c r="I36" i="2"/>
  <c r="G36" i="2"/>
  <c r="H36" i="2" s="1"/>
  <c r="G35" i="2"/>
  <c r="H35" i="2"/>
  <c r="I35" i="2"/>
  <c r="G34" i="2"/>
  <c r="H34" i="2" s="1"/>
  <c r="I34" i="2"/>
  <c r="I33" i="2"/>
  <c r="G33" i="2"/>
  <c r="H33" i="2" s="1"/>
  <c r="G32" i="2"/>
  <c r="I32" i="2"/>
  <c r="H32" i="2"/>
  <c r="G31" i="2"/>
  <c r="H31" i="2" s="1"/>
  <c r="I31" i="2"/>
  <c r="I30" i="2"/>
  <c r="G30" i="2"/>
  <c r="H30" i="2" s="1"/>
  <c r="G29" i="2"/>
  <c r="H29" i="2" s="1"/>
  <c r="I29" i="2"/>
  <c r="I28" i="2"/>
  <c r="G28" i="2"/>
  <c r="H28" i="2" s="1"/>
  <c r="I27" i="2"/>
  <c r="G27" i="2"/>
  <c r="H27" i="2" s="1"/>
  <c r="G26" i="2"/>
  <c r="H26" i="2" s="1"/>
  <c r="I26" i="2"/>
  <c r="I25" i="2"/>
  <c r="G25" i="2"/>
  <c r="H25" i="2" s="1"/>
  <c r="G24" i="2"/>
  <c r="I24" i="2"/>
  <c r="H24" i="2"/>
  <c r="I23" i="2"/>
  <c r="G23" i="2"/>
  <c r="H23" i="2" s="1"/>
  <c r="G22" i="2"/>
  <c r="I22" i="2"/>
  <c r="H22" i="2"/>
  <c r="I21" i="2"/>
  <c r="G21" i="2"/>
  <c r="H21" i="2" s="1"/>
  <c r="H20" i="2"/>
  <c r="G20" i="2"/>
  <c r="I20" i="2"/>
  <c r="G19" i="2"/>
  <c r="H19" i="2" s="1"/>
  <c r="I19" i="2"/>
  <c r="H18" i="2"/>
  <c r="G18" i="2"/>
  <c r="I18" i="2"/>
  <c r="G17" i="2"/>
  <c r="H17" i="2" s="1"/>
  <c r="I17" i="2"/>
  <c r="G16" i="2"/>
  <c r="H16" i="2" s="1"/>
  <c r="I16" i="2"/>
  <c r="G15" i="2"/>
  <c r="I15" i="2"/>
  <c r="H15" i="2"/>
  <c r="G14" i="2"/>
  <c r="H14" i="2" s="1"/>
  <c r="I14" i="2"/>
  <c r="I13" i="2"/>
  <c r="G13" i="2"/>
  <c r="H13" i="2" s="1"/>
  <c r="I12" i="2"/>
  <c r="G12" i="2"/>
  <c r="H12" i="2" s="1"/>
  <c r="G11" i="2"/>
  <c r="H11" i="2"/>
  <c r="I11" i="2"/>
  <c r="G10" i="2"/>
  <c r="H10" i="2" s="1"/>
  <c r="I10" i="2"/>
  <c r="G9" i="2"/>
  <c r="I9" i="2"/>
  <c r="H9" i="2"/>
  <c r="I8" i="2"/>
  <c r="G8" i="2"/>
  <c r="H8" i="2" s="1"/>
  <c r="G7" i="2"/>
  <c r="H7" i="2" s="1"/>
  <c r="I7" i="2"/>
  <c r="I6" i="2"/>
  <c r="H6" i="2"/>
  <c r="G6" i="2"/>
  <c r="G5" i="2"/>
  <c r="I5" i="2"/>
  <c r="H5" i="2"/>
  <c r="G4" i="2"/>
  <c r="H4" i="2" s="1"/>
  <c r="I4" i="2"/>
  <c r="G3" i="2"/>
  <c r="H3" i="2"/>
  <c r="I3" i="2"/>
  <c r="G2" i="2"/>
  <c r="H2" i="2" s="1"/>
  <c r="I2" i="2"/>
</calcChain>
</file>

<file path=xl/sharedStrings.xml><?xml version="1.0" encoding="utf-8"?>
<sst xmlns="http://schemas.openxmlformats.org/spreadsheetml/2006/main" count="759" uniqueCount="758">
  <si>
    <t>datetime_gst</t>
  </si>
  <si>
    <t>tide_m               (Chart Datum)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</si>
  <si>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</si>
  <si>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</si>
  <si>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</si>
  <si>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</si>
  <si>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</si>
  <si>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</si>
  <si>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</si>
  <si>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</si>
  <si>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</si>
  <si>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</si>
  <si>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</si>
  <si>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</si>
  <si>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</si>
  <si>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</si>
  <si>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</si>
  <si>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</si>
  <si>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</si>
  <si>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</si>
  <si>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</si>
  <si>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</si>
  <si>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</si>
  <si>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</si>
  <si>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</si>
  <si>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</si>
  <si>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</si>
  <si>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</si>
  <si>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</si>
  <si>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</si>
  <si>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</si>
  <si>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</si>
  <si>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</si>
  <si>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</si>
  <si>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</si>
  <si>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</si>
  <si>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</si>
  <si>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</si>
  <si>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</si>
  <si>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</si>
  <si>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</si>
  <si>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</si>
  <si>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</si>
  <si>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</si>
  <si>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</si>
  <si>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</si>
  <si>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</si>
  <si>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</si>
  <si>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</si>
  <si>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</si>
  <si>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</si>
  <si>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</si>
  <si>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</si>
  <si>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</si>
  <si>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</si>
  <si>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</si>
  <si>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</si>
  <si>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</si>
  <si>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</si>
  <si>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</si>
  <si>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</si>
  <si>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</si>
  <si>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</si>
  <si>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</si>
  <si>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</si>
  <si>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</si>
  <si>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</si>
  <si>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</si>
  <si>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</si>
  <si>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</si>
  <si>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</si>
  <si>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</si>
  <si>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</si>
  <si>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</si>
  <si>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</si>
  <si>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</si>
  <si>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</si>
  <si>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</si>
  <si>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</si>
  <si>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</si>
  <si>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</si>
  <si>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</si>
  <si>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</si>
  <si>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</si>
  <si>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</si>
  <si>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</si>
  <si>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</si>
  <si>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</si>
  <si>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</si>
  <si>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</si>
  <si>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</si>
  <si>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</si>
  <si>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</si>
  <si>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</si>
  <si>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</si>
  <si>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</si>
  <si>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</si>
  <si>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</si>
  <si>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</si>
  <si>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</si>
  <si>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</si>
  <si>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</si>
  <si>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</si>
  <si>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</si>
  <si>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</si>
  <si>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</si>
  <si>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</si>
  <si>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</si>
  <si>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</si>
  <si>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</si>
  <si>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</si>
  <si>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</si>
  <si>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</si>
  <si>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</si>
  <si>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</si>
  <si>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</si>
  <si>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</si>
  <si>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</si>
  <si>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</si>
  <si>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</si>
  <si>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</si>
  <si>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</si>
  <si>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</si>
  <si>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</si>
  <si>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</si>
  <si>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</si>
  <si>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</si>
  <si>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</si>
  <si>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</si>
  <si>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</si>
  <si>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</si>
  <si>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</si>
  <si>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</si>
  <si>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</si>
  <si>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</si>
  <si>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</si>
  <si>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</si>
  <si>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</si>
  <si>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</si>
  <si>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</si>
  <si>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</si>
  <si>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</si>
  <si>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</si>
  <si>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</si>
  <si>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</si>
  <si>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</si>
  <si>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</si>
  <si>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</si>
  <si>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</si>
  <si>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</si>
  <si>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</si>
  <si>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</si>
  <si>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</si>
  <si>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</si>
  <si>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</si>
  <si>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</si>
  <si>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</si>
  <si>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</si>
  <si>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</si>
  <si>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</si>
  <si>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</si>
  <si>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</si>
  <si>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</si>
  <si>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</si>
  <si>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</si>
  <si>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</si>
  <si>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</si>
  <si>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</si>
  <si>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</si>
  <si>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</si>
  <si>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</si>
  <si>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</si>
  <si>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</si>
  <si>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</si>
  <si>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</si>
  <si>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</si>
  <si>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</si>
  <si>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</si>
  <si>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</si>
  <si>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</si>
  <si>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</si>
  <si>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</si>
  <si>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</si>
  <si>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</si>
  <si>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</si>
  <si>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</si>
  <si>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</si>
  <si>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</si>
  <si>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</si>
  <si>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</si>
  <si>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</si>
  <si>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</si>
  <si>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</si>
  <si>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</si>
  <si>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</si>
  <si>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</si>
  <si>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</si>
  <si>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</si>
  <si>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</si>
  <si>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</si>
  <si>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</si>
  <si>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</si>
  <si>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</si>
  <si>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</si>
  <si>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</si>
  <si>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</si>
  <si>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</si>
  <si>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</si>
  <si>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</si>
  <si>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</si>
  <si>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</si>
  <si>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</si>
  <si>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</si>
  <si>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</si>
  <si>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</si>
  <si>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</si>
  <si>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</si>
  <si>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</si>
  <si>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</si>
  <si>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</si>
  <si>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</si>
  <si>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</si>
  <si>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</si>
  <si>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</si>
  <si>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</si>
  <si>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</si>
  <si>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</si>
  <si>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</si>
  <si>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</si>
  <si>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</si>
  <si>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</si>
  <si>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</si>
  <si>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</si>
  <si>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</si>
  <si>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</si>
  <si>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</si>
  <si>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</si>
  <si>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</si>
  <si>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</si>
  <si>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</si>
  <si>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</si>
  <si>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</si>
  <si>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</si>
  <si>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</si>
  <si>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</si>
  <si>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</si>
  <si>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</si>
  <si>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</si>
  <si>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</si>
  <si>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</si>
  <si>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</si>
  <si>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</si>
  <si>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</si>
  <si>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</si>
  <si>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</si>
  <si>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</si>
  <si>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</si>
  <si>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</si>
  <si>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</si>
  <si>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</si>
  <si>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</si>
  <si>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</si>
  <si>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</si>
  <si>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</si>
  <si>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</si>
  <si>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</si>
  <si>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</si>
  <si>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</si>
  <si>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</si>
  <si>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</si>
  <si>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</si>
  <si>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</si>
  <si>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</si>
  <si>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</si>
  <si>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</si>
  <si>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</si>
  <si>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</si>
  <si>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</si>
  <si>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</si>
  <si>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</si>
  <si>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</si>
  <si>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</si>
  <si>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</si>
  <si>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</si>
  <si>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</si>
  <si>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</si>
  <si>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</si>
  <si>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</si>
  <si>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</si>
  <si>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</si>
  <si>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</si>
  <si>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</si>
  <si>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</si>
  <si>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</si>
  <si>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</si>
  <si>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</si>
  <si>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</si>
  <si>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</si>
  <si>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</si>
  <si>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</si>
  <si>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</si>
  <si>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</si>
  <si>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</si>
  <si>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</si>
  <si>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</si>
  <si>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</si>
  <si>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</si>
  <si>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</si>
  <si>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</si>
  <si>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</si>
  <si>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</si>
  <si>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</si>
  <si>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</si>
  <si>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</si>
  <si>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</si>
  <si>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</si>
  <si>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</si>
  <si>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</si>
  <si>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</si>
  <si>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</si>
  <si>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</si>
  <si>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</si>
  <si>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</si>
  <si>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</si>
  <si>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</si>
  <si>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</si>
  <si>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</si>
  <si>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</si>
  <si>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</si>
  <si>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</si>
  <si>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</si>
  <si>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</si>
  <si>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</si>
  <si>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</si>
  <si>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</si>
  <si>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</si>
  <si>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</si>
  <si>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</si>
  <si>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</si>
  <si>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</si>
  <si>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</si>
  <si>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</si>
  <si>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</si>
  <si>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</si>
  <si>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</si>
  <si>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</si>
  <si>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</si>
  <si>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</si>
  <si>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</si>
  <si>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</si>
  <si>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</si>
  <si>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</si>
  <si>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</si>
  <si>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</si>
  <si>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</si>
  <si>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</si>
  <si>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</si>
  <si>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</si>
  <si>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</si>
  <si>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</si>
  <si>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</si>
  <si>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</si>
  <si>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</si>
  <si>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</si>
  <si>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</si>
  <si>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</si>
  <si>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</si>
  <si>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</si>
  <si>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</si>
  <si>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</si>
  <si>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</si>
  <si>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</si>
  <si>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</si>
  <si>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</si>
  <si>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</si>
  <si>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</si>
  <si>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</si>
  <si>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</si>
  <si>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</si>
  <si>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</si>
  <si>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</si>
  <si>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</si>
  <si>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</si>
  <si>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</si>
  <si>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</si>
  <si>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</si>
  <si>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</si>
  <si>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</si>
  <si>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</si>
  <si>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</si>
  <si>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</si>
  <si>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</si>
  <si>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</si>
  <si>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</si>
  <si>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</si>
  <si>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</si>
  <si>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</si>
  <si>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</si>
  <si>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</si>
  <si>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</si>
  <si>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</si>
  <si>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</si>
  <si>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</si>
  <si>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</si>
  <si>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</si>
  <si>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</si>
  <si>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</si>
  <si>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</si>
  <si>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</si>
  <si>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</si>
  <si>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</si>
  <si>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</si>
  <si>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</si>
  <si>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</si>
  <si>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</si>
  <si>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</si>
  <si>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</si>
  <si>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</si>
  <si>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</si>
  <si>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</si>
  <si>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</si>
  <si>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</si>
  <si>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</si>
  <si>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</si>
  <si>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</si>
  <si>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</si>
  <si>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</si>
  <si>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</si>
  <si>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</si>
  <si>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</si>
  <si>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</si>
  <si>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</si>
  <si>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</si>
  <si>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</si>
  <si>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</si>
  <si>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</si>
  <si>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</si>
  <si>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</si>
  <si>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</si>
  <si>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</si>
  <si>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</si>
  <si>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</si>
  <si>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</si>
  <si>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</si>
  <si>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</si>
  <si>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</si>
  <si>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</si>
  <si>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</si>
  <si>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</si>
  <si>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</si>
  <si>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</si>
  <si>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</si>
  <si>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</si>
  <si>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</si>
  <si>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</si>
  <si>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</si>
  <si>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</si>
  <si>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</si>
  <si>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</si>
  <si>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</si>
  <si>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</si>
  <si>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</si>
  <si>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</si>
  <si>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</si>
  <si>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</si>
  <si>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</si>
  <si>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</si>
  <si>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</si>
  <si>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</si>
  <si>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</si>
  <si>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</si>
  <si>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</si>
  <si>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</si>
  <si>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</si>
  <si>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</si>
  <si>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</si>
  <si>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</si>
  <si>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</si>
  <si>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</si>
  <si>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</si>
  <si>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</si>
  <si>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</si>
  <si>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</si>
  <si>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</si>
  <si>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</si>
  <si>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</si>
  <si>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</si>
  <si>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</si>
  <si>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</si>
  <si>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</si>
  <si>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</si>
  <si>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</si>
  <si>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</si>
  <si>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</si>
  <si>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</si>
  <si>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</si>
  <si>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</si>
  <si>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</si>
  <si>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</si>
  <si>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</si>
  <si>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</si>
  <si>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</si>
  <si>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</si>
  <si>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</si>
  <si>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</si>
  <si>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</si>
  <si>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</si>
  <si>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</si>
  <si>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</si>
  <si>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</si>
  <si>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</si>
  <si>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</si>
  <si>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</si>
  <si>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</si>
  <si>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</si>
  <si>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</si>
  <si>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</si>
  <si>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</si>
  <si>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</si>
  <si>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</si>
  <si>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</si>
  <si>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</si>
  <si>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</si>
  <si>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</si>
  <si>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</si>
  <si>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</si>
  <si>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</si>
  <si>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</si>
  <si>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</si>
  <si>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</si>
  <si>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</si>
  <si>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</si>
  <si>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</si>
  <si>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</si>
  <si>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</si>
  <si>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</si>
  <si>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</si>
  <si>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</si>
  <si>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</si>
  <si>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</si>
  <si>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</si>
  <si>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</si>
  <si>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</si>
  <si>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</si>
  <si>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</si>
  <si>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</si>
  <si>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</si>
  <si>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</si>
  <si>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</si>
  <si>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</si>
  <si>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</si>
  <si>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</si>
  <si>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</si>
  <si>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</si>
  <si>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</si>
  <si>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</si>
  <si>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</si>
  <si>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</si>
  <si>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</si>
  <si>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</si>
  <si>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</si>
  <si>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</si>
  <si>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</si>
  <si>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</si>
  <si>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</si>
  <si>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</si>
  <si>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</si>
  <si>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</si>
  <si>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</si>
  <si>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</si>
  <si>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</si>
  <si>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</si>
  <si>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</si>
  <si>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</si>
  <si>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</si>
  <si>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</si>
  <si>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</si>
  <si>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</si>
  <si>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</si>
  <si>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</si>
  <si>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</si>
  <si>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</si>
  <si>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</si>
  <si>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</si>
  <si>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</si>
  <si>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</si>
  <si>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</si>
  <si>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</si>
  <si>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</si>
  <si>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</si>
  <si>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</si>
  <si>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</si>
  <si>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</si>
  <si>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</si>
  <si>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</si>
  <si>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</si>
  <si>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</si>
  <si>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</si>
  <si>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</si>
  <si>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</si>
  <si>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</si>
  <si>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</si>
  <si>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</si>
  <si>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</si>
  <si>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</si>
  <si>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</si>
  <si>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</si>
  <si>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</si>
  <si>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</si>
  <si>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</si>
  <si>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</si>
  <si>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</si>
  <si>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</si>
  <si>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</si>
  <si>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</si>
  <si>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</si>
  <si>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</si>
  <si>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</si>
  <si>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</si>
  <si>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</si>
  <si>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</si>
  <si>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</si>
  <si>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</si>
  <si>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</si>
  <si>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</si>
  <si>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</si>
  <si>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</si>
  <si>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</si>
  <si>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</si>
  <si>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</si>
  <si>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</si>
  <si>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</si>
  <si>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</si>
  <si>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</si>
  <si>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</si>
  <si>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</si>
  <si>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</si>
  <si>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</si>
  <si>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</si>
  <si>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</si>
  <si>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</si>
  <si>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</si>
  <si>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</si>
  <si>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</si>
  <si>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</si>
  <si>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</si>
  <si>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</si>
  <si>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</si>
  <si>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</si>
  <si>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</si>
  <si>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</si>
  <si>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</si>
  <si>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</si>
  <si>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</si>
  <si>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</si>
  <si>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</si>
  <si>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</si>
  <si>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</si>
  <si>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</si>
  <si>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</si>
  <si>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</si>
  <si>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</si>
  <si>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</si>
  <si>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</si>
  <si>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</si>
  <si>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</si>
  <si>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</si>
  <si>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</si>
  <si>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</si>
  <si>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</si>
  <si>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</si>
  <si>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</si>
  <si>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</si>
  <si>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</si>
  <si>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</si>
  <si>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</si>
  <si>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</si>
  <si>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</si>
  <si>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</si>
  <si>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</si>
  <si>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</si>
  <si>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</si>
  <si>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</si>
  <si>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</si>
  <si>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</si>
  <si>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</si>
  <si>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</si>
  <si>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</si>
  <si>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</si>
  <si>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</si>
  <si>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</si>
  <si>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</si>
  <si>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</si>
  <si>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</si>
  <si>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</si>
  <si>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</si>
  <si>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</si>
  <si>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</si>
  <si>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</si>
  <si>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</si>
  <si>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</si>
  <si>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</si>
  <si>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</si>
  <si>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</si>
  <si>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</si>
  <si>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</si>
  <si>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</si>
  <si>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</si>
  <si>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</si>
  <si>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</si>
  <si>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</si>
  <si>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</si>
  <si>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</si>
  <si>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</si>
  <si>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</si>
  <si>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</si>
  <si>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</si>
  <si>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</si>
  <si>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</si>
  <si>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</si>
  <si>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</si>
  <si>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</si>
  <si>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</si>
  <si>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</si>
  <si>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</si>
  <si>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</si>
  <si>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</si>
  <si>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</si>
  <si>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</si>
  <si>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</si>
  <si>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</si>
  <si>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</si>
  <si>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</si>
  <si>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</si>
  <si>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</si>
  <si>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</si>
  <si>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</si>
  <si>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</si>
  <si>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</si>
  <si>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</si>
  <si>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</si>
  <si>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</si>
  <si>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</si>
  <si>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</si>
  <si>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</si>
  <si>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</si>
  <si>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DateTime (GST)</t>
  </si>
  <si>
    <t>Tide_m</t>
  </si>
  <si>
    <t>Dfwd_req_m (even)</t>
  </si>
  <si>
    <t>Trim_m (optional)</t>
  </si>
  <si>
    <t>Dfwd_adj_m</t>
  </si>
  <si>
    <t>Daft_adj_m</t>
  </si>
  <si>
    <t>Ramp_Angle_deg</t>
  </si>
  <si>
    <t>Status</t>
  </si>
  <si>
    <t>FWD_Height_m</t>
  </si>
  <si>
    <t>AFT_Height_m</t>
  </si>
  <si>
    <t>Notes</t>
  </si>
  <si>
    <t>← Defaults to 0.00 (Even-Keel). To apply the actual trim, manually enter the value in this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</si>
</sst>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Calibri"/>
      <family val="2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E2C50A37-872B-4B45-9932-A367DAAEE6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nky\OneDrive\&#48148;&#53461;%20&#54868;&#47732;\LCT_BUSHRA.xlsx" TargetMode="External"/><Relationship Id="rId1" Type="http://schemas.openxmlformats.org/officeDocument/2006/relationships/externalLinkPath" Target="/Users/minky/OneDrive/&#48148;&#53461;%20&#54868;&#47732;/LCT_BUSH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ember_Tide_2025 (2)"/>
      <sheetName val="Hourly_FWD_AFT_Heights (2)"/>
      <sheetName val="Calc"/>
      <sheetName val="December_Tide_2025"/>
      <sheetName val="Hourly_FWD_AFT_Heights"/>
      <sheetName val="RORO_Stage_Scenarios"/>
      <sheetName val="Ballast_Tanks"/>
      <sheetName val="Hydro_Table"/>
      <sheetName val="Frame_to_x_Table"/>
      <sheetName val="CAPTAIN_REPORT"/>
    </sheetNames>
    <sheetDataSet>
      <sheetData sheetId="0"/>
      <sheetData sheetId="1"/>
      <sheetData sheetId="2">
        <row r="3">
          <cell r="C3" t="str">
            <v>PARAMETER</v>
          </cell>
          <cell r="E3" t="str">
            <v>VALUE</v>
          </cell>
        </row>
        <row r="5">
          <cell r="C5" t="str">
            <v>L_ramp_m</v>
          </cell>
          <cell r="E5">
            <v>12</v>
          </cell>
        </row>
        <row r="6">
          <cell r="C6" t="str">
            <v>theta_max_deg</v>
          </cell>
          <cell r="E6">
            <v>6</v>
          </cell>
        </row>
        <row r="7">
          <cell r="C7" t="str">
            <v>KminusZ_m</v>
          </cell>
          <cell r="E7">
            <v>3</v>
          </cell>
        </row>
        <row r="8">
          <cell r="C8" t="str">
            <v>D_vessel_m</v>
          </cell>
          <cell r="E8">
            <v>3.65</v>
          </cell>
        </row>
        <row r="10">
          <cell r="C10" t="str">
            <v>min_fwd_draft_m</v>
          </cell>
          <cell r="E10">
            <v>1.5</v>
          </cell>
        </row>
        <row r="11">
          <cell r="C11" t="str">
            <v>max_fwd_draft_m</v>
          </cell>
          <cell r="E11">
            <v>3.5</v>
          </cell>
        </row>
        <row r="12">
          <cell r="C12" t="str">
            <v>pump_rate_tph</v>
          </cell>
          <cell r="E12">
            <v>10</v>
          </cell>
        </row>
        <row r="14">
          <cell r="C14" t="str">
            <v>MTC_t_m_per_cm</v>
          </cell>
          <cell r="E14">
            <v>33.99</v>
          </cell>
        </row>
        <row r="15">
          <cell r="C15" t="str">
            <v>LCF_m_from_midship</v>
          </cell>
          <cell r="E15">
            <v>30.91</v>
          </cell>
        </row>
        <row r="16">
          <cell r="C16" t="str">
            <v>TPC_t_per_cm</v>
          </cell>
          <cell r="E16">
            <v>7.95</v>
          </cell>
        </row>
        <row r="17">
          <cell r="C17" t="str">
            <v>Lpp_m</v>
          </cell>
          <cell r="E17">
            <v>60.302</v>
          </cell>
        </row>
        <row r="18">
          <cell r="C18" t="str">
            <v>max_fwd_draft_ops_m</v>
          </cell>
          <cell r="E18">
            <v>2.7</v>
          </cell>
        </row>
        <row r="19">
          <cell r="C19" t="str">
            <v>ramp_door_offset_m</v>
          </cell>
          <cell r="E19">
            <v>0.15</v>
          </cell>
        </row>
        <row r="20">
          <cell r="C20" t="str">
            <v>linkspan_freeboard_target_m</v>
          </cell>
          <cell r="E20">
            <v>0.28000000000000003</v>
          </cell>
        </row>
        <row r="21">
          <cell r="C21" t="str">
            <v>gm_target_m</v>
          </cell>
          <cell r="E21">
            <v>1.5</v>
          </cell>
        </row>
        <row r="23">
          <cell r="C23" t="str">
            <v>limit_reaction_t</v>
          </cell>
          <cell r="E23">
            <v>201.6</v>
          </cell>
        </row>
        <row r="24">
          <cell r="C24" t="str">
            <v>limit_share_load_t</v>
          </cell>
          <cell r="E24">
            <v>118.8</v>
          </cell>
        </row>
        <row r="25">
          <cell r="C25" t="str">
            <v>limit_deck_press_tpm2</v>
          </cell>
          <cell r="E25">
            <v>10</v>
          </cell>
        </row>
        <row r="26">
          <cell r="C26" t="str">
            <v>linkspan_area_m2</v>
          </cell>
          <cell r="E26">
            <v>12</v>
          </cell>
        </row>
        <row r="27">
          <cell r="C27" t="str">
            <v>max_aft_ballast_cap_t</v>
          </cell>
          <cell r="E27">
            <v>1200</v>
          </cell>
        </row>
        <row r="28">
          <cell r="C28" t="str">
            <v>max_pump_time_h</v>
          </cell>
          <cell r="E28">
            <v>6</v>
          </cell>
        </row>
        <row r="29">
          <cell r="C29" t="str">
            <v>vent_flow_coeff</v>
          </cell>
          <cell r="E29">
            <v>0.86</v>
          </cell>
        </row>
        <row r="30">
          <cell r="C30" t="str">
            <v>pump_rate_tph</v>
          </cell>
          <cell r="E30">
            <v>100</v>
          </cell>
        </row>
        <row r="31">
          <cell r="C31" t="str">
            <v>pump_rate_effective_tph</v>
          </cell>
          <cell r="E31">
            <v>45</v>
          </cell>
        </row>
        <row r="32">
          <cell r="C32" t="str">
            <v>ramp_hinge_x_mid_m</v>
          </cell>
          <cell r="E32">
            <v>-30.151</v>
          </cell>
        </row>
        <row r="33">
          <cell r="C33" t="str">
            <v>ramp_length_m</v>
          </cell>
          <cell r="E33">
            <v>8.3000000000000007</v>
          </cell>
        </row>
        <row r="34">
          <cell r="C34" t="str">
            <v>linkspan_height_m</v>
          </cell>
          <cell r="E34">
            <v>2</v>
          </cell>
        </row>
        <row r="35">
          <cell r="C35" t="str">
            <v>ramp_end_clearance_min_m</v>
          </cell>
          <cell r="E35">
            <v>0.4</v>
          </cell>
        </row>
        <row r="36">
          <cell r="C36" t="str">
            <v>hinge_pin_area_m2</v>
          </cell>
          <cell r="E36">
            <v>0.11700000000000001</v>
          </cell>
        </row>
        <row r="37">
          <cell r="C37" t="str">
            <v>hinge_limit_rx_t</v>
          </cell>
          <cell r="E37">
            <v>201.6</v>
          </cell>
        </row>
        <row r="40">
          <cell r="C40" t="str">
            <v>LBP_m</v>
          </cell>
          <cell r="E40">
            <v>60.302</v>
          </cell>
        </row>
        <row r="41">
          <cell r="C41" t="str">
            <v>LCF_from_mid_m</v>
          </cell>
          <cell r="E41">
            <v>30.91</v>
          </cell>
        </row>
        <row r="42">
          <cell r="C42" t="str">
            <v>dynamic_factor</v>
          </cell>
          <cell r="E42">
            <v>1.1499999999999999</v>
          </cell>
        </row>
        <row r="43">
          <cell r="C43" t="str">
            <v>heel_y_offset_m</v>
          </cell>
          <cell r="E43">
            <v>1.5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BA3B-2C37-4C0B-8289-8DE3E39E9FEB}">
  <dimension ref="A1:B745"/>
  <sheetViews>
    <sheetView tabSelected="1" workbookViewId="0"/>
  </sheetViews>
  <sheetFormatPr defaultRowHeight="16.899999999999999" x14ac:dyDescent="0.6"/>
  <cols>
    <col min="1" max="1" width="20" customWidth="1"/>
    <col min="2" max="2" width="15" customWidth="1"/>
  </cols>
  <sheetData>
    <row r="1" spans="1:2" ht="28.5" x14ac:dyDescent="0.6">
      <c r="A1" s="1" t="s">
        <v>0</v>
      </c>
      <c r="B1" s="1" t="s">
        <v>1</v>
      </c>
    </row>
    <row r="2" spans="1:2" x14ac:dyDescent="0.6">
      <c r="A2" s="2" t="s">
        <v>2</v>
      </c>
      <c r="B2" s="3">
        <v>2.06</v>
      </c>
    </row>
    <row r="3" spans="1:2" x14ac:dyDescent="0.6">
      <c r="A3" s="2" t="s">
        <v>3</v>
      </c>
      <c r="B3" s="3">
        <v>2.46</v>
      </c>
    </row>
    <row r="4" spans="1:2" x14ac:dyDescent="0.6">
      <c r="A4" s="2" t="s">
        <v>4</v>
      </c>
      <c r="B4" s="3">
        <v>2.7</v>
      </c>
    </row>
    <row r="5" spans="1:2" x14ac:dyDescent="0.6">
      <c r="A5" s="2" t="s">
        <v>5</v>
      </c>
      <c r="B5" s="3">
        <v>2.71</v>
      </c>
    </row>
    <row r="6" spans="1:2" x14ac:dyDescent="0.6">
      <c r="A6" s="2" t="s">
        <v>6</v>
      </c>
      <c r="B6" s="3">
        <v>2.4900000000000002</v>
      </c>
    </row>
    <row r="7" spans="1:2" x14ac:dyDescent="0.6">
      <c r="A7" s="2" t="s">
        <v>7</v>
      </c>
      <c r="B7" s="3">
        <v>2.1</v>
      </c>
    </row>
    <row r="8" spans="1:2" x14ac:dyDescent="0.6">
      <c r="A8" s="2" t="s">
        <v>8</v>
      </c>
      <c r="B8" s="3">
        <v>1.63</v>
      </c>
    </row>
    <row r="9" spans="1:2" x14ac:dyDescent="0.6">
      <c r="A9" s="2" t="s">
        <v>9</v>
      </c>
      <c r="B9" s="3">
        <v>1.21</v>
      </c>
    </row>
    <row r="10" spans="1:2" x14ac:dyDescent="0.6">
      <c r="A10" s="2" t="s">
        <v>10</v>
      </c>
      <c r="B10" s="3">
        <v>0.93</v>
      </c>
    </row>
    <row r="11" spans="1:2" x14ac:dyDescent="0.6">
      <c r="A11" s="2" t="s">
        <v>11</v>
      </c>
      <c r="B11" s="3">
        <v>0.87</v>
      </c>
    </row>
    <row r="12" spans="1:2" x14ac:dyDescent="0.6">
      <c r="A12" s="2" t="s">
        <v>12</v>
      </c>
      <c r="B12" s="3">
        <v>1.05</v>
      </c>
    </row>
    <row r="13" spans="1:2" x14ac:dyDescent="0.6">
      <c r="A13" s="2" t="s">
        <v>13</v>
      </c>
      <c r="B13" s="3">
        <v>1.41</v>
      </c>
    </row>
    <row r="14" spans="1:2" x14ac:dyDescent="0.6">
      <c r="A14" s="2" t="s">
        <v>14</v>
      </c>
      <c r="B14" s="3">
        <v>1.87</v>
      </c>
    </row>
    <row r="15" spans="1:2" x14ac:dyDescent="0.6">
      <c r="A15" s="2" t="s">
        <v>15</v>
      </c>
      <c r="B15" s="3">
        <v>2.3199999999999998</v>
      </c>
    </row>
    <row r="16" spans="1:2" x14ac:dyDescent="0.6">
      <c r="A16" s="2" t="s">
        <v>16</v>
      </c>
      <c r="B16" s="3">
        <v>2.63</v>
      </c>
    </row>
    <row r="17" spans="1:2" x14ac:dyDescent="0.6">
      <c r="A17" s="2" t="s">
        <v>17</v>
      </c>
      <c r="B17" s="3">
        <v>2.74</v>
      </c>
    </row>
    <row r="18" spans="1:2" x14ac:dyDescent="0.6">
      <c r="A18" s="2" t="s">
        <v>18</v>
      </c>
      <c r="B18" s="3">
        <v>2.61</v>
      </c>
    </row>
    <row r="19" spans="1:2" x14ac:dyDescent="0.6">
      <c r="A19" s="2" t="s">
        <v>19</v>
      </c>
      <c r="B19" s="3">
        <v>2.27</v>
      </c>
    </row>
    <row r="20" spans="1:2" x14ac:dyDescent="0.6">
      <c r="A20" s="2" t="s">
        <v>20</v>
      </c>
      <c r="B20" s="3">
        <v>1.82</v>
      </c>
    </row>
    <row r="21" spans="1:2" x14ac:dyDescent="0.6">
      <c r="A21" s="2" t="s">
        <v>21</v>
      </c>
      <c r="B21" s="3">
        <v>1.36</v>
      </c>
    </row>
    <row r="22" spans="1:2" x14ac:dyDescent="0.6">
      <c r="A22" s="2" t="s">
        <v>22</v>
      </c>
      <c r="B22" s="3">
        <v>1.02</v>
      </c>
    </row>
    <row r="23" spans="1:2" x14ac:dyDescent="0.6">
      <c r="A23" s="2" t="s">
        <v>23</v>
      </c>
      <c r="B23" s="3">
        <v>0.87</v>
      </c>
    </row>
    <row r="24" spans="1:2" x14ac:dyDescent="0.6">
      <c r="A24" s="2" t="s">
        <v>24</v>
      </c>
      <c r="B24" s="3">
        <v>0.95</v>
      </c>
    </row>
    <row r="25" spans="1:2" x14ac:dyDescent="0.6">
      <c r="A25" s="2" t="s">
        <v>25</v>
      </c>
      <c r="B25" s="3">
        <v>1.25</v>
      </c>
    </row>
    <row r="26" spans="1:2" x14ac:dyDescent="0.6">
      <c r="A26" s="2" t="s">
        <v>26</v>
      </c>
      <c r="B26" s="3">
        <v>1.68</v>
      </c>
    </row>
    <row r="27" spans="1:2" x14ac:dyDescent="0.6">
      <c r="A27" s="2" t="s">
        <v>27</v>
      </c>
      <c r="B27" s="3">
        <v>2.15</v>
      </c>
    </row>
    <row r="28" spans="1:2" x14ac:dyDescent="0.6">
      <c r="A28" s="2" t="s">
        <v>28</v>
      </c>
      <c r="B28" s="3">
        <v>2.5299999999999998</v>
      </c>
    </row>
    <row r="29" spans="1:2" x14ac:dyDescent="0.6">
      <c r="A29" s="2" t="s">
        <v>29</v>
      </c>
      <c r="B29" s="3">
        <v>2.72</v>
      </c>
    </row>
    <row r="30" spans="1:2" x14ac:dyDescent="0.6">
      <c r="A30" s="2" t="s">
        <v>30</v>
      </c>
      <c r="B30" s="3">
        <v>2.69</v>
      </c>
    </row>
    <row r="31" spans="1:2" x14ac:dyDescent="0.6">
      <c r="A31" s="2" t="s">
        <v>31</v>
      </c>
      <c r="B31" s="3">
        <v>2.4300000000000002</v>
      </c>
    </row>
    <row r="32" spans="1:2" x14ac:dyDescent="0.6">
      <c r="A32" s="2" t="s">
        <v>32</v>
      </c>
      <c r="B32" s="3">
        <v>2.0099999999999998</v>
      </c>
    </row>
    <row r="33" spans="1:2" x14ac:dyDescent="0.6">
      <c r="A33" s="2" t="s">
        <v>33</v>
      </c>
      <c r="B33" s="3">
        <v>1.54</v>
      </c>
    </row>
    <row r="34" spans="1:2" x14ac:dyDescent="0.6">
      <c r="A34" s="2" t="s">
        <v>34</v>
      </c>
      <c r="B34" s="3">
        <v>1.1399999999999999</v>
      </c>
    </row>
    <row r="35" spans="1:2" x14ac:dyDescent="0.6">
      <c r="A35" s="2" t="s">
        <v>35</v>
      </c>
      <c r="B35" s="3">
        <v>0.9</v>
      </c>
    </row>
    <row r="36" spans="1:2" x14ac:dyDescent="0.6">
      <c r="A36" s="2" t="s">
        <v>36</v>
      </c>
      <c r="B36" s="3">
        <v>0.89</v>
      </c>
    </row>
    <row r="37" spans="1:2" x14ac:dyDescent="0.6">
      <c r="A37" s="2" t="s">
        <v>37</v>
      </c>
      <c r="B37" s="3">
        <v>1.1100000000000001</v>
      </c>
    </row>
    <row r="38" spans="1:2" x14ac:dyDescent="0.6">
      <c r="A38" s="2" t="s">
        <v>38</v>
      </c>
      <c r="B38" s="3">
        <v>1.5</v>
      </c>
    </row>
    <row r="39" spans="1:2" x14ac:dyDescent="0.6">
      <c r="A39" s="2" t="s">
        <v>39</v>
      </c>
      <c r="B39" s="3">
        <v>1.97</v>
      </c>
    </row>
    <row r="40" spans="1:2" x14ac:dyDescent="0.6">
      <c r="A40" s="2" t="s">
        <v>40</v>
      </c>
      <c r="B40" s="3">
        <v>2.39</v>
      </c>
    </row>
    <row r="41" spans="1:2" x14ac:dyDescent="0.6">
      <c r="A41" s="2" t="s">
        <v>41</v>
      </c>
      <c r="B41" s="3">
        <v>2.67</v>
      </c>
    </row>
    <row r="42" spans="1:2" x14ac:dyDescent="0.6">
      <c r="A42" s="2" t="s">
        <v>42</v>
      </c>
      <c r="B42" s="3">
        <v>2.73</v>
      </c>
    </row>
    <row r="43" spans="1:2" x14ac:dyDescent="0.6">
      <c r="A43" s="2" t="s">
        <v>43</v>
      </c>
      <c r="B43" s="3">
        <v>2.5499999999999998</v>
      </c>
    </row>
    <row r="44" spans="1:2" x14ac:dyDescent="0.6">
      <c r="A44" s="2" t="s">
        <v>44</v>
      </c>
      <c r="B44" s="3">
        <v>2.19</v>
      </c>
    </row>
    <row r="45" spans="1:2" x14ac:dyDescent="0.6">
      <c r="A45" s="2" t="s">
        <v>45</v>
      </c>
      <c r="B45" s="3">
        <v>1.73</v>
      </c>
    </row>
    <row r="46" spans="1:2" x14ac:dyDescent="0.6">
      <c r="A46" s="2" t="s">
        <v>46</v>
      </c>
      <c r="B46" s="3">
        <v>1.28</v>
      </c>
    </row>
    <row r="47" spans="1:2" x14ac:dyDescent="0.6">
      <c r="A47" s="2" t="s">
        <v>47</v>
      </c>
      <c r="B47" s="3">
        <v>0.97</v>
      </c>
    </row>
    <row r="48" spans="1:2" x14ac:dyDescent="0.6">
      <c r="A48" s="2" t="s">
        <v>48</v>
      </c>
      <c r="B48" s="3">
        <v>0.86</v>
      </c>
    </row>
    <row r="49" spans="1:2" x14ac:dyDescent="0.6">
      <c r="A49" s="2" t="s">
        <v>49</v>
      </c>
      <c r="B49" s="3">
        <v>0.99</v>
      </c>
    </row>
    <row r="50" spans="1:2" x14ac:dyDescent="0.6">
      <c r="A50" s="2" t="s">
        <v>50</v>
      </c>
      <c r="B50" s="3">
        <v>1.33</v>
      </c>
    </row>
    <row r="51" spans="1:2" x14ac:dyDescent="0.6">
      <c r="A51" s="2" t="s">
        <v>51</v>
      </c>
      <c r="B51" s="3">
        <v>1.78</v>
      </c>
    </row>
    <row r="52" spans="1:2" x14ac:dyDescent="0.6">
      <c r="A52" s="2" t="s">
        <v>52</v>
      </c>
      <c r="B52" s="3">
        <v>2.2400000000000002</v>
      </c>
    </row>
    <row r="53" spans="1:2" x14ac:dyDescent="0.6">
      <c r="A53" s="2" t="s">
        <v>53</v>
      </c>
      <c r="B53" s="3">
        <v>2.58</v>
      </c>
    </row>
    <row r="54" spans="1:2" x14ac:dyDescent="0.6">
      <c r="A54" s="2" t="s">
        <v>54</v>
      </c>
      <c r="B54" s="3">
        <v>2.73</v>
      </c>
    </row>
    <row r="55" spans="1:2" x14ac:dyDescent="0.6">
      <c r="A55" s="2" t="s">
        <v>55</v>
      </c>
      <c r="B55" s="3">
        <v>2.65</v>
      </c>
    </row>
    <row r="56" spans="1:2" x14ac:dyDescent="0.6">
      <c r="A56" s="2" t="s">
        <v>56</v>
      </c>
      <c r="B56" s="3">
        <v>2.35</v>
      </c>
    </row>
    <row r="57" spans="1:2" x14ac:dyDescent="0.6">
      <c r="A57" s="2" t="s">
        <v>57</v>
      </c>
      <c r="B57" s="3">
        <v>1.92</v>
      </c>
    </row>
    <row r="58" spans="1:2" x14ac:dyDescent="0.6">
      <c r="A58" s="2" t="s">
        <v>58</v>
      </c>
      <c r="B58" s="3">
        <v>1.45</v>
      </c>
    </row>
    <row r="59" spans="1:2" x14ac:dyDescent="0.6">
      <c r="A59" s="2" t="s">
        <v>59</v>
      </c>
      <c r="B59" s="3">
        <v>1.07</v>
      </c>
    </row>
    <row r="60" spans="1:2" x14ac:dyDescent="0.6">
      <c r="A60" s="2" t="s">
        <v>60</v>
      </c>
      <c r="B60" s="3">
        <v>0.88</v>
      </c>
    </row>
    <row r="61" spans="1:2" x14ac:dyDescent="0.6">
      <c r="A61" s="2" t="s">
        <v>61</v>
      </c>
      <c r="B61" s="3">
        <v>0.91</v>
      </c>
    </row>
    <row r="62" spans="1:2" x14ac:dyDescent="0.6">
      <c r="A62" s="2" t="s">
        <v>62</v>
      </c>
      <c r="B62" s="3">
        <v>1.17</v>
      </c>
    </row>
    <row r="63" spans="1:2" x14ac:dyDescent="0.6">
      <c r="A63" s="2" t="s">
        <v>63</v>
      </c>
      <c r="B63" s="3">
        <v>1.59</v>
      </c>
    </row>
    <row r="64" spans="1:2" x14ac:dyDescent="0.6">
      <c r="A64" s="2" t="s">
        <v>64</v>
      </c>
      <c r="B64" s="3">
        <v>2.06</v>
      </c>
    </row>
    <row r="65" spans="1:2" x14ac:dyDescent="0.6">
      <c r="A65" s="2" t="s">
        <v>65</v>
      </c>
      <c r="B65" s="3">
        <v>2.46</v>
      </c>
    </row>
    <row r="66" spans="1:2" x14ac:dyDescent="0.6">
      <c r="A66" s="2" t="s">
        <v>66</v>
      </c>
      <c r="B66" s="3">
        <v>2.7</v>
      </c>
    </row>
    <row r="67" spans="1:2" x14ac:dyDescent="0.6">
      <c r="A67" s="2" t="s">
        <v>67</v>
      </c>
      <c r="B67" s="3">
        <v>2.71</v>
      </c>
    </row>
    <row r="68" spans="1:2" x14ac:dyDescent="0.6">
      <c r="A68" s="2" t="s">
        <v>68</v>
      </c>
      <c r="B68" s="3">
        <v>2.4900000000000002</v>
      </c>
    </row>
    <row r="69" spans="1:2" x14ac:dyDescent="0.6">
      <c r="A69" s="2" t="s">
        <v>69</v>
      </c>
      <c r="B69" s="3">
        <v>2.1</v>
      </c>
    </row>
    <row r="70" spans="1:2" x14ac:dyDescent="0.6">
      <c r="A70" s="2" t="s">
        <v>70</v>
      </c>
      <c r="B70" s="3">
        <v>1.63</v>
      </c>
    </row>
    <row r="71" spans="1:2" x14ac:dyDescent="0.6">
      <c r="A71" s="2" t="s">
        <v>71</v>
      </c>
      <c r="B71" s="3">
        <v>1.21</v>
      </c>
    </row>
    <row r="72" spans="1:2" x14ac:dyDescent="0.6">
      <c r="A72" s="2" t="s">
        <v>72</v>
      </c>
      <c r="B72" s="3">
        <v>0.93</v>
      </c>
    </row>
    <row r="73" spans="1:2" x14ac:dyDescent="0.6">
      <c r="A73" s="2" t="s">
        <v>73</v>
      </c>
      <c r="B73" s="3">
        <v>0.87</v>
      </c>
    </row>
    <row r="74" spans="1:2" x14ac:dyDescent="0.6">
      <c r="A74" s="2" t="s">
        <v>74</v>
      </c>
      <c r="B74" s="3">
        <v>1.05</v>
      </c>
    </row>
    <row r="75" spans="1:2" x14ac:dyDescent="0.6">
      <c r="A75" s="2" t="s">
        <v>75</v>
      </c>
      <c r="B75" s="3">
        <v>1.41</v>
      </c>
    </row>
    <row r="76" spans="1:2" x14ac:dyDescent="0.6">
      <c r="A76" s="2" t="s">
        <v>76</v>
      </c>
      <c r="B76" s="3">
        <v>1.87</v>
      </c>
    </row>
    <row r="77" spans="1:2" x14ac:dyDescent="0.6">
      <c r="A77" s="2" t="s">
        <v>77</v>
      </c>
      <c r="B77" s="3">
        <v>2.3199999999999998</v>
      </c>
    </row>
    <row r="78" spans="1:2" x14ac:dyDescent="0.6">
      <c r="A78" s="2" t="s">
        <v>78</v>
      </c>
      <c r="B78" s="3">
        <v>2.63</v>
      </c>
    </row>
    <row r="79" spans="1:2" x14ac:dyDescent="0.6">
      <c r="A79" s="2" t="s">
        <v>79</v>
      </c>
      <c r="B79" s="3">
        <v>2.74</v>
      </c>
    </row>
    <row r="80" spans="1:2" x14ac:dyDescent="0.6">
      <c r="A80" s="2" t="s">
        <v>80</v>
      </c>
      <c r="B80" s="3">
        <v>2.61</v>
      </c>
    </row>
    <row r="81" spans="1:2" x14ac:dyDescent="0.6">
      <c r="A81" s="2" t="s">
        <v>81</v>
      </c>
      <c r="B81" s="3">
        <v>2.27</v>
      </c>
    </row>
    <row r="82" spans="1:2" x14ac:dyDescent="0.6">
      <c r="A82" s="2" t="s">
        <v>82</v>
      </c>
      <c r="B82" s="3">
        <v>1.82</v>
      </c>
    </row>
    <row r="83" spans="1:2" x14ac:dyDescent="0.6">
      <c r="A83" s="2" t="s">
        <v>83</v>
      </c>
      <c r="B83" s="3">
        <v>1.36</v>
      </c>
    </row>
    <row r="84" spans="1:2" x14ac:dyDescent="0.6">
      <c r="A84" s="2" t="s">
        <v>84</v>
      </c>
      <c r="B84" s="3">
        <v>1.02</v>
      </c>
    </row>
    <row r="85" spans="1:2" x14ac:dyDescent="0.6">
      <c r="A85" s="2" t="s">
        <v>85</v>
      </c>
      <c r="B85" s="3">
        <v>0.87</v>
      </c>
    </row>
    <row r="86" spans="1:2" x14ac:dyDescent="0.6">
      <c r="A86" s="2" t="s">
        <v>86</v>
      </c>
      <c r="B86" s="3">
        <v>0.95</v>
      </c>
    </row>
    <row r="87" spans="1:2" x14ac:dyDescent="0.6">
      <c r="A87" s="2" t="s">
        <v>87</v>
      </c>
      <c r="B87" s="3">
        <v>1.25</v>
      </c>
    </row>
    <row r="88" spans="1:2" x14ac:dyDescent="0.6">
      <c r="A88" s="2" t="s">
        <v>88</v>
      </c>
      <c r="B88" s="3">
        <v>1.68</v>
      </c>
    </row>
    <row r="89" spans="1:2" x14ac:dyDescent="0.6">
      <c r="A89" s="2" t="s">
        <v>89</v>
      </c>
      <c r="B89" s="3">
        <v>2.15</v>
      </c>
    </row>
    <row r="90" spans="1:2" x14ac:dyDescent="0.6">
      <c r="A90" s="2" t="s">
        <v>90</v>
      </c>
      <c r="B90" s="3">
        <v>2.5299999999999998</v>
      </c>
    </row>
    <row r="91" spans="1:2" x14ac:dyDescent="0.6">
      <c r="A91" s="2" t="s">
        <v>91</v>
      </c>
      <c r="B91" s="3">
        <v>2.72</v>
      </c>
    </row>
    <row r="92" spans="1:2" x14ac:dyDescent="0.6">
      <c r="A92" s="2" t="s">
        <v>92</v>
      </c>
      <c r="B92" s="3">
        <v>2.69</v>
      </c>
    </row>
    <row r="93" spans="1:2" x14ac:dyDescent="0.6">
      <c r="A93" s="2" t="s">
        <v>93</v>
      </c>
      <c r="B93" s="3">
        <v>2.4300000000000002</v>
      </c>
    </row>
    <row r="94" spans="1:2" x14ac:dyDescent="0.6">
      <c r="A94" s="2" t="s">
        <v>94</v>
      </c>
      <c r="B94" s="3">
        <v>2.0099999999999998</v>
      </c>
    </row>
    <row r="95" spans="1:2" x14ac:dyDescent="0.6">
      <c r="A95" s="2" t="s">
        <v>95</v>
      </c>
      <c r="B95" s="3">
        <v>1.54</v>
      </c>
    </row>
    <row r="96" spans="1:2" x14ac:dyDescent="0.6">
      <c r="A96" s="2" t="s">
        <v>96</v>
      </c>
      <c r="B96" s="3">
        <v>1.1399999999999999</v>
      </c>
    </row>
    <row r="97" spans="1:2" x14ac:dyDescent="0.6">
      <c r="A97" s="2" t="s">
        <v>97</v>
      </c>
      <c r="B97" s="3">
        <v>0.9</v>
      </c>
    </row>
    <row r="98" spans="1:2" x14ac:dyDescent="0.6">
      <c r="A98" s="2" t="s">
        <v>98</v>
      </c>
      <c r="B98" s="3">
        <v>0.89</v>
      </c>
    </row>
    <row r="99" spans="1:2" x14ac:dyDescent="0.6">
      <c r="A99" s="2" t="s">
        <v>99</v>
      </c>
      <c r="B99" s="3">
        <v>1.1100000000000001</v>
      </c>
    </row>
    <row r="100" spans="1:2" x14ac:dyDescent="0.6">
      <c r="A100" s="2" t="s">
        <v>100</v>
      </c>
      <c r="B100" s="3">
        <v>1.5</v>
      </c>
    </row>
    <row r="101" spans="1:2" x14ac:dyDescent="0.6">
      <c r="A101" s="2" t="s">
        <v>101</v>
      </c>
      <c r="B101" s="3">
        <v>1.97</v>
      </c>
    </row>
    <row r="102" spans="1:2" x14ac:dyDescent="0.6">
      <c r="A102" s="2" t="s">
        <v>102</v>
      </c>
      <c r="B102" s="3">
        <v>2.39</v>
      </c>
    </row>
    <row r="103" spans="1:2" x14ac:dyDescent="0.6">
      <c r="A103" s="2" t="s">
        <v>103</v>
      </c>
      <c r="B103" s="3">
        <v>2.67</v>
      </c>
    </row>
    <row r="104" spans="1:2" x14ac:dyDescent="0.6">
      <c r="A104" s="2" t="s">
        <v>104</v>
      </c>
      <c r="B104" s="3">
        <v>2.73</v>
      </c>
    </row>
    <row r="105" spans="1:2" x14ac:dyDescent="0.6">
      <c r="A105" s="2" t="s">
        <v>105</v>
      </c>
      <c r="B105" s="3">
        <v>2.5499999999999998</v>
      </c>
    </row>
    <row r="106" spans="1:2" x14ac:dyDescent="0.6">
      <c r="A106" s="2" t="s">
        <v>106</v>
      </c>
      <c r="B106" s="3">
        <v>2.19</v>
      </c>
    </row>
    <row r="107" spans="1:2" x14ac:dyDescent="0.6">
      <c r="A107" s="2" t="s">
        <v>107</v>
      </c>
      <c r="B107" s="3">
        <v>1.73</v>
      </c>
    </row>
    <row r="108" spans="1:2" x14ac:dyDescent="0.6">
      <c r="A108" s="2" t="s">
        <v>108</v>
      </c>
      <c r="B108" s="3">
        <v>1.28</v>
      </c>
    </row>
    <row r="109" spans="1:2" x14ac:dyDescent="0.6">
      <c r="A109" s="2" t="s">
        <v>109</v>
      </c>
      <c r="B109" s="3">
        <v>0.97</v>
      </c>
    </row>
    <row r="110" spans="1:2" x14ac:dyDescent="0.6">
      <c r="A110" s="2" t="s">
        <v>110</v>
      </c>
      <c r="B110" s="3">
        <v>0.86</v>
      </c>
    </row>
    <row r="111" spans="1:2" x14ac:dyDescent="0.6">
      <c r="A111" s="2" t="s">
        <v>111</v>
      </c>
      <c r="B111" s="3">
        <v>0.99</v>
      </c>
    </row>
    <row r="112" spans="1:2" x14ac:dyDescent="0.6">
      <c r="A112" s="2" t="s">
        <v>112</v>
      </c>
      <c r="B112" s="3">
        <v>1.33</v>
      </c>
    </row>
    <row r="113" spans="1:2" x14ac:dyDescent="0.6">
      <c r="A113" s="2" t="s">
        <v>113</v>
      </c>
      <c r="B113" s="3">
        <v>1.78</v>
      </c>
    </row>
    <row r="114" spans="1:2" x14ac:dyDescent="0.6">
      <c r="A114" s="2" t="s">
        <v>114</v>
      </c>
      <c r="B114" s="3">
        <v>2.2400000000000002</v>
      </c>
    </row>
    <row r="115" spans="1:2" x14ac:dyDescent="0.6">
      <c r="A115" s="2" t="s">
        <v>115</v>
      </c>
      <c r="B115" s="3">
        <v>2.58</v>
      </c>
    </row>
    <row r="116" spans="1:2" x14ac:dyDescent="0.6">
      <c r="A116" s="2" t="s">
        <v>116</v>
      </c>
      <c r="B116" s="3">
        <v>2.73</v>
      </c>
    </row>
    <row r="117" spans="1:2" x14ac:dyDescent="0.6">
      <c r="A117" s="2" t="s">
        <v>117</v>
      </c>
      <c r="B117" s="3">
        <v>2.65</v>
      </c>
    </row>
    <row r="118" spans="1:2" x14ac:dyDescent="0.6">
      <c r="A118" s="2" t="s">
        <v>118</v>
      </c>
      <c r="B118" s="3">
        <v>2.35</v>
      </c>
    </row>
    <row r="119" spans="1:2" x14ac:dyDescent="0.6">
      <c r="A119" s="2" t="s">
        <v>119</v>
      </c>
      <c r="B119" s="3">
        <v>1.92</v>
      </c>
    </row>
    <row r="120" spans="1:2" x14ac:dyDescent="0.6">
      <c r="A120" s="2" t="s">
        <v>120</v>
      </c>
      <c r="B120" s="3">
        <v>1.45</v>
      </c>
    </row>
    <row r="121" spans="1:2" x14ac:dyDescent="0.6">
      <c r="A121" s="2" t="s">
        <v>121</v>
      </c>
      <c r="B121" s="3">
        <v>1.07</v>
      </c>
    </row>
    <row r="122" spans="1:2" x14ac:dyDescent="0.6">
      <c r="A122" s="2" t="s">
        <v>122</v>
      </c>
      <c r="B122" s="3">
        <v>0.88</v>
      </c>
    </row>
    <row r="123" spans="1:2" x14ac:dyDescent="0.6">
      <c r="A123" s="2" t="s">
        <v>123</v>
      </c>
      <c r="B123" s="3">
        <v>0.91</v>
      </c>
    </row>
    <row r="124" spans="1:2" x14ac:dyDescent="0.6">
      <c r="A124" s="2" t="s">
        <v>124</v>
      </c>
      <c r="B124" s="3">
        <v>1.17</v>
      </c>
    </row>
    <row r="125" spans="1:2" x14ac:dyDescent="0.6">
      <c r="A125" s="2" t="s">
        <v>125</v>
      </c>
      <c r="B125" s="3">
        <v>1.59</v>
      </c>
    </row>
    <row r="126" spans="1:2" x14ac:dyDescent="0.6">
      <c r="A126" s="2" t="s">
        <v>126</v>
      </c>
      <c r="B126" s="3">
        <v>2.06</v>
      </c>
    </row>
    <row r="127" spans="1:2" x14ac:dyDescent="0.6">
      <c r="A127" s="2" t="s">
        <v>127</v>
      </c>
      <c r="B127" s="3">
        <v>2.46</v>
      </c>
    </row>
    <row r="128" spans="1:2" x14ac:dyDescent="0.6">
      <c r="A128" s="2" t="s">
        <v>128</v>
      </c>
      <c r="B128" s="3">
        <v>2.7</v>
      </c>
    </row>
    <row r="129" spans="1:2" x14ac:dyDescent="0.6">
      <c r="A129" s="2" t="s">
        <v>129</v>
      </c>
      <c r="B129" s="3">
        <v>2.71</v>
      </c>
    </row>
    <row r="130" spans="1:2" x14ac:dyDescent="0.6">
      <c r="A130" s="2" t="s">
        <v>130</v>
      </c>
      <c r="B130" s="3">
        <v>2.4900000000000002</v>
      </c>
    </row>
    <row r="131" spans="1:2" x14ac:dyDescent="0.6">
      <c r="A131" s="2" t="s">
        <v>131</v>
      </c>
      <c r="B131" s="3">
        <v>2.1</v>
      </c>
    </row>
    <row r="132" spans="1:2" x14ac:dyDescent="0.6">
      <c r="A132" s="2" t="s">
        <v>132</v>
      </c>
      <c r="B132" s="3">
        <v>1.63</v>
      </c>
    </row>
    <row r="133" spans="1:2" x14ac:dyDescent="0.6">
      <c r="A133" s="2" t="s">
        <v>133</v>
      </c>
      <c r="B133" s="3">
        <v>1.21</v>
      </c>
    </row>
    <row r="134" spans="1:2" x14ac:dyDescent="0.6">
      <c r="A134" s="2" t="s">
        <v>134</v>
      </c>
      <c r="B134" s="3">
        <v>0.93</v>
      </c>
    </row>
    <row r="135" spans="1:2" x14ac:dyDescent="0.6">
      <c r="A135" s="2" t="s">
        <v>135</v>
      </c>
      <c r="B135" s="3">
        <v>0.87</v>
      </c>
    </row>
    <row r="136" spans="1:2" x14ac:dyDescent="0.6">
      <c r="A136" s="2" t="s">
        <v>136</v>
      </c>
      <c r="B136" s="3">
        <v>1.05</v>
      </c>
    </row>
    <row r="137" spans="1:2" x14ac:dyDescent="0.6">
      <c r="A137" s="2" t="s">
        <v>137</v>
      </c>
      <c r="B137" s="3">
        <v>1.41</v>
      </c>
    </row>
    <row r="138" spans="1:2" x14ac:dyDescent="0.6">
      <c r="A138" s="2" t="s">
        <v>138</v>
      </c>
      <c r="B138" s="3">
        <v>1.87</v>
      </c>
    </row>
    <row r="139" spans="1:2" x14ac:dyDescent="0.6">
      <c r="A139" s="2" t="s">
        <v>139</v>
      </c>
      <c r="B139" s="3">
        <v>2.3199999999999998</v>
      </c>
    </row>
    <row r="140" spans="1:2" x14ac:dyDescent="0.6">
      <c r="A140" s="2" t="s">
        <v>140</v>
      </c>
      <c r="B140" s="3">
        <v>2.63</v>
      </c>
    </row>
    <row r="141" spans="1:2" x14ac:dyDescent="0.6">
      <c r="A141" s="2" t="s">
        <v>141</v>
      </c>
      <c r="B141" s="3">
        <v>2.74</v>
      </c>
    </row>
    <row r="142" spans="1:2" x14ac:dyDescent="0.6">
      <c r="A142" s="2" t="s">
        <v>142</v>
      </c>
      <c r="B142" s="3">
        <v>2.61</v>
      </c>
    </row>
    <row r="143" spans="1:2" x14ac:dyDescent="0.6">
      <c r="A143" s="2" t="s">
        <v>143</v>
      </c>
      <c r="B143" s="3">
        <v>2.27</v>
      </c>
    </row>
    <row r="144" spans="1:2" x14ac:dyDescent="0.6">
      <c r="A144" s="2" t="s">
        <v>144</v>
      </c>
      <c r="B144" s="3">
        <v>1.82</v>
      </c>
    </row>
    <row r="145" spans="1:2" x14ac:dyDescent="0.6">
      <c r="A145" s="2" t="s">
        <v>145</v>
      </c>
      <c r="B145" s="3">
        <v>1.36</v>
      </c>
    </row>
    <row r="146" spans="1:2" x14ac:dyDescent="0.6">
      <c r="A146" s="2" t="s">
        <v>146</v>
      </c>
      <c r="B146" s="3">
        <v>1.02</v>
      </c>
    </row>
    <row r="147" spans="1:2" x14ac:dyDescent="0.6">
      <c r="A147" s="2" t="s">
        <v>147</v>
      </c>
      <c r="B147" s="3">
        <v>0.87</v>
      </c>
    </row>
    <row r="148" spans="1:2" x14ac:dyDescent="0.6">
      <c r="A148" s="2" t="s">
        <v>148</v>
      </c>
      <c r="B148" s="3">
        <v>0.95</v>
      </c>
    </row>
    <row r="149" spans="1:2" x14ac:dyDescent="0.6">
      <c r="A149" s="2" t="s">
        <v>149</v>
      </c>
      <c r="B149" s="3">
        <v>1.25</v>
      </c>
    </row>
    <row r="150" spans="1:2" x14ac:dyDescent="0.6">
      <c r="A150" s="2" t="s">
        <v>150</v>
      </c>
      <c r="B150" s="3">
        <v>1.68</v>
      </c>
    </row>
    <row r="151" spans="1:2" x14ac:dyDescent="0.6">
      <c r="A151" s="2" t="s">
        <v>151</v>
      </c>
      <c r="B151" s="3">
        <v>2.15</v>
      </c>
    </row>
    <row r="152" spans="1:2" x14ac:dyDescent="0.6">
      <c r="A152" s="2" t="s">
        <v>152</v>
      </c>
      <c r="B152" s="3">
        <v>2.5299999999999998</v>
      </c>
    </row>
    <row r="153" spans="1:2" x14ac:dyDescent="0.6">
      <c r="A153" s="2" t="s">
        <v>153</v>
      </c>
      <c r="B153" s="3">
        <v>2.72</v>
      </c>
    </row>
    <row r="154" spans="1:2" x14ac:dyDescent="0.6">
      <c r="A154" s="2" t="s">
        <v>154</v>
      </c>
      <c r="B154" s="3">
        <v>2.69</v>
      </c>
    </row>
    <row r="155" spans="1:2" x14ac:dyDescent="0.6">
      <c r="A155" s="2" t="s">
        <v>155</v>
      </c>
      <c r="B155" s="3">
        <v>2.4300000000000002</v>
      </c>
    </row>
    <row r="156" spans="1:2" x14ac:dyDescent="0.6">
      <c r="A156" s="2" t="s">
        <v>156</v>
      </c>
      <c r="B156" s="3">
        <v>2.0099999999999998</v>
      </c>
    </row>
    <row r="157" spans="1:2" x14ac:dyDescent="0.6">
      <c r="A157" s="2" t="s">
        <v>157</v>
      </c>
      <c r="B157" s="3">
        <v>1.54</v>
      </c>
    </row>
    <row r="158" spans="1:2" x14ac:dyDescent="0.6">
      <c r="A158" s="2" t="s">
        <v>158</v>
      </c>
      <c r="B158" s="3">
        <v>1.1399999999999999</v>
      </c>
    </row>
    <row r="159" spans="1:2" x14ac:dyDescent="0.6">
      <c r="A159" s="2" t="s">
        <v>159</v>
      </c>
      <c r="B159" s="3">
        <v>0.9</v>
      </c>
    </row>
    <row r="160" spans="1:2" x14ac:dyDescent="0.6">
      <c r="A160" s="2" t="s">
        <v>160</v>
      </c>
      <c r="B160" s="3">
        <v>0.89</v>
      </c>
    </row>
    <row r="161" spans="1:2" x14ac:dyDescent="0.6">
      <c r="A161" s="2" t="s">
        <v>161</v>
      </c>
      <c r="B161" s="3">
        <v>1.1100000000000001</v>
      </c>
    </row>
    <row r="162" spans="1:2" x14ac:dyDescent="0.6">
      <c r="A162" s="2" t="s">
        <v>162</v>
      </c>
      <c r="B162" s="3">
        <v>1.5</v>
      </c>
    </row>
    <row r="163" spans="1:2" x14ac:dyDescent="0.6">
      <c r="A163" s="2" t="s">
        <v>163</v>
      </c>
      <c r="B163" s="3">
        <v>1.97</v>
      </c>
    </row>
    <row r="164" spans="1:2" x14ac:dyDescent="0.6">
      <c r="A164" s="2" t="s">
        <v>164</v>
      </c>
      <c r="B164" s="3">
        <v>2.39</v>
      </c>
    </row>
    <row r="165" spans="1:2" x14ac:dyDescent="0.6">
      <c r="A165" s="2" t="s">
        <v>165</v>
      </c>
      <c r="B165" s="3">
        <v>2.67</v>
      </c>
    </row>
    <row r="166" spans="1:2" x14ac:dyDescent="0.6">
      <c r="A166" s="2" t="s">
        <v>166</v>
      </c>
      <c r="B166" s="3">
        <v>2.73</v>
      </c>
    </row>
    <row r="167" spans="1:2" x14ac:dyDescent="0.6">
      <c r="A167" s="2" t="s">
        <v>167</v>
      </c>
      <c r="B167" s="3">
        <v>2.5499999999999998</v>
      </c>
    </row>
    <row r="168" spans="1:2" x14ac:dyDescent="0.6">
      <c r="A168" s="2" t="s">
        <v>168</v>
      </c>
      <c r="B168" s="3">
        <v>2.19</v>
      </c>
    </row>
    <row r="169" spans="1:2" x14ac:dyDescent="0.6">
      <c r="A169" s="2" t="s">
        <v>169</v>
      </c>
      <c r="B169" s="3">
        <v>1.73</v>
      </c>
    </row>
    <row r="170" spans="1:2" x14ac:dyDescent="0.6">
      <c r="A170" s="2" t="s">
        <v>170</v>
      </c>
      <c r="B170" s="3">
        <v>1.28</v>
      </c>
    </row>
    <row r="171" spans="1:2" x14ac:dyDescent="0.6">
      <c r="A171" s="2" t="s">
        <v>171</v>
      </c>
      <c r="B171" s="3">
        <v>0.97</v>
      </c>
    </row>
    <row r="172" spans="1:2" x14ac:dyDescent="0.6">
      <c r="A172" s="2" t="s">
        <v>172</v>
      </c>
      <c r="B172" s="3">
        <v>0.86</v>
      </c>
    </row>
    <row r="173" spans="1:2" x14ac:dyDescent="0.6">
      <c r="A173" s="2" t="s">
        <v>173</v>
      </c>
      <c r="B173" s="3">
        <v>0.99</v>
      </c>
    </row>
    <row r="174" spans="1:2" x14ac:dyDescent="0.6">
      <c r="A174" s="2" t="s">
        <v>174</v>
      </c>
      <c r="B174" s="3">
        <v>1.33</v>
      </c>
    </row>
    <row r="175" spans="1:2" x14ac:dyDescent="0.6">
      <c r="A175" s="2" t="s">
        <v>175</v>
      </c>
      <c r="B175" s="3">
        <v>1.78</v>
      </c>
    </row>
    <row r="176" spans="1:2" x14ac:dyDescent="0.6">
      <c r="A176" s="2" t="s">
        <v>176</v>
      </c>
      <c r="B176" s="3">
        <v>2.2400000000000002</v>
      </c>
    </row>
    <row r="177" spans="1:2" x14ac:dyDescent="0.6">
      <c r="A177" s="2" t="s">
        <v>177</v>
      </c>
      <c r="B177" s="3">
        <v>2.58</v>
      </c>
    </row>
    <row r="178" spans="1:2" x14ac:dyDescent="0.6">
      <c r="A178" s="2" t="s">
        <v>178</v>
      </c>
      <c r="B178" s="3">
        <v>2.73</v>
      </c>
    </row>
    <row r="179" spans="1:2" x14ac:dyDescent="0.6">
      <c r="A179" s="2" t="s">
        <v>179</v>
      </c>
      <c r="B179" s="3">
        <v>2.65</v>
      </c>
    </row>
    <row r="180" spans="1:2" x14ac:dyDescent="0.6">
      <c r="A180" s="2" t="s">
        <v>180</v>
      </c>
      <c r="B180" s="3">
        <v>2.35</v>
      </c>
    </row>
    <row r="181" spans="1:2" x14ac:dyDescent="0.6">
      <c r="A181" s="2" t="s">
        <v>181</v>
      </c>
      <c r="B181" s="3">
        <v>1.92</v>
      </c>
    </row>
    <row r="182" spans="1:2" x14ac:dyDescent="0.6">
      <c r="A182" s="2" t="s">
        <v>182</v>
      </c>
      <c r="B182" s="3">
        <v>1.45</v>
      </c>
    </row>
    <row r="183" spans="1:2" x14ac:dyDescent="0.6">
      <c r="A183" s="2" t="s">
        <v>183</v>
      </c>
      <c r="B183" s="3">
        <v>1.07</v>
      </c>
    </row>
    <row r="184" spans="1:2" x14ac:dyDescent="0.6">
      <c r="A184" s="2" t="s">
        <v>184</v>
      </c>
      <c r="B184" s="3">
        <v>0.88</v>
      </c>
    </row>
    <row r="185" spans="1:2" x14ac:dyDescent="0.6">
      <c r="A185" s="2" t="s">
        <v>185</v>
      </c>
      <c r="B185" s="3">
        <v>0.91</v>
      </c>
    </row>
    <row r="186" spans="1:2" x14ac:dyDescent="0.6">
      <c r="A186" s="2" t="s">
        <v>186</v>
      </c>
      <c r="B186" s="3">
        <v>1.17</v>
      </c>
    </row>
    <row r="187" spans="1:2" x14ac:dyDescent="0.6">
      <c r="A187" s="2" t="s">
        <v>187</v>
      </c>
      <c r="B187" s="3">
        <v>1.59</v>
      </c>
    </row>
    <row r="188" spans="1:2" x14ac:dyDescent="0.6">
      <c r="A188" s="2" t="s">
        <v>188</v>
      </c>
      <c r="B188" s="3">
        <v>2.06</v>
      </c>
    </row>
    <row r="189" spans="1:2" x14ac:dyDescent="0.6">
      <c r="A189" s="2" t="s">
        <v>189</v>
      </c>
      <c r="B189" s="3">
        <v>2.46</v>
      </c>
    </row>
    <row r="190" spans="1:2" x14ac:dyDescent="0.6">
      <c r="A190" s="2" t="s">
        <v>190</v>
      </c>
      <c r="B190" s="3">
        <v>2.7</v>
      </c>
    </row>
    <row r="191" spans="1:2" x14ac:dyDescent="0.6">
      <c r="A191" s="2" t="s">
        <v>191</v>
      </c>
      <c r="B191" s="3">
        <v>2.71</v>
      </c>
    </row>
    <row r="192" spans="1:2" x14ac:dyDescent="0.6">
      <c r="A192" s="2" t="s">
        <v>192</v>
      </c>
      <c r="B192" s="3">
        <v>2.4900000000000002</v>
      </c>
    </row>
    <row r="193" spans="1:2" x14ac:dyDescent="0.6">
      <c r="A193" s="2" t="s">
        <v>193</v>
      </c>
      <c r="B193" s="3">
        <v>2.1</v>
      </c>
    </row>
    <row r="194" spans="1:2" x14ac:dyDescent="0.6">
      <c r="A194" s="2" t="s">
        <v>194</v>
      </c>
      <c r="B194" s="3">
        <v>1.63</v>
      </c>
    </row>
    <row r="195" spans="1:2" x14ac:dyDescent="0.6">
      <c r="A195" s="2" t="s">
        <v>195</v>
      </c>
      <c r="B195" s="3">
        <v>1.21</v>
      </c>
    </row>
    <row r="196" spans="1:2" x14ac:dyDescent="0.6">
      <c r="A196" s="2" t="s">
        <v>196</v>
      </c>
      <c r="B196" s="3">
        <v>0.93</v>
      </c>
    </row>
    <row r="197" spans="1:2" x14ac:dyDescent="0.6">
      <c r="A197" s="2" t="s">
        <v>197</v>
      </c>
      <c r="B197" s="3">
        <v>0.87</v>
      </c>
    </row>
    <row r="198" spans="1:2" x14ac:dyDescent="0.6">
      <c r="A198" s="2" t="s">
        <v>198</v>
      </c>
      <c r="B198" s="3">
        <v>1.05</v>
      </c>
    </row>
    <row r="199" spans="1:2" x14ac:dyDescent="0.6">
      <c r="A199" s="2" t="s">
        <v>199</v>
      </c>
      <c r="B199" s="3">
        <v>1.41</v>
      </c>
    </row>
    <row r="200" spans="1:2" x14ac:dyDescent="0.6">
      <c r="A200" s="2" t="s">
        <v>200</v>
      </c>
      <c r="B200" s="3">
        <v>1.87</v>
      </c>
    </row>
    <row r="201" spans="1:2" x14ac:dyDescent="0.6">
      <c r="A201" s="2" t="s">
        <v>201</v>
      </c>
      <c r="B201" s="3">
        <v>2.3199999999999998</v>
      </c>
    </row>
    <row r="202" spans="1:2" x14ac:dyDescent="0.6">
      <c r="A202" s="2" t="s">
        <v>202</v>
      </c>
      <c r="B202" s="3">
        <v>2.63</v>
      </c>
    </row>
    <row r="203" spans="1:2" x14ac:dyDescent="0.6">
      <c r="A203" s="2" t="s">
        <v>203</v>
      </c>
      <c r="B203" s="3">
        <v>2.74</v>
      </c>
    </row>
    <row r="204" spans="1:2" x14ac:dyDescent="0.6">
      <c r="A204" s="2" t="s">
        <v>204</v>
      </c>
      <c r="B204" s="3">
        <v>2.61</v>
      </c>
    </row>
    <row r="205" spans="1:2" x14ac:dyDescent="0.6">
      <c r="A205" s="2" t="s">
        <v>205</v>
      </c>
      <c r="B205" s="3">
        <v>2.27</v>
      </c>
    </row>
    <row r="206" spans="1:2" x14ac:dyDescent="0.6">
      <c r="A206" s="2" t="s">
        <v>206</v>
      </c>
      <c r="B206" s="3">
        <v>1.82</v>
      </c>
    </row>
    <row r="207" spans="1:2" x14ac:dyDescent="0.6">
      <c r="A207" s="2" t="s">
        <v>207</v>
      </c>
      <c r="B207" s="3">
        <v>1.36</v>
      </c>
    </row>
    <row r="208" spans="1:2" x14ac:dyDescent="0.6">
      <c r="A208" s="2" t="s">
        <v>208</v>
      </c>
      <c r="B208" s="3">
        <v>1.02</v>
      </c>
    </row>
    <row r="209" spans="1:2" x14ac:dyDescent="0.6">
      <c r="A209" s="2" t="s">
        <v>209</v>
      </c>
      <c r="B209" s="3">
        <v>0.87</v>
      </c>
    </row>
    <row r="210" spans="1:2" x14ac:dyDescent="0.6">
      <c r="A210" s="2" t="s">
        <v>210</v>
      </c>
      <c r="B210" s="3">
        <v>0.95</v>
      </c>
    </row>
    <row r="211" spans="1:2" x14ac:dyDescent="0.6">
      <c r="A211" s="2" t="s">
        <v>211</v>
      </c>
      <c r="B211" s="3">
        <v>1.25</v>
      </c>
    </row>
    <row r="212" spans="1:2" x14ac:dyDescent="0.6">
      <c r="A212" s="2" t="s">
        <v>212</v>
      </c>
      <c r="B212" s="3">
        <v>1.68</v>
      </c>
    </row>
    <row r="213" spans="1:2" x14ac:dyDescent="0.6">
      <c r="A213" s="2" t="s">
        <v>213</v>
      </c>
      <c r="B213" s="3">
        <v>2.15</v>
      </c>
    </row>
    <row r="214" spans="1:2" x14ac:dyDescent="0.6">
      <c r="A214" s="2" t="s">
        <v>214</v>
      </c>
      <c r="B214" s="3">
        <v>2.5299999999999998</v>
      </c>
    </row>
    <row r="215" spans="1:2" x14ac:dyDescent="0.6">
      <c r="A215" s="2" t="s">
        <v>215</v>
      </c>
      <c r="B215" s="3">
        <v>2.72</v>
      </c>
    </row>
    <row r="216" spans="1:2" x14ac:dyDescent="0.6">
      <c r="A216" s="2" t="s">
        <v>216</v>
      </c>
      <c r="B216" s="3">
        <v>2.69</v>
      </c>
    </row>
    <row r="217" spans="1:2" x14ac:dyDescent="0.6">
      <c r="A217" s="2" t="s">
        <v>217</v>
      </c>
      <c r="B217" s="3">
        <v>2.4300000000000002</v>
      </c>
    </row>
    <row r="218" spans="1:2" x14ac:dyDescent="0.6">
      <c r="A218" s="2" t="s">
        <v>218</v>
      </c>
      <c r="B218" s="3">
        <v>2.0099999999999998</v>
      </c>
    </row>
    <row r="219" spans="1:2" x14ac:dyDescent="0.6">
      <c r="A219" s="2" t="s">
        <v>219</v>
      </c>
      <c r="B219" s="3">
        <v>1.54</v>
      </c>
    </row>
    <row r="220" spans="1:2" x14ac:dyDescent="0.6">
      <c r="A220" s="2" t="s">
        <v>220</v>
      </c>
      <c r="B220" s="3">
        <v>1.1399999999999999</v>
      </c>
    </row>
    <row r="221" spans="1:2" x14ac:dyDescent="0.6">
      <c r="A221" s="2" t="s">
        <v>221</v>
      </c>
      <c r="B221" s="3">
        <v>0.9</v>
      </c>
    </row>
    <row r="222" spans="1:2" x14ac:dyDescent="0.6">
      <c r="A222" s="2" t="s">
        <v>222</v>
      </c>
      <c r="B222" s="3">
        <v>0.89</v>
      </c>
    </row>
    <row r="223" spans="1:2" x14ac:dyDescent="0.6">
      <c r="A223" s="2" t="s">
        <v>223</v>
      </c>
      <c r="B223" s="3">
        <v>1.1100000000000001</v>
      </c>
    </row>
    <row r="224" spans="1:2" x14ac:dyDescent="0.6">
      <c r="A224" s="2" t="s">
        <v>224</v>
      </c>
      <c r="B224" s="3">
        <v>1.5</v>
      </c>
    </row>
    <row r="225" spans="1:2" x14ac:dyDescent="0.6">
      <c r="A225" s="2" t="s">
        <v>225</v>
      </c>
      <c r="B225" s="3">
        <v>1.97</v>
      </c>
    </row>
    <row r="226" spans="1:2" x14ac:dyDescent="0.6">
      <c r="A226" s="2" t="s">
        <v>226</v>
      </c>
      <c r="B226" s="3">
        <v>2.39</v>
      </c>
    </row>
    <row r="227" spans="1:2" x14ac:dyDescent="0.6">
      <c r="A227" s="2" t="s">
        <v>227</v>
      </c>
      <c r="B227" s="3">
        <v>2.67</v>
      </c>
    </row>
    <row r="228" spans="1:2" x14ac:dyDescent="0.6">
      <c r="A228" s="2" t="s">
        <v>228</v>
      </c>
      <c r="B228" s="3">
        <v>2.73</v>
      </c>
    </row>
    <row r="229" spans="1:2" x14ac:dyDescent="0.6">
      <c r="A229" s="2" t="s">
        <v>229</v>
      </c>
      <c r="B229" s="3">
        <v>2.5499999999999998</v>
      </c>
    </row>
    <row r="230" spans="1:2" x14ac:dyDescent="0.6">
      <c r="A230" s="2" t="s">
        <v>230</v>
      </c>
      <c r="B230" s="3">
        <v>2.19</v>
      </c>
    </row>
    <row r="231" spans="1:2" x14ac:dyDescent="0.6">
      <c r="A231" s="2" t="s">
        <v>231</v>
      </c>
      <c r="B231" s="3">
        <v>1.73</v>
      </c>
    </row>
    <row r="232" spans="1:2" x14ac:dyDescent="0.6">
      <c r="A232" s="2" t="s">
        <v>232</v>
      </c>
      <c r="B232" s="3">
        <v>1.28</v>
      </c>
    </row>
    <row r="233" spans="1:2" x14ac:dyDescent="0.6">
      <c r="A233" s="2" t="s">
        <v>233</v>
      </c>
      <c r="B233" s="3">
        <v>0.97</v>
      </c>
    </row>
    <row r="234" spans="1:2" x14ac:dyDescent="0.6">
      <c r="A234" s="2" t="s">
        <v>234</v>
      </c>
      <c r="B234" s="3">
        <v>0.86</v>
      </c>
    </row>
    <row r="235" spans="1:2" x14ac:dyDescent="0.6">
      <c r="A235" s="2" t="s">
        <v>235</v>
      </c>
      <c r="B235" s="3">
        <v>0.99</v>
      </c>
    </row>
    <row r="236" spans="1:2" x14ac:dyDescent="0.6">
      <c r="A236" s="2" t="s">
        <v>236</v>
      </c>
      <c r="B236" s="3">
        <v>1.33</v>
      </c>
    </row>
    <row r="237" spans="1:2" x14ac:dyDescent="0.6">
      <c r="A237" s="2" t="s">
        <v>237</v>
      </c>
      <c r="B237" s="3">
        <v>1.78</v>
      </c>
    </row>
    <row r="238" spans="1:2" x14ac:dyDescent="0.6">
      <c r="A238" s="2" t="s">
        <v>238</v>
      </c>
      <c r="B238" s="3">
        <v>2.2400000000000002</v>
      </c>
    </row>
    <row r="239" spans="1:2" x14ac:dyDescent="0.6">
      <c r="A239" s="2" t="s">
        <v>239</v>
      </c>
      <c r="B239" s="3">
        <v>2.58</v>
      </c>
    </row>
    <row r="240" spans="1:2" x14ac:dyDescent="0.6">
      <c r="A240" s="2" t="s">
        <v>240</v>
      </c>
      <c r="B240" s="3">
        <v>2.73</v>
      </c>
    </row>
    <row r="241" spans="1:2" x14ac:dyDescent="0.6">
      <c r="A241" s="2" t="s">
        <v>241</v>
      </c>
      <c r="B241" s="3">
        <v>2.65</v>
      </c>
    </row>
    <row r="242" spans="1:2" x14ac:dyDescent="0.6">
      <c r="A242" s="2" t="s">
        <v>242</v>
      </c>
      <c r="B242" s="3">
        <v>2.35</v>
      </c>
    </row>
    <row r="243" spans="1:2" x14ac:dyDescent="0.6">
      <c r="A243" s="2" t="s">
        <v>243</v>
      </c>
      <c r="B243" s="3">
        <v>1.92</v>
      </c>
    </row>
    <row r="244" spans="1:2" x14ac:dyDescent="0.6">
      <c r="A244" s="2" t="s">
        <v>244</v>
      </c>
      <c r="B244" s="3">
        <v>1.45</v>
      </c>
    </row>
    <row r="245" spans="1:2" x14ac:dyDescent="0.6">
      <c r="A245" s="2" t="s">
        <v>245</v>
      </c>
      <c r="B245" s="3">
        <v>1.07</v>
      </c>
    </row>
    <row r="246" spans="1:2" x14ac:dyDescent="0.6">
      <c r="A246" s="2" t="s">
        <v>246</v>
      </c>
      <c r="B246" s="3">
        <v>0.88</v>
      </c>
    </row>
    <row r="247" spans="1:2" x14ac:dyDescent="0.6">
      <c r="A247" s="2" t="s">
        <v>247</v>
      </c>
      <c r="B247" s="3">
        <v>0.91</v>
      </c>
    </row>
    <row r="248" spans="1:2" x14ac:dyDescent="0.6">
      <c r="A248" s="2" t="s">
        <v>248</v>
      </c>
      <c r="B248" s="3">
        <v>1.17</v>
      </c>
    </row>
    <row r="249" spans="1:2" x14ac:dyDescent="0.6">
      <c r="A249" s="2" t="s">
        <v>249</v>
      </c>
      <c r="B249" s="3">
        <v>1.59</v>
      </c>
    </row>
    <row r="250" spans="1:2" x14ac:dyDescent="0.6">
      <c r="A250" s="2" t="s">
        <v>250</v>
      </c>
      <c r="B250" s="3">
        <v>2.06</v>
      </c>
    </row>
    <row r="251" spans="1:2" x14ac:dyDescent="0.6">
      <c r="A251" s="2" t="s">
        <v>251</v>
      </c>
      <c r="B251" s="3">
        <v>2.46</v>
      </c>
    </row>
    <row r="252" spans="1:2" x14ac:dyDescent="0.6">
      <c r="A252" s="2" t="s">
        <v>252</v>
      </c>
      <c r="B252" s="3">
        <v>2.7</v>
      </c>
    </row>
    <row r="253" spans="1:2" x14ac:dyDescent="0.6">
      <c r="A253" s="2" t="s">
        <v>253</v>
      </c>
      <c r="B253" s="3">
        <v>2.71</v>
      </c>
    </row>
    <row r="254" spans="1:2" x14ac:dyDescent="0.6">
      <c r="A254" s="2" t="s">
        <v>254</v>
      </c>
      <c r="B254" s="3">
        <v>2.4900000000000002</v>
      </c>
    </row>
    <row r="255" spans="1:2" x14ac:dyDescent="0.6">
      <c r="A255" s="2" t="s">
        <v>255</v>
      </c>
      <c r="B255" s="3">
        <v>2.1</v>
      </c>
    </row>
    <row r="256" spans="1:2" x14ac:dyDescent="0.6">
      <c r="A256" s="2" t="s">
        <v>256</v>
      </c>
      <c r="B256" s="3">
        <v>1.63</v>
      </c>
    </row>
    <row r="257" spans="1:2" x14ac:dyDescent="0.6">
      <c r="A257" s="2" t="s">
        <v>257</v>
      </c>
      <c r="B257" s="3">
        <v>1.21</v>
      </c>
    </row>
    <row r="258" spans="1:2" x14ac:dyDescent="0.6">
      <c r="A258" s="2" t="s">
        <v>258</v>
      </c>
      <c r="B258" s="3">
        <v>0.93</v>
      </c>
    </row>
    <row r="259" spans="1:2" x14ac:dyDescent="0.6">
      <c r="A259" s="2" t="s">
        <v>259</v>
      </c>
      <c r="B259" s="3">
        <v>0.87</v>
      </c>
    </row>
    <row r="260" spans="1:2" x14ac:dyDescent="0.6">
      <c r="A260" s="2" t="s">
        <v>260</v>
      </c>
      <c r="B260" s="3">
        <v>1.05</v>
      </c>
    </row>
    <row r="261" spans="1:2" x14ac:dyDescent="0.6">
      <c r="A261" s="2" t="s">
        <v>261</v>
      </c>
      <c r="B261" s="3">
        <v>1.41</v>
      </c>
    </row>
    <row r="262" spans="1:2" x14ac:dyDescent="0.6">
      <c r="A262" s="2" t="s">
        <v>262</v>
      </c>
      <c r="B262" s="3">
        <v>1.87</v>
      </c>
    </row>
    <row r="263" spans="1:2" x14ac:dyDescent="0.6">
      <c r="A263" s="2" t="s">
        <v>263</v>
      </c>
      <c r="B263" s="3">
        <v>2.3199999999999998</v>
      </c>
    </row>
    <row r="264" spans="1:2" x14ac:dyDescent="0.6">
      <c r="A264" s="2" t="s">
        <v>264</v>
      </c>
      <c r="B264" s="3">
        <v>2.63</v>
      </c>
    </row>
    <row r="265" spans="1:2" x14ac:dyDescent="0.6">
      <c r="A265" s="2" t="s">
        <v>265</v>
      </c>
      <c r="B265" s="3">
        <v>2.74</v>
      </c>
    </row>
    <row r="266" spans="1:2" x14ac:dyDescent="0.6">
      <c r="A266" s="2" t="s">
        <v>266</v>
      </c>
      <c r="B266" s="3">
        <v>2.61</v>
      </c>
    </row>
    <row r="267" spans="1:2" x14ac:dyDescent="0.6">
      <c r="A267" s="2" t="s">
        <v>267</v>
      </c>
      <c r="B267" s="3">
        <v>2.27</v>
      </c>
    </row>
    <row r="268" spans="1:2" x14ac:dyDescent="0.6">
      <c r="A268" s="2" t="s">
        <v>268</v>
      </c>
      <c r="B268" s="3">
        <v>1.82</v>
      </c>
    </row>
    <row r="269" spans="1:2" x14ac:dyDescent="0.6">
      <c r="A269" s="2" t="s">
        <v>269</v>
      </c>
      <c r="B269" s="3">
        <v>1.36</v>
      </c>
    </row>
    <row r="270" spans="1:2" x14ac:dyDescent="0.6">
      <c r="A270" s="2" t="s">
        <v>270</v>
      </c>
      <c r="B270" s="3">
        <v>1.02</v>
      </c>
    </row>
    <row r="271" spans="1:2" x14ac:dyDescent="0.6">
      <c r="A271" s="2" t="s">
        <v>271</v>
      </c>
      <c r="B271" s="3">
        <v>0.87</v>
      </c>
    </row>
    <row r="272" spans="1:2" x14ac:dyDescent="0.6">
      <c r="A272" s="2" t="s">
        <v>272</v>
      </c>
      <c r="B272" s="3">
        <v>0.95</v>
      </c>
    </row>
    <row r="273" spans="1:2" x14ac:dyDescent="0.6">
      <c r="A273" s="2" t="s">
        <v>273</v>
      </c>
      <c r="B273" s="3">
        <v>1.25</v>
      </c>
    </row>
    <row r="274" spans="1:2" x14ac:dyDescent="0.6">
      <c r="A274" s="2" t="s">
        <v>274</v>
      </c>
      <c r="B274" s="3">
        <v>1.68</v>
      </c>
    </row>
    <row r="275" spans="1:2" x14ac:dyDescent="0.6">
      <c r="A275" s="2" t="s">
        <v>275</v>
      </c>
      <c r="B275" s="3">
        <v>2.15</v>
      </c>
    </row>
    <row r="276" spans="1:2" x14ac:dyDescent="0.6">
      <c r="A276" s="2" t="s">
        <v>276</v>
      </c>
      <c r="B276" s="3">
        <v>2.5299999999999998</v>
      </c>
    </row>
    <row r="277" spans="1:2" x14ac:dyDescent="0.6">
      <c r="A277" s="2" t="s">
        <v>277</v>
      </c>
      <c r="B277" s="3">
        <v>2.72</v>
      </c>
    </row>
    <row r="278" spans="1:2" x14ac:dyDescent="0.6">
      <c r="A278" s="2" t="s">
        <v>278</v>
      </c>
      <c r="B278" s="3">
        <v>2.69</v>
      </c>
    </row>
    <row r="279" spans="1:2" x14ac:dyDescent="0.6">
      <c r="A279" s="2" t="s">
        <v>279</v>
      </c>
      <c r="B279" s="3">
        <v>2.4300000000000002</v>
      </c>
    </row>
    <row r="280" spans="1:2" x14ac:dyDescent="0.6">
      <c r="A280" s="2" t="s">
        <v>280</v>
      </c>
      <c r="B280" s="3">
        <v>2.0099999999999998</v>
      </c>
    </row>
    <row r="281" spans="1:2" x14ac:dyDescent="0.6">
      <c r="A281" s="2" t="s">
        <v>281</v>
      </c>
      <c r="B281" s="3">
        <v>1.54</v>
      </c>
    </row>
    <row r="282" spans="1:2" x14ac:dyDescent="0.6">
      <c r="A282" s="2" t="s">
        <v>282</v>
      </c>
      <c r="B282" s="3">
        <v>1.1399999999999999</v>
      </c>
    </row>
    <row r="283" spans="1:2" x14ac:dyDescent="0.6">
      <c r="A283" s="2" t="s">
        <v>283</v>
      </c>
      <c r="B283" s="3">
        <v>0.9</v>
      </c>
    </row>
    <row r="284" spans="1:2" x14ac:dyDescent="0.6">
      <c r="A284" s="2" t="s">
        <v>284</v>
      </c>
      <c r="B284" s="3">
        <v>0.89</v>
      </c>
    </row>
    <row r="285" spans="1:2" x14ac:dyDescent="0.6">
      <c r="A285" s="2" t="s">
        <v>285</v>
      </c>
      <c r="B285" s="3">
        <v>1.1100000000000001</v>
      </c>
    </row>
    <row r="286" spans="1:2" x14ac:dyDescent="0.6">
      <c r="A286" s="2" t="s">
        <v>286</v>
      </c>
      <c r="B286" s="3">
        <v>1.5</v>
      </c>
    </row>
    <row r="287" spans="1:2" x14ac:dyDescent="0.6">
      <c r="A287" s="2" t="s">
        <v>287</v>
      </c>
      <c r="B287" s="3">
        <v>1.97</v>
      </c>
    </row>
    <row r="288" spans="1:2" x14ac:dyDescent="0.6">
      <c r="A288" s="2" t="s">
        <v>288</v>
      </c>
      <c r="B288" s="3">
        <v>2.39</v>
      </c>
    </row>
    <row r="289" spans="1:2" x14ac:dyDescent="0.6">
      <c r="A289" s="2" t="s">
        <v>289</v>
      </c>
      <c r="B289" s="3">
        <v>2.67</v>
      </c>
    </row>
    <row r="290" spans="1:2" x14ac:dyDescent="0.6">
      <c r="A290" s="2" t="s">
        <v>290</v>
      </c>
      <c r="B290" s="3">
        <v>2.73</v>
      </c>
    </row>
    <row r="291" spans="1:2" x14ac:dyDescent="0.6">
      <c r="A291" s="2" t="s">
        <v>291</v>
      </c>
      <c r="B291" s="3">
        <v>2.5499999999999998</v>
      </c>
    </row>
    <row r="292" spans="1:2" x14ac:dyDescent="0.6">
      <c r="A292" s="2" t="s">
        <v>292</v>
      </c>
      <c r="B292" s="3">
        <v>2.19</v>
      </c>
    </row>
    <row r="293" spans="1:2" x14ac:dyDescent="0.6">
      <c r="A293" s="2" t="s">
        <v>293</v>
      </c>
      <c r="B293" s="3">
        <v>1.73</v>
      </c>
    </row>
    <row r="294" spans="1:2" x14ac:dyDescent="0.6">
      <c r="A294" s="2" t="s">
        <v>294</v>
      </c>
      <c r="B294" s="3">
        <v>1.28</v>
      </c>
    </row>
    <row r="295" spans="1:2" x14ac:dyDescent="0.6">
      <c r="A295" s="2" t="s">
        <v>295</v>
      </c>
      <c r="B295" s="3">
        <v>0.97</v>
      </c>
    </row>
    <row r="296" spans="1:2" x14ac:dyDescent="0.6">
      <c r="A296" s="2" t="s">
        <v>296</v>
      </c>
      <c r="B296" s="3">
        <v>0.86</v>
      </c>
    </row>
    <row r="297" spans="1:2" x14ac:dyDescent="0.6">
      <c r="A297" s="2" t="s">
        <v>297</v>
      </c>
      <c r="B297" s="3">
        <v>0.99</v>
      </c>
    </row>
    <row r="298" spans="1:2" x14ac:dyDescent="0.6">
      <c r="A298" s="2" t="s">
        <v>298</v>
      </c>
      <c r="B298" s="3">
        <v>1.33</v>
      </c>
    </row>
    <row r="299" spans="1:2" x14ac:dyDescent="0.6">
      <c r="A299" s="2" t="s">
        <v>299</v>
      </c>
      <c r="B299" s="3">
        <v>1.78</v>
      </c>
    </row>
    <row r="300" spans="1:2" x14ac:dyDescent="0.6">
      <c r="A300" s="2" t="s">
        <v>300</v>
      </c>
      <c r="B300" s="3">
        <v>2.2400000000000002</v>
      </c>
    </row>
    <row r="301" spans="1:2" x14ac:dyDescent="0.6">
      <c r="A301" s="2" t="s">
        <v>301</v>
      </c>
      <c r="B301" s="3">
        <v>2.58</v>
      </c>
    </row>
    <row r="302" spans="1:2" x14ac:dyDescent="0.6">
      <c r="A302" s="2" t="s">
        <v>302</v>
      </c>
      <c r="B302" s="3">
        <v>2.73</v>
      </c>
    </row>
    <row r="303" spans="1:2" x14ac:dyDescent="0.6">
      <c r="A303" s="2" t="s">
        <v>303</v>
      </c>
      <c r="B303" s="3">
        <v>2.65</v>
      </c>
    </row>
    <row r="304" spans="1:2" x14ac:dyDescent="0.6">
      <c r="A304" s="2" t="s">
        <v>304</v>
      </c>
      <c r="B304" s="3">
        <v>2.35</v>
      </c>
    </row>
    <row r="305" spans="1:2" x14ac:dyDescent="0.6">
      <c r="A305" s="2" t="s">
        <v>305</v>
      </c>
      <c r="B305" s="3">
        <v>1.92</v>
      </c>
    </row>
    <row r="306" spans="1:2" x14ac:dyDescent="0.6">
      <c r="A306" s="2" t="s">
        <v>306</v>
      </c>
      <c r="B306" s="3">
        <v>1.45</v>
      </c>
    </row>
    <row r="307" spans="1:2" x14ac:dyDescent="0.6">
      <c r="A307" s="2" t="s">
        <v>307</v>
      </c>
      <c r="B307" s="3">
        <v>1.07</v>
      </c>
    </row>
    <row r="308" spans="1:2" x14ac:dyDescent="0.6">
      <c r="A308" s="2" t="s">
        <v>308</v>
      </c>
      <c r="B308" s="3">
        <v>0.88</v>
      </c>
    </row>
    <row r="309" spans="1:2" x14ac:dyDescent="0.6">
      <c r="A309" s="2" t="s">
        <v>309</v>
      </c>
      <c r="B309" s="3">
        <v>0.91</v>
      </c>
    </row>
    <row r="310" spans="1:2" x14ac:dyDescent="0.6">
      <c r="A310" s="2" t="s">
        <v>310</v>
      </c>
      <c r="B310" s="3">
        <v>1.17</v>
      </c>
    </row>
    <row r="311" spans="1:2" x14ac:dyDescent="0.6">
      <c r="A311" s="2" t="s">
        <v>311</v>
      </c>
      <c r="B311" s="3">
        <v>1.59</v>
      </c>
    </row>
    <row r="312" spans="1:2" x14ac:dyDescent="0.6">
      <c r="A312" s="2" t="s">
        <v>312</v>
      </c>
      <c r="B312" s="3">
        <v>2.06</v>
      </c>
    </row>
    <row r="313" spans="1:2" x14ac:dyDescent="0.6">
      <c r="A313" s="2" t="s">
        <v>313</v>
      </c>
      <c r="B313" s="3">
        <v>2.46</v>
      </c>
    </row>
    <row r="314" spans="1:2" x14ac:dyDescent="0.6">
      <c r="A314" s="2" t="s">
        <v>314</v>
      </c>
      <c r="B314" s="3">
        <v>2.7</v>
      </c>
    </row>
    <row r="315" spans="1:2" x14ac:dyDescent="0.6">
      <c r="A315" s="2" t="s">
        <v>315</v>
      </c>
      <c r="B315" s="3">
        <v>2.71</v>
      </c>
    </row>
    <row r="316" spans="1:2" x14ac:dyDescent="0.6">
      <c r="A316" s="2" t="s">
        <v>316</v>
      </c>
      <c r="B316" s="3">
        <v>2.4900000000000002</v>
      </c>
    </row>
    <row r="317" spans="1:2" x14ac:dyDescent="0.6">
      <c r="A317" s="2" t="s">
        <v>317</v>
      </c>
      <c r="B317" s="3">
        <v>2.1</v>
      </c>
    </row>
    <row r="318" spans="1:2" x14ac:dyDescent="0.6">
      <c r="A318" s="2" t="s">
        <v>318</v>
      </c>
      <c r="B318" s="3">
        <v>1.63</v>
      </c>
    </row>
    <row r="319" spans="1:2" x14ac:dyDescent="0.6">
      <c r="A319" s="2" t="s">
        <v>319</v>
      </c>
      <c r="B319" s="3">
        <v>1.21</v>
      </c>
    </row>
    <row r="320" spans="1:2" x14ac:dyDescent="0.6">
      <c r="A320" s="2" t="s">
        <v>320</v>
      </c>
      <c r="B320" s="3">
        <v>0.93</v>
      </c>
    </row>
    <row r="321" spans="1:2" x14ac:dyDescent="0.6">
      <c r="A321" s="2" t="s">
        <v>321</v>
      </c>
      <c r="B321" s="3">
        <v>0.87</v>
      </c>
    </row>
    <row r="322" spans="1:2" x14ac:dyDescent="0.6">
      <c r="A322" s="2" t="s">
        <v>322</v>
      </c>
      <c r="B322" s="3">
        <v>1.05</v>
      </c>
    </row>
    <row r="323" spans="1:2" x14ac:dyDescent="0.6">
      <c r="A323" s="2" t="s">
        <v>323</v>
      </c>
      <c r="B323" s="3">
        <v>1.41</v>
      </c>
    </row>
    <row r="324" spans="1:2" x14ac:dyDescent="0.6">
      <c r="A324" s="2" t="s">
        <v>324</v>
      </c>
      <c r="B324" s="3">
        <v>1.87</v>
      </c>
    </row>
    <row r="325" spans="1:2" x14ac:dyDescent="0.6">
      <c r="A325" s="2" t="s">
        <v>325</v>
      </c>
      <c r="B325" s="3">
        <v>2.3199999999999998</v>
      </c>
    </row>
    <row r="326" spans="1:2" x14ac:dyDescent="0.6">
      <c r="A326" s="2" t="s">
        <v>326</v>
      </c>
      <c r="B326" s="3">
        <v>2.63</v>
      </c>
    </row>
    <row r="327" spans="1:2" x14ac:dyDescent="0.6">
      <c r="A327" s="2" t="s">
        <v>327</v>
      </c>
      <c r="B327" s="3">
        <v>2.74</v>
      </c>
    </row>
    <row r="328" spans="1:2" x14ac:dyDescent="0.6">
      <c r="A328" s="2" t="s">
        <v>328</v>
      </c>
      <c r="B328" s="3">
        <v>2.61</v>
      </c>
    </row>
    <row r="329" spans="1:2" x14ac:dyDescent="0.6">
      <c r="A329" s="2" t="s">
        <v>329</v>
      </c>
      <c r="B329" s="3">
        <v>2.27</v>
      </c>
    </row>
    <row r="330" spans="1:2" x14ac:dyDescent="0.6">
      <c r="A330" s="2" t="s">
        <v>330</v>
      </c>
      <c r="B330" s="3">
        <v>1.82</v>
      </c>
    </row>
    <row r="331" spans="1:2" x14ac:dyDescent="0.6">
      <c r="A331" s="2" t="s">
        <v>331</v>
      </c>
      <c r="B331" s="3">
        <v>1.36</v>
      </c>
    </row>
    <row r="332" spans="1:2" x14ac:dyDescent="0.6">
      <c r="A332" s="2" t="s">
        <v>332</v>
      </c>
      <c r="B332" s="3">
        <v>1.02</v>
      </c>
    </row>
    <row r="333" spans="1:2" x14ac:dyDescent="0.6">
      <c r="A333" s="2" t="s">
        <v>333</v>
      </c>
      <c r="B333" s="3">
        <v>0.87</v>
      </c>
    </row>
    <row r="334" spans="1:2" x14ac:dyDescent="0.6">
      <c r="A334" s="2" t="s">
        <v>334</v>
      </c>
      <c r="B334" s="3">
        <v>0.95</v>
      </c>
    </row>
    <row r="335" spans="1:2" x14ac:dyDescent="0.6">
      <c r="A335" s="2" t="s">
        <v>335</v>
      </c>
      <c r="B335" s="3">
        <v>1.25</v>
      </c>
    </row>
    <row r="336" spans="1:2" x14ac:dyDescent="0.6">
      <c r="A336" s="2" t="s">
        <v>336</v>
      </c>
      <c r="B336" s="3">
        <v>1.68</v>
      </c>
    </row>
    <row r="337" spans="1:2" x14ac:dyDescent="0.6">
      <c r="A337" s="2" t="s">
        <v>337</v>
      </c>
      <c r="B337" s="3">
        <v>2.15</v>
      </c>
    </row>
    <row r="338" spans="1:2" x14ac:dyDescent="0.6">
      <c r="A338" s="2" t="s">
        <v>338</v>
      </c>
      <c r="B338" s="3">
        <v>2.5299999999999998</v>
      </c>
    </row>
    <row r="339" spans="1:2" x14ac:dyDescent="0.6">
      <c r="A339" s="2" t="s">
        <v>339</v>
      </c>
      <c r="B339" s="3">
        <v>2.72</v>
      </c>
    </row>
    <row r="340" spans="1:2" x14ac:dyDescent="0.6">
      <c r="A340" s="2" t="s">
        <v>340</v>
      </c>
      <c r="B340" s="3">
        <v>2.69</v>
      </c>
    </row>
    <row r="341" spans="1:2" x14ac:dyDescent="0.6">
      <c r="A341" s="2" t="s">
        <v>341</v>
      </c>
      <c r="B341" s="3">
        <v>2.4300000000000002</v>
      </c>
    </row>
    <row r="342" spans="1:2" x14ac:dyDescent="0.6">
      <c r="A342" s="2" t="s">
        <v>342</v>
      </c>
      <c r="B342" s="3">
        <v>2.0099999999999998</v>
      </c>
    </row>
    <row r="343" spans="1:2" x14ac:dyDescent="0.6">
      <c r="A343" s="2" t="s">
        <v>343</v>
      </c>
      <c r="B343" s="3">
        <v>1.54</v>
      </c>
    </row>
    <row r="344" spans="1:2" x14ac:dyDescent="0.6">
      <c r="A344" s="2" t="s">
        <v>344</v>
      </c>
      <c r="B344" s="3">
        <v>1.1399999999999999</v>
      </c>
    </row>
    <row r="345" spans="1:2" x14ac:dyDescent="0.6">
      <c r="A345" s="2" t="s">
        <v>345</v>
      </c>
      <c r="B345" s="3">
        <v>0.9</v>
      </c>
    </row>
    <row r="346" spans="1:2" x14ac:dyDescent="0.6">
      <c r="A346" s="2" t="s">
        <v>346</v>
      </c>
      <c r="B346" s="3">
        <v>0.89</v>
      </c>
    </row>
    <row r="347" spans="1:2" x14ac:dyDescent="0.6">
      <c r="A347" s="2" t="s">
        <v>347</v>
      </c>
      <c r="B347" s="3">
        <v>1.1100000000000001</v>
      </c>
    </row>
    <row r="348" spans="1:2" x14ac:dyDescent="0.6">
      <c r="A348" s="2" t="s">
        <v>348</v>
      </c>
      <c r="B348" s="3">
        <v>1.5</v>
      </c>
    </row>
    <row r="349" spans="1:2" x14ac:dyDescent="0.6">
      <c r="A349" s="2" t="s">
        <v>349</v>
      </c>
      <c r="B349" s="3">
        <v>1.97</v>
      </c>
    </row>
    <row r="350" spans="1:2" x14ac:dyDescent="0.6">
      <c r="A350" s="2" t="s">
        <v>350</v>
      </c>
      <c r="B350" s="3">
        <v>2.39</v>
      </c>
    </row>
    <row r="351" spans="1:2" x14ac:dyDescent="0.6">
      <c r="A351" s="2" t="s">
        <v>351</v>
      </c>
      <c r="B351" s="3">
        <v>2.67</v>
      </c>
    </row>
    <row r="352" spans="1:2" x14ac:dyDescent="0.6">
      <c r="A352" s="2" t="s">
        <v>352</v>
      </c>
      <c r="B352" s="3">
        <v>2.73</v>
      </c>
    </row>
    <row r="353" spans="1:2" x14ac:dyDescent="0.6">
      <c r="A353" s="2" t="s">
        <v>353</v>
      </c>
      <c r="B353" s="3">
        <v>2.5499999999999998</v>
      </c>
    </row>
    <row r="354" spans="1:2" x14ac:dyDescent="0.6">
      <c r="A354" s="2" t="s">
        <v>354</v>
      </c>
      <c r="B354" s="3">
        <v>2.19</v>
      </c>
    </row>
    <row r="355" spans="1:2" x14ac:dyDescent="0.6">
      <c r="A355" s="2" t="s">
        <v>355</v>
      </c>
      <c r="B355" s="3">
        <v>1.73</v>
      </c>
    </row>
    <row r="356" spans="1:2" x14ac:dyDescent="0.6">
      <c r="A356" s="2" t="s">
        <v>356</v>
      </c>
      <c r="B356" s="3">
        <v>1.28</v>
      </c>
    </row>
    <row r="357" spans="1:2" x14ac:dyDescent="0.6">
      <c r="A357" s="2" t="s">
        <v>357</v>
      </c>
      <c r="B357" s="3">
        <v>0.97</v>
      </c>
    </row>
    <row r="358" spans="1:2" x14ac:dyDescent="0.6">
      <c r="A358" s="2" t="s">
        <v>358</v>
      </c>
      <c r="B358" s="3">
        <v>0.86</v>
      </c>
    </row>
    <row r="359" spans="1:2" x14ac:dyDescent="0.6">
      <c r="A359" s="2" t="s">
        <v>359</v>
      </c>
      <c r="B359" s="3">
        <v>0.99</v>
      </c>
    </row>
    <row r="360" spans="1:2" x14ac:dyDescent="0.6">
      <c r="A360" s="2" t="s">
        <v>360</v>
      </c>
      <c r="B360" s="3">
        <v>1.33</v>
      </c>
    </row>
    <row r="361" spans="1:2" x14ac:dyDescent="0.6">
      <c r="A361" s="2" t="s">
        <v>361</v>
      </c>
      <c r="B361" s="3">
        <v>1.78</v>
      </c>
    </row>
    <row r="362" spans="1:2" x14ac:dyDescent="0.6">
      <c r="A362" s="2" t="s">
        <v>362</v>
      </c>
      <c r="B362" s="3">
        <v>2.2400000000000002</v>
      </c>
    </row>
    <row r="363" spans="1:2" x14ac:dyDescent="0.6">
      <c r="A363" s="2" t="s">
        <v>363</v>
      </c>
      <c r="B363" s="3">
        <v>2.58</v>
      </c>
    </row>
    <row r="364" spans="1:2" x14ac:dyDescent="0.6">
      <c r="A364" s="2" t="s">
        <v>364</v>
      </c>
      <c r="B364" s="3">
        <v>2.73</v>
      </c>
    </row>
    <row r="365" spans="1:2" x14ac:dyDescent="0.6">
      <c r="A365" s="2" t="s">
        <v>365</v>
      </c>
      <c r="B365" s="3">
        <v>2.65</v>
      </c>
    </row>
    <row r="366" spans="1:2" x14ac:dyDescent="0.6">
      <c r="A366" s="2" t="s">
        <v>366</v>
      </c>
      <c r="B366" s="3">
        <v>2.35</v>
      </c>
    </row>
    <row r="367" spans="1:2" x14ac:dyDescent="0.6">
      <c r="A367" s="2" t="s">
        <v>367</v>
      </c>
      <c r="B367" s="3">
        <v>1.92</v>
      </c>
    </row>
    <row r="368" spans="1:2" x14ac:dyDescent="0.6">
      <c r="A368" s="2" t="s">
        <v>368</v>
      </c>
      <c r="B368" s="3">
        <v>1.45</v>
      </c>
    </row>
    <row r="369" spans="1:2" x14ac:dyDescent="0.6">
      <c r="A369" s="2" t="s">
        <v>369</v>
      </c>
      <c r="B369" s="3">
        <v>1.07</v>
      </c>
    </row>
    <row r="370" spans="1:2" x14ac:dyDescent="0.6">
      <c r="A370" s="2" t="s">
        <v>370</v>
      </c>
      <c r="B370" s="3">
        <v>0.88</v>
      </c>
    </row>
    <row r="371" spans="1:2" x14ac:dyDescent="0.6">
      <c r="A371" s="2" t="s">
        <v>371</v>
      </c>
      <c r="B371" s="3">
        <v>0.91</v>
      </c>
    </row>
    <row r="372" spans="1:2" x14ac:dyDescent="0.6">
      <c r="A372" s="2" t="s">
        <v>372</v>
      </c>
      <c r="B372" s="3">
        <v>1.17</v>
      </c>
    </row>
    <row r="373" spans="1:2" x14ac:dyDescent="0.6">
      <c r="A373" s="2" t="s">
        <v>373</v>
      </c>
      <c r="B373" s="3">
        <v>1.59</v>
      </c>
    </row>
    <row r="374" spans="1:2" x14ac:dyDescent="0.6">
      <c r="A374" s="2" t="s">
        <v>374</v>
      </c>
      <c r="B374" s="3">
        <v>2.06</v>
      </c>
    </row>
    <row r="375" spans="1:2" x14ac:dyDescent="0.6">
      <c r="A375" s="2" t="s">
        <v>375</v>
      </c>
      <c r="B375" s="3">
        <v>2.46</v>
      </c>
    </row>
    <row r="376" spans="1:2" x14ac:dyDescent="0.6">
      <c r="A376" s="2" t="s">
        <v>376</v>
      </c>
      <c r="B376" s="3">
        <v>2.7</v>
      </c>
    </row>
    <row r="377" spans="1:2" x14ac:dyDescent="0.6">
      <c r="A377" s="2" t="s">
        <v>377</v>
      </c>
      <c r="B377" s="3">
        <v>2.71</v>
      </c>
    </row>
    <row r="378" spans="1:2" x14ac:dyDescent="0.6">
      <c r="A378" s="2" t="s">
        <v>378</v>
      </c>
      <c r="B378" s="3">
        <v>2.4900000000000002</v>
      </c>
    </row>
    <row r="379" spans="1:2" x14ac:dyDescent="0.6">
      <c r="A379" s="2" t="s">
        <v>379</v>
      </c>
      <c r="B379" s="3">
        <v>2.1</v>
      </c>
    </row>
    <row r="380" spans="1:2" x14ac:dyDescent="0.6">
      <c r="A380" s="2" t="s">
        <v>380</v>
      </c>
      <c r="B380" s="3">
        <v>1.63</v>
      </c>
    </row>
    <row r="381" spans="1:2" x14ac:dyDescent="0.6">
      <c r="A381" s="2" t="s">
        <v>381</v>
      </c>
      <c r="B381" s="3">
        <v>1.21</v>
      </c>
    </row>
    <row r="382" spans="1:2" x14ac:dyDescent="0.6">
      <c r="A382" s="2" t="s">
        <v>382</v>
      </c>
      <c r="B382" s="3">
        <v>0.93</v>
      </c>
    </row>
    <row r="383" spans="1:2" x14ac:dyDescent="0.6">
      <c r="A383" s="2" t="s">
        <v>383</v>
      </c>
      <c r="B383" s="3">
        <v>0.87</v>
      </c>
    </row>
    <row r="384" spans="1:2" x14ac:dyDescent="0.6">
      <c r="A384" s="2" t="s">
        <v>384</v>
      </c>
      <c r="B384" s="3">
        <v>1.05</v>
      </c>
    </row>
    <row r="385" spans="1:2" x14ac:dyDescent="0.6">
      <c r="A385" s="2" t="s">
        <v>385</v>
      </c>
      <c r="B385" s="3">
        <v>1.41</v>
      </c>
    </row>
    <row r="386" spans="1:2" x14ac:dyDescent="0.6">
      <c r="A386" s="2" t="s">
        <v>386</v>
      </c>
      <c r="B386" s="3">
        <v>1.87</v>
      </c>
    </row>
    <row r="387" spans="1:2" x14ac:dyDescent="0.6">
      <c r="A387" s="2" t="s">
        <v>387</v>
      </c>
      <c r="B387" s="3">
        <v>2.3199999999999998</v>
      </c>
    </row>
    <row r="388" spans="1:2" x14ac:dyDescent="0.6">
      <c r="A388" s="2" t="s">
        <v>388</v>
      </c>
      <c r="B388" s="3">
        <v>2.63</v>
      </c>
    </row>
    <row r="389" spans="1:2" x14ac:dyDescent="0.6">
      <c r="A389" s="2" t="s">
        <v>389</v>
      </c>
      <c r="B389" s="3">
        <v>2.74</v>
      </c>
    </row>
    <row r="390" spans="1:2" x14ac:dyDescent="0.6">
      <c r="A390" s="2" t="s">
        <v>390</v>
      </c>
      <c r="B390" s="3">
        <v>2.61</v>
      </c>
    </row>
    <row r="391" spans="1:2" x14ac:dyDescent="0.6">
      <c r="A391" s="2" t="s">
        <v>391</v>
      </c>
      <c r="B391" s="3">
        <v>2.27</v>
      </c>
    </row>
    <row r="392" spans="1:2" x14ac:dyDescent="0.6">
      <c r="A392" s="2" t="s">
        <v>392</v>
      </c>
      <c r="B392" s="3">
        <v>1.82</v>
      </c>
    </row>
    <row r="393" spans="1:2" x14ac:dyDescent="0.6">
      <c r="A393" s="2" t="s">
        <v>393</v>
      </c>
      <c r="B393" s="3">
        <v>1.36</v>
      </c>
    </row>
    <row r="394" spans="1:2" x14ac:dyDescent="0.6">
      <c r="A394" s="2" t="s">
        <v>394</v>
      </c>
      <c r="B394" s="3">
        <v>1.02</v>
      </c>
    </row>
    <row r="395" spans="1:2" x14ac:dyDescent="0.6">
      <c r="A395" s="2" t="s">
        <v>395</v>
      </c>
      <c r="B395" s="3">
        <v>0.87</v>
      </c>
    </row>
    <row r="396" spans="1:2" x14ac:dyDescent="0.6">
      <c r="A396" s="2" t="s">
        <v>396</v>
      </c>
      <c r="B396" s="3">
        <v>0.95</v>
      </c>
    </row>
    <row r="397" spans="1:2" x14ac:dyDescent="0.6">
      <c r="A397" s="2" t="s">
        <v>397</v>
      </c>
      <c r="B397" s="3">
        <v>1.25</v>
      </c>
    </row>
    <row r="398" spans="1:2" x14ac:dyDescent="0.6">
      <c r="A398" s="2" t="s">
        <v>398</v>
      </c>
      <c r="B398" s="3">
        <v>1.68</v>
      </c>
    </row>
    <row r="399" spans="1:2" x14ac:dyDescent="0.6">
      <c r="A399" s="2" t="s">
        <v>399</v>
      </c>
      <c r="B399" s="3">
        <v>2.15</v>
      </c>
    </row>
    <row r="400" spans="1:2" x14ac:dyDescent="0.6">
      <c r="A400" s="2" t="s">
        <v>400</v>
      </c>
      <c r="B400" s="3">
        <v>2.5299999999999998</v>
      </c>
    </row>
    <row r="401" spans="1:2" x14ac:dyDescent="0.6">
      <c r="A401" s="2" t="s">
        <v>401</v>
      </c>
      <c r="B401" s="3">
        <v>2.72</v>
      </c>
    </row>
    <row r="402" spans="1:2" x14ac:dyDescent="0.6">
      <c r="A402" s="2" t="s">
        <v>402</v>
      </c>
      <c r="B402" s="3">
        <v>2.69</v>
      </c>
    </row>
    <row r="403" spans="1:2" x14ac:dyDescent="0.6">
      <c r="A403" s="2" t="s">
        <v>403</v>
      </c>
      <c r="B403" s="3">
        <v>2.4300000000000002</v>
      </c>
    </row>
    <row r="404" spans="1:2" x14ac:dyDescent="0.6">
      <c r="A404" s="2" t="s">
        <v>404</v>
      </c>
      <c r="B404" s="3">
        <v>2.0099999999999998</v>
      </c>
    </row>
    <row r="405" spans="1:2" x14ac:dyDescent="0.6">
      <c r="A405" s="2" t="s">
        <v>405</v>
      </c>
      <c r="B405" s="3">
        <v>1.54</v>
      </c>
    </row>
    <row r="406" spans="1:2" x14ac:dyDescent="0.6">
      <c r="A406" s="2" t="s">
        <v>406</v>
      </c>
      <c r="B406" s="3">
        <v>1.1399999999999999</v>
      </c>
    </row>
    <row r="407" spans="1:2" x14ac:dyDescent="0.6">
      <c r="A407" s="2" t="s">
        <v>407</v>
      </c>
      <c r="B407" s="3">
        <v>0.9</v>
      </c>
    </row>
    <row r="408" spans="1:2" x14ac:dyDescent="0.6">
      <c r="A408" s="2" t="s">
        <v>408</v>
      </c>
      <c r="B408" s="3">
        <v>0.89</v>
      </c>
    </row>
    <row r="409" spans="1:2" x14ac:dyDescent="0.6">
      <c r="A409" s="2" t="s">
        <v>409</v>
      </c>
      <c r="B409" s="3">
        <v>1.1100000000000001</v>
      </c>
    </row>
    <row r="410" spans="1:2" x14ac:dyDescent="0.6">
      <c r="A410" s="2" t="s">
        <v>410</v>
      </c>
      <c r="B410" s="3">
        <v>1.5</v>
      </c>
    </row>
    <row r="411" spans="1:2" x14ac:dyDescent="0.6">
      <c r="A411" s="2" t="s">
        <v>411</v>
      </c>
      <c r="B411" s="3">
        <v>1.97</v>
      </c>
    </row>
    <row r="412" spans="1:2" x14ac:dyDescent="0.6">
      <c r="A412" s="2" t="s">
        <v>412</v>
      </c>
      <c r="B412" s="3">
        <v>2.39</v>
      </c>
    </row>
    <row r="413" spans="1:2" x14ac:dyDescent="0.6">
      <c r="A413" s="2" t="s">
        <v>413</v>
      </c>
      <c r="B413" s="3">
        <v>2.67</v>
      </c>
    </row>
    <row r="414" spans="1:2" x14ac:dyDescent="0.6">
      <c r="A414" s="2" t="s">
        <v>414</v>
      </c>
      <c r="B414" s="3">
        <v>2.73</v>
      </c>
    </row>
    <row r="415" spans="1:2" x14ac:dyDescent="0.6">
      <c r="A415" s="2" t="s">
        <v>415</v>
      </c>
      <c r="B415" s="3">
        <v>2.5499999999999998</v>
      </c>
    </row>
    <row r="416" spans="1:2" x14ac:dyDescent="0.6">
      <c r="A416" s="2" t="s">
        <v>416</v>
      </c>
      <c r="B416" s="3">
        <v>2.19</v>
      </c>
    </row>
    <row r="417" spans="1:2" x14ac:dyDescent="0.6">
      <c r="A417" s="2" t="s">
        <v>417</v>
      </c>
      <c r="B417" s="3">
        <v>1.73</v>
      </c>
    </row>
    <row r="418" spans="1:2" x14ac:dyDescent="0.6">
      <c r="A418" s="2" t="s">
        <v>418</v>
      </c>
      <c r="B418" s="3">
        <v>1.28</v>
      </c>
    </row>
    <row r="419" spans="1:2" x14ac:dyDescent="0.6">
      <c r="A419" s="2" t="s">
        <v>419</v>
      </c>
      <c r="B419" s="3">
        <v>0.97</v>
      </c>
    </row>
    <row r="420" spans="1:2" x14ac:dyDescent="0.6">
      <c r="A420" s="2" t="s">
        <v>420</v>
      </c>
      <c r="B420" s="3">
        <v>0.86</v>
      </c>
    </row>
    <row r="421" spans="1:2" x14ac:dyDescent="0.6">
      <c r="A421" s="2" t="s">
        <v>421</v>
      </c>
      <c r="B421" s="3">
        <v>0.99</v>
      </c>
    </row>
    <row r="422" spans="1:2" x14ac:dyDescent="0.6">
      <c r="A422" s="2" t="s">
        <v>422</v>
      </c>
      <c r="B422" s="3">
        <v>1.33</v>
      </c>
    </row>
    <row r="423" spans="1:2" x14ac:dyDescent="0.6">
      <c r="A423" s="2" t="s">
        <v>423</v>
      </c>
      <c r="B423" s="3">
        <v>1.78</v>
      </c>
    </row>
    <row r="424" spans="1:2" x14ac:dyDescent="0.6">
      <c r="A424" s="2" t="s">
        <v>424</v>
      </c>
      <c r="B424" s="3">
        <v>2.2400000000000002</v>
      </c>
    </row>
    <row r="425" spans="1:2" x14ac:dyDescent="0.6">
      <c r="A425" s="2" t="s">
        <v>425</v>
      </c>
      <c r="B425" s="3">
        <v>2.58</v>
      </c>
    </row>
    <row r="426" spans="1:2" x14ac:dyDescent="0.6">
      <c r="A426" s="2" t="s">
        <v>426</v>
      </c>
      <c r="B426" s="3">
        <v>2.73</v>
      </c>
    </row>
    <row r="427" spans="1:2" x14ac:dyDescent="0.6">
      <c r="A427" s="2" t="s">
        <v>427</v>
      </c>
      <c r="B427" s="3">
        <v>2.65</v>
      </c>
    </row>
    <row r="428" spans="1:2" x14ac:dyDescent="0.6">
      <c r="A428" s="2" t="s">
        <v>428</v>
      </c>
      <c r="B428" s="3">
        <v>2.35</v>
      </c>
    </row>
    <row r="429" spans="1:2" x14ac:dyDescent="0.6">
      <c r="A429" s="2" t="s">
        <v>429</v>
      </c>
      <c r="B429" s="3">
        <v>1.92</v>
      </c>
    </row>
    <row r="430" spans="1:2" x14ac:dyDescent="0.6">
      <c r="A430" s="2" t="s">
        <v>430</v>
      </c>
      <c r="B430" s="3">
        <v>1.45</v>
      </c>
    </row>
    <row r="431" spans="1:2" x14ac:dyDescent="0.6">
      <c r="A431" s="2" t="s">
        <v>431</v>
      </c>
      <c r="B431" s="3">
        <v>1.07</v>
      </c>
    </row>
    <row r="432" spans="1:2" x14ac:dyDescent="0.6">
      <c r="A432" s="2" t="s">
        <v>432</v>
      </c>
      <c r="B432" s="3">
        <v>0.88</v>
      </c>
    </row>
    <row r="433" spans="1:2" x14ac:dyDescent="0.6">
      <c r="A433" s="2" t="s">
        <v>433</v>
      </c>
      <c r="B433" s="3">
        <v>0.91</v>
      </c>
    </row>
    <row r="434" spans="1:2" x14ac:dyDescent="0.6">
      <c r="A434" s="2" t="s">
        <v>434</v>
      </c>
      <c r="B434" s="3">
        <v>1.17</v>
      </c>
    </row>
    <row r="435" spans="1:2" x14ac:dyDescent="0.6">
      <c r="A435" s="2" t="s">
        <v>435</v>
      </c>
      <c r="B435" s="3">
        <v>1.59</v>
      </c>
    </row>
    <row r="436" spans="1:2" x14ac:dyDescent="0.6">
      <c r="A436" s="2" t="s">
        <v>436</v>
      </c>
      <c r="B436" s="3">
        <v>2.06</v>
      </c>
    </row>
    <row r="437" spans="1:2" x14ac:dyDescent="0.6">
      <c r="A437" s="2" t="s">
        <v>437</v>
      </c>
      <c r="B437" s="3">
        <v>2.46</v>
      </c>
    </row>
    <row r="438" spans="1:2" x14ac:dyDescent="0.6">
      <c r="A438" s="2" t="s">
        <v>438</v>
      </c>
      <c r="B438" s="3">
        <v>2.7</v>
      </c>
    </row>
    <row r="439" spans="1:2" x14ac:dyDescent="0.6">
      <c r="A439" s="2" t="s">
        <v>439</v>
      </c>
      <c r="B439" s="3">
        <v>2.71</v>
      </c>
    </row>
    <row r="440" spans="1:2" x14ac:dyDescent="0.6">
      <c r="A440" s="2" t="s">
        <v>440</v>
      </c>
      <c r="B440" s="3">
        <v>2.4900000000000002</v>
      </c>
    </row>
    <row r="441" spans="1:2" x14ac:dyDescent="0.6">
      <c r="A441" s="2" t="s">
        <v>441</v>
      </c>
      <c r="B441" s="3">
        <v>2.1</v>
      </c>
    </row>
    <row r="442" spans="1:2" x14ac:dyDescent="0.6">
      <c r="A442" s="2" t="s">
        <v>442</v>
      </c>
      <c r="B442" s="3">
        <v>1.63</v>
      </c>
    </row>
    <row r="443" spans="1:2" x14ac:dyDescent="0.6">
      <c r="A443" s="2" t="s">
        <v>443</v>
      </c>
      <c r="B443" s="3">
        <v>1.21</v>
      </c>
    </row>
    <row r="444" spans="1:2" x14ac:dyDescent="0.6">
      <c r="A444" s="2" t="s">
        <v>444</v>
      </c>
      <c r="B444" s="3">
        <v>0.93</v>
      </c>
    </row>
    <row r="445" spans="1:2" x14ac:dyDescent="0.6">
      <c r="A445" s="2" t="s">
        <v>445</v>
      </c>
      <c r="B445" s="3">
        <v>0.87</v>
      </c>
    </row>
    <row r="446" spans="1:2" x14ac:dyDescent="0.6">
      <c r="A446" s="2" t="s">
        <v>446</v>
      </c>
      <c r="B446" s="3">
        <v>1.05</v>
      </c>
    </row>
    <row r="447" spans="1:2" x14ac:dyDescent="0.6">
      <c r="A447" s="2" t="s">
        <v>447</v>
      </c>
      <c r="B447" s="3">
        <v>1.41</v>
      </c>
    </row>
    <row r="448" spans="1:2" x14ac:dyDescent="0.6">
      <c r="A448" s="2" t="s">
        <v>448</v>
      </c>
      <c r="B448" s="3">
        <v>1.87</v>
      </c>
    </row>
    <row r="449" spans="1:2" x14ac:dyDescent="0.6">
      <c r="A449" s="2" t="s">
        <v>449</v>
      </c>
      <c r="B449" s="3">
        <v>2.3199999999999998</v>
      </c>
    </row>
    <row r="450" spans="1:2" x14ac:dyDescent="0.6">
      <c r="A450" s="2" t="s">
        <v>450</v>
      </c>
      <c r="B450" s="3">
        <v>2.63</v>
      </c>
    </row>
    <row r="451" spans="1:2" x14ac:dyDescent="0.6">
      <c r="A451" s="2" t="s">
        <v>451</v>
      </c>
      <c r="B451" s="3">
        <v>2.74</v>
      </c>
    </row>
    <row r="452" spans="1:2" x14ac:dyDescent="0.6">
      <c r="A452" s="2" t="s">
        <v>452</v>
      </c>
      <c r="B452" s="3">
        <v>2.61</v>
      </c>
    </row>
    <row r="453" spans="1:2" x14ac:dyDescent="0.6">
      <c r="A453" s="2" t="s">
        <v>453</v>
      </c>
      <c r="B453" s="3">
        <v>2.27</v>
      </c>
    </row>
    <row r="454" spans="1:2" x14ac:dyDescent="0.6">
      <c r="A454" s="2" t="s">
        <v>454</v>
      </c>
      <c r="B454" s="3">
        <v>1.82</v>
      </c>
    </row>
    <row r="455" spans="1:2" x14ac:dyDescent="0.6">
      <c r="A455" s="2" t="s">
        <v>455</v>
      </c>
      <c r="B455" s="3">
        <v>1.36</v>
      </c>
    </row>
    <row r="456" spans="1:2" x14ac:dyDescent="0.6">
      <c r="A456" s="2" t="s">
        <v>456</v>
      </c>
      <c r="B456" s="3">
        <v>1.02</v>
      </c>
    </row>
    <row r="457" spans="1:2" x14ac:dyDescent="0.6">
      <c r="A457" s="2" t="s">
        <v>457</v>
      </c>
      <c r="B457" s="3">
        <v>0.87</v>
      </c>
    </row>
    <row r="458" spans="1:2" x14ac:dyDescent="0.6">
      <c r="A458" s="2" t="s">
        <v>458</v>
      </c>
      <c r="B458" s="3">
        <v>0.95</v>
      </c>
    </row>
    <row r="459" spans="1:2" x14ac:dyDescent="0.6">
      <c r="A459" s="2" t="s">
        <v>459</v>
      </c>
      <c r="B459" s="3">
        <v>1.25</v>
      </c>
    </row>
    <row r="460" spans="1:2" x14ac:dyDescent="0.6">
      <c r="A460" s="2" t="s">
        <v>460</v>
      </c>
      <c r="B460" s="3">
        <v>1.68</v>
      </c>
    </row>
    <row r="461" spans="1:2" x14ac:dyDescent="0.6">
      <c r="A461" s="2" t="s">
        <v>461</v>
      </c>
      <c r="B461" s="3">
        <v>2.15</v>
      </c>
    </row>
    <row r="462" spans="1:2" x14ac:dyDescent="0.6">
      <c r="A462" s="2" t="s">
        <v>462</v>
      </c>
      <c r="B462" s="3">
        <v>2.5299999999999998</v>
      </c>
    </row>
    <row r="463" spans="1:2" x14ac:dyDescent="0.6">
      <c r="A463" s="2" t="s">
        <v>463</v>
      </c>
      <c r="B463" s="3">
        <v>2.72</v>
      </c>
    </row>
    <row r="464" spans="1:2" x14ac:dyDescent="0.6">
      <c r="A464" s="2" t="s">
        <v>464</v>
      </c>
      <c r="B464" s="3">
        <v>2.69</v>
      </c>
    </row>
    <row r="465" spans="1:2" x14ac:dyDescent="0.6">
      <c r="A465" s="2" t="s">
        <v>465</v>
      </c>
      <c r="B465" s="3">
        <v>2.4300000000000002</v>
      </c>
    </row>
    <row r="466" spans="1:2" x14ac:dyDescent="0.6">
      <c r="A466" s="2" t="s">
        <v>466</v>
      </c>
      <c r="B466" s="3">
        <v>2.0099999999999998</v>
      </c>
    </row>
    <row r="467" spans="1:2" x14ac:dyDescent="0.6">
      <c r="A467" s="2" t="s">
        <v>467</v>
      </c>
      <c r="B467" s="3">
        <v>1.54</v>
      </c>
    </row>
    <row r="468" spans="1:2" x14ac:dyDescent="0.6">
      <c r="A468" s="2" t="s">
        <v>468</v>
      </c>
      <c r="B468" s="3">
        <v>1.1399999999999999</v>
      </c>
    </row>
    <row r="469" spans="1:2" x14ac:dyDescent="0.6">
      <c r="A469" s="2" t="s">
        <v>469</v>
      </c>
      <c r="B469" s="3">
        <v>0.9</v>
      </c>
    </row>
    <row r="470" spans="1:2" x14ac:dyDescent="0.6">
      <c r="A470" s="2" t="s">
        <v>470</v>
      </c>
      <c r="B470" s="3">
        <v>0.89</v>
      </c>
    </row>
    <row r="471" spans="1:2" x14ac:dyDescent="0.6">
      <c r="A471" s="2" t="s">
        <v>471</v>
      </c>
      <c r="B471" s="3">
        <v>1.1100000000000001</v>
      </c>
    </row>
    <row r="472" spans="1:2" x14ac:dyDescent="0.6">
      <c r="A472" s="2" t="s">
        <v>472</v>
      </c>
      <c r="B472" s="3">
        <v>1.5</v>
      </c>
    </row>
    <row r="473" spans="1:2" x14ac:dyDescent="0.6">
      <c r="A473" s="2" t="s">
        <v>473</v>
      </c>
      <c r="B473" s="3">
        <v>1.97</v>
      </c>
    </row>
    <row r="474" spans="1:2" x14ac:dyDescent="0.6">
      <c r="A474" s="2" t="s">
        <v>474</v>
      </c>
      <c r="B474" s="3">
        <v>2.39</v>
      </c>
    </row>
    <row r="475" spans="1:2" x14ac:dyDescent="0.6">
      <c r="A475" s="2" t="s">
        <v>475</v>
      </c>
      <c r="B475" s="3">
        <v>2.67</v>
      </c>
    </row>
    <row r="476" spans="1:2" x14ac:dyDescent="0.6">
      <c r="A476" s="2" t="s">
        <v>476</v>
      </c>
      <c r="B476" s="3">
        <v>2.73</v>
      </c>
    </row>
    <row r="477" spans="1:2" x14ac:dyDescent="0.6">
      <c r="A477" s="2" t="s">
        <v>477</v>
      </c>
      <c r="B477" s="3">
        <v>2.5499999999999998</v>
      </c>
    </row>
    <row r="478" spans="1:2" x14ac:dyDescent="0.6">
      <c r="A478" s="2" t="s">
        <v>478</v>
      </c>
      <c r="B478" s="3">
        <v>2.19</v>
      </c>
    </row>
    <row r="479" spans="1:2" x14ac:dyDescent="0.6">
      <c r="A479" s="2" t="s">
        <v>479</v>
      </c>
      <c r="B479" s="3">
        <v>1.73</v>
      </c>
    </row>
    <row r="480" spans="1:2" x14ac:dyDescent="0.6">
      <c r="A480" s="2" t="s">
        <v>480</v>
      </c>
      <c r="B480" s="3">
        <v>1.28</v>
      </c>
    </row>
    <row r="481" spans="1:2" x14ac:dyDescent="0.6">
      <c r="A481" s="2" t="s">
        <v>481</v>
      </c>
      <c r="B481" s="3">
        <v>0.97</v>
      </c>
    </row>
    <row r="482" spans="1:2" x14ac:dyDescent="0.6">
      <c r="A482" s="2" t="s">
        <v>482</v>
      </c>
      <c r="B482" s="3">
        <v>0.86</v>
      </c>
    </row>
    <row r="483" spans="1:2" x14ac:dyDescent="0.6">
      <c r="A483" s="2" t="s">
        <v>483</v>
      </c>
      <c r="B483" s="3">
        <v>0.99</v>
      </c>
    </row>
    <row r="484" spans="1:2" x14ac:dyDescent="0.6">
      <c r="A484" s="2" t="s">
        <v>484</v>
      </c>
      <c r="B484" s="3">
        <v>1.33</v>
      </c>
    </row>
    <row r="485" spans="1:2" x14ac:dyDescent="0.6">
      <c r="A485" s="2" t="s">
        <v>485</v>
      </c>
      <c r="B485" s="3">
        <v>1.78</v>
      </c>
    </row>
    <row r="486" spans="1:2" x14ac:dyDescent="0.6">
      <c r="A486" s="2" t="s">
        <v>486</v>
      </c>
      <c r="B486" s="3">
        <v>2.2400000000000002</v>
      </c>
    </row>
    <row r="487" spans="1:2" x14ac:dyDescent="0.6">
      <c r="A487" s="2" t="s">
        <v>487</v>
      </c>
      <c r="B487" s="3">
        <v>2.58</v>
      </c>
    </row>
    <row r="488" spans="1:2" x14ac:dyDescent="0.6">
      <c r="A488" s="2" t="s">
        <v>488</v>
      </c>
      <c r="B488" s="3">
        <v>2.73</v>
      </c>
    </row>
    <row r="489" spans="1:2" x14ac:dyDescent="0.6">
      <c r="A489" s="2" t="s">
        <v>489</v>
      </c>
      <c r="B489" s="3">
        <v>2.65</v>
      </c>
    </row>
    <row r="490" spans="1:2" x14ac:dyDescent="0.6">
      <c r="A490" s="2" t="s">
        <v>490</v>
      </c>
      <c r="B490" s="3">
        <v>2.35</v>
      </c>
    </row>
    <row r="491" spans="1:2" x14ac:dyDescent="0.6">
      <c r="A491" s="2" t="s">
        <v>491</v>
      </c>
      <c r="B491" s="3">
        <v>1.92</v>
      </c>
    </row>
    <row r="492" spans="1:2" x14ac:dyDescent="0.6">
      <c r="A492" s="2" t="s">
        <v>492</v>
      </c>
      <c r="B492" s="3">
        <v>1.45</v>
      </c>
    </row>
    <row r="493" spans="1:2" x14ac:dyDescent="0.6">
      <c r="A493" s="2" t="s">
        <v>493</v>
      </c>
      <c r="B493" s="3">
        <v>1.07</v>
      </c>
    </row>
    <row r="494" spans="1:2" x14ac:dyDescent="0.6">
      <c r="A494" s="2" t="s">
        <v>494</v>
      </c>
      <c r="B494" s="3">
        <v>0.88</v>
      </c>
    </row>
    <row r="495" spans="1:2" x14ac:dyDescent="0.6">
      <c r="A495" s="2" t="s">
        <v>495</v>
      </c>
      <c r="B495" s="3">
        <v>0.91</v>
      </c>
    </row>
    <row r="496" spans="1:2" x14ac:dyDescent="0.6">
      <c r="A496" s="2" t="s">
        <v>496</v>
      </c>
      <c r="B496" s="3">
        <v>1.17</v>
      </c>
    </row>
    <row r="497" spans="1:2" x14ac:dyDescent="0.6">
      <c r="A497" s="2" t="s">
        <v>497</v>
      </c>
      <c r="B497" s="3">
        <v>1.59</v>
      </c>
    </row>
    <row r="498" spans="1:2" x14ac:dyDescent="0.6">
      <c r="A498" s="2" t="s">
        <v>498</v>
      </c>
      <c r="B498" s="3">
        <v>2.06</v>
      </c>
    </row>
    <row r="499" spans="1:2" x14ac:dyDescent="0.6">
      <c r="A499" s="2" t="s">
        <v>499</v>
      </c>
      <c r="B499" s="3">
        <v>2.46</v>
      </c>
    </row>
    <row r="500" spans="1:2" x14ac:dyDescent="0.6">
      <c r="A500" s="2" t="s">
        <v>500</v>
      </c>
      <c r="B500" s="3">
        <v>2.7</v>
      </c>
    </row>
    <row r="501" spans="1:2" x14ac:dyDescent="0.6">
      <c r="A501" s="2" t="s">
        <v>501</v>
      </c>
      <c r="B501" s="3">
        <v>2.71</v>
      </c>
    </row>
    <row r="502" spans="1:2" x14ac:dyDescent="0.6">
      <c r="A502" s="2" t="s">
        <v>502</v>
      </c>
      <c r="B502" s="3">
        <v>2.4900000000000002</v>
      </c>
    </row>
    <row r="503" spans="1:2" x14ac:dyDescent="0.6">
      <c r="A503" s="2" t="s">
        <v>503</v>
      </c>
      <c r="B503" s="3">
        <v>2.1</v>
      </c>
    </row>
    <row r="504" spans="1:2" x14ac:dyDescent="0.6">
      <c r="A504" s="2" t="s">
        <v>504</v>
      </c>
      <c r="B504" s="3">
        <v>1.63</v>
      </c>
    </row>
    <row r="505" spans="1:2" x14ac:dyDescent="0.6">
      <c r="A505" s="2" t="s">
        <v>505</v>
      </c>
      <c r="B505" s="3">
        <v>1.21</v>
      </c>
    </row>
    <row r="506" spans="1:2" x14ac:dyDescent="0.6">
      <c r="A506" s="2" t="s">
        <v>506</v>
      </c>
      <c r="B506" s="3">
        <v>0.93</v>
      </c>
    </row>
    <row r="507" spans="1:2" x14ac:dyDescent="0.6">
      <c r="A507" s="2" t="s">
        <v>507</v>
      </c>
      <c r="B507" s="3">
        <v>0.87</v>
      </c>
    </row>
    <row r="508" spans="1:2" x14ac:dyDescent="0.6">
      <c r="A508" s="2" t="s">
        <v>508</v>
      </c>
      <c r="B508" s="3">
        <v>1.05</v>
      </c>
    </row>
    <row r="509" spans="1:2" x14ac:dyDescent="0.6">
      <c r="A509" s="2" t="s">
        <v>509</v>
      </c>
      <c r="B509" s="3">
        <v>1.41</v>
      </c>
    </row>
    <row r="510" spans="1:2" x14ac:dyDescent="0.6">
      <c r="A510" s="2" t="s">
        <v>510</v>
      </c>
      <c r="B510" s="3">
        <v>1.87</v>
      </c>
    </row>
    <row r="511" spans="1:2" x14ac:dyDescent="0.6">
      <c r="A511" s="2" t="s">
        <v>511</v>
      </c>
      <c r="B511" s="3">
        <v>2.3199999999999998</v>
      </c>
    </row>
    <row r="512" spans="1:2" x14ac:dyDescent="0.6">
      <c r="A512" s="2" t="s">
        <v>512</v>
      </c>
      <c r="B512" s="3">
        <v>2.63</v>
      </c>
    </row>
    <row r="513" spans="1:2" x14ac:dyDescent="0.6">
      <c r="A513" s="2" t="s">
        <v>513</v>
      </c>
      <c r="B513" s="3">
        <v>2.74</v>
      </c>
    </row>
    <row r="514" spans="1:2" x14ac:dyDescent="0.6">
      <c r="A514" s="2" t="s">
        <v>514</v>
      </c>
      <c r="B514" s="3">
        <v>2.61</v>
      </c>
    </row>
    <row r="515" spans="1:2" x14ac:dyDescent="0.6">
      <c r="A515" s="2" t="s">
        <v>515</v>
      </c>
      <c r="B515" s="3">
        <v>2.27</v>
      </c>
    </row>
    <row r="516" spans="1:2" x14ac:dyDescent="0.6">
      <c r="A516" s="2" t="s">
        <v>516</v>
      </c>
      <c r="B516" s="3">
        <v>1.82</v>
      </c>
    </row>
    <row r="517" spans="1:2" x14ac:dyDescent="0.6">
      <c r="A517" s="2" t="s">
        <v>517</v>
      </c>
      <c r="B517" s="3">
        <v>1.36</v>
      </c>
    </row>
    <row r="518" spans="1:2" x14ac:dyDescent="0.6">
      <c r="A518" s="2" t="s">
        <v>518</v>
      </c>
      <c r="B518" s="3">
        <v>1.02</v>
      </c>
    </row>
    <row r="519" spans="1:2" x14ac:dyDescent="0.6">
      <c r="A519" s="2" t="s">
        <v>519</v>
      </c>
      <c r="B519" s="3">
        <v>0.87</v>
      </c>
    </row>
    <row r="520" spans="1:2" x14ac:dyDescent="0.6">
      <c r="A520" s="2" t="s">
        <v>520</v>
      </c>
      <c r="B520" s="3">
        <v>0.95</v>
      </c>
    </row>
    <row r="521" spans="1:2" x14ac:dyDescent="0.6">
      <c r="A521" s="2" t="s">
        <v>521</v>
      </c>
      <c r="B521" s="3">
        <v>1.25</v>
      </c>
    </row>
    <row r="522" spans="1:2" x14ac:dyDescent="0.6">
      <c r="A522" s="2" t="s">
        <v>522</v>
      </c>
      <c r="B522" s="3">
        <v>1.68</v>
      </c>
    </row>
    <row r="523" spans="1:2" x14ac:dyDescent="0.6">
      <c r="A523" s="2" t="s">
        <v>523</v>
      </c>
      <c r="B523" s="3">
        <v>2.15</v>
      </c>
    </row>
    <row r="524" spans="1:2" x14ac:dyDescent="0.6">
      <c r="A524" s="2" t="s">
        <v>524</v>
      </c>
      <c r="B524" s="3">
        <v>2.5299999999999998</v>
      </c>
    </row>
    <row r="525" spans="1:2" x14ac:dyDescent="0.6">
      <c r="A525" s="2" t="s">
        <v>525</v>
      </c>
      <c r="B525" s="3">
        <v>2.72</v>
      </c>
    </row>
    <row r="526" spans="1:2" x14ac:dyDescent="0.6">
      <c r="A526" s="2" t="s">
        <v>526</v>
      </c>
      <c r="B526" s="3">
        <v>2.69</v>
      </c>
    </row>
    <row r="527" spans="1:2" x14ac:dyDescent="0.6">
      <c r="A527" s="2" t="s">
        <v>527</v>
      </c>
      <c r="B527" s="3">
        <v>2.4300000000000002</v>
      </c>
    </row>
    <row r="528" spans="1:2" x14ac:dyDescent="0.6">
      <c r="A528" s="2" t="s">
        <v>528</v>
      </c>
      <c r="B528" s="3">
        <v>2.0099999999999998</v>
      </c>
    </row>
    <row r="529" spans="1:2" x14ac:dyDescent="0.6">
      <c r="A529" s="2" t="s">
        <v>529</v>
      </c>
      <c r="B529" s="3">
        <v>1.54</v>
      </c>
    </row>
    <row r="530" spans="1:2" x14ac:dyDescent="0.6">
      <c r="A530" s="2" t="s">
        <v>530</v>
      </c>
      <c r="B530" s="3">
        <v>1.1399999999999999</v>
      </c>
    </row>
    <row r="531" spans="1:2" x14ac:dyDescent="0.6">
      <c r="A531" s="2" t="s">
        <v>531</v>
      </c>
      <c r="B531" s="3">
        <v>0.9</v>
      </c>
    </row>
    <row r="532" spans="1:2" x14ac:dyDescent="0.6">
      <c r="A532" s="2" t="s">
        <v>532</v>
      </c>
      <c r="B532" s="3">
        <v>0.89</v>
      </c>
    </row>
    <row r="533" spans="1:2" x14ac:dyDescent="0.6">
      <c r="A533" s="2" t="s">
        <v>533</v>
      </c>
      <c r="B533" s="3">
        <v>1.1100000000000001</v>
      </c>
    </row>
    <row r="534" spans="1:2" x14ac:dyDescent="0.6">
      <c r="A534" s="2" t="s">
        <v>534</v>
      </c>
      <c r="B534" s="3">
        <v>1.5</v>
      </c>
    </row>
    <row r="535" spans="1:2" x14ac:dyDescent="0.6">
      <c r="A535" s="2" t="s">
        <v>535</v>
      </c>
      <c r="B535" s="3">
        <v>1.97</v>
      </c>
    </row>
    <row r="536" spans="1:2" x14ac:dyDescent="0.6">
      <c r="A536" s="2" t="s">
        <v>536</v>
      </c>
      <c r="B536" s="3">
        <v>2.39</v>
      </c>
    </row>
    <row r="537" spans="1:2" x14ac:dyDescent="0.6">
      <c r="A537" s="2" t="s">
        <v>537</v>
      </c>
      <c r="B537" s="3">
        <v>2.67</v>
      </c>
    </row>
    <row r="538" spans="1:2" x14ac:dyDescent="0.6">
      <c r="A538" s="2" t="s">
        <v>538</v>
      </c>
      <c r="B538" s="3">
        <v>2.73</v>
      </c>
    </row>
    <row r="539" spans="1:2" x14ac:dyDescent="0.6">
      <c r="A539" s="2" t="s">
        <v>539</v>
      </c>
      <c r="B539" s="3">
        <v>2.5499999999999998</v>
      </c>
    </row>
    <row r="540" spans="1:2" x14ac:dyDescent="0.6">
      <c r="A540" s="2" t="s">
        <v>540</v>
      </c>
      <c r="B540" s="3">
        <v>2.19</v>
      </c>
    </row>
    <row r="541" spans="1:2" x14ac:dyDescent="0.6">
      <c r="A541" s="2" t="s">
        <v>541</v>
      </c>
      <c r="B541" s="3">
        <v>1.73</v>
      </c>
    </row>
    <row r="542" spans="1:2" x14ac:dyDescent="0.6">
      <c r="A542" s="2" t="s">
        <v>542</v>
      </c>
      <c r="B542" s="3">
        <v>1.28</v>
      </c>
    </row>
    <row r="543" spans="1:2" x14ac:dyDescent="0.6">
      <c r="A543" s="2" t="s">
        <v>543</v>
      </c>
      <c r="B543" s="3">
        <v>0.97</v>
      </c>
    </row>
    <row r="544" spans="1:2" x14ac:dyDescent="0.6">
      <c r="A544" s="2" t="s">
        <v>544</v>
      </c>
      <c r="B544" s="3">
        <v>0.86</v>
      </c>
    </row>
    <row r="545" spans="1:2" x14ac:dyDescent="0.6">
      <c r="A545" s="2" t="s">
        <v>545</v>
      </c>
      <c r="B545" s="3">
        <v>0.99</v>
      </c>
    </row>
    <row r="546" spans="1:2" x14ac:dyDescent="0.6">
      <c r="A546" s="2" t="s">
        <v>546</v>
      </c>
      <c r="B546" s="3">
        <v>1.33</v>
      </c>
    </row>
    <row r="547" spans="1:2" x14ac:dyDescent="0.6">
      <c r="A547" s="2" t="s">
        <v>547</v>
      </c>
      <c r="B547" s="3">
        <v>1.78</v>
      </c>
    </row>
    <row r="548" spans="1:2" x14ac:dyDescent="0.6">
      <c r="A548" s="2" t="s">
        <v>548</v>
      </c>
      <c r="B548" s="3">
        <v>2.2400000000000002</v>
      </c>
    </row>
    <row r="549" spans="1:2" x14ac:dyDescent="0.6">
      <c r="A549" s="2" t="s">
        <v>549</v>
      </c>
      <c r="B549" s="3">
        <v>2.58</v>
      </c>
    </row>
    <row r="550" spans="1:2" x14ac:dyDescent="0.6">
      <c r="A550" s="2" t="s">
        <v>550</v>
      </c>
      <c r="B550" s="3">
        <v>2.73</v>
      </c>
    </row>
    <row r="551" spans="1:2" x14ac:dyDescent="0.6">
      <c r="A551" s="2" t="s">
        <v>551</v>
      </c>
      <c r="B551" s="3">
        <v>2.65</v>
      </c>
    </row>
    <row r="552" spans="1:2" x14ac:dyDescent="0.6">
      <c r="A552" s="2" t="s">
        <v>552</v>
      </c>
      <c r="B552" s="3">
        <v>2.35</v>
      </c>
    </row>
    <row r="553" spans="1:2" x14ac:dyDescent="0.6">
      <c r="A553" s="2" t="s">
        <v>553</v>
      </c>
      <c r="B553" s="3">
        <v>1.92</v>
      </c>
    </row>
    <row r="554" spans="1:2" x14ac:dyDescent="0.6">
      <c r="A554" s="2" t="s">
        <v>554</v>
      </c>
      <c r="B554" s="3">
        <v>1.45</v>
      </c>
    </row>
    <row r="555" spans="1:2" x14ac:dyDescent="0.6">
      <c r="A555" s="2" t="s">
        <v>555</v>
      </c>
      <c r="B555" s="3">
        <v>1.07</v>
      </c>
    </row>
    <row r="556" spans="1:2" x14ac:dyDescent="0.6">
      <c r="A556" s="2" t="s">
        <v>556</v>
      </c>
      <c r="B556" s="3">
        <v>0.88</v>
      </c>
    </row>
    <row r="557" spans="1:2" x14ac:dyDescent="0.6">
      <c r="A557" s="2" t="s">
        <v>557</v>
      </c>
      <c r="B557" s="3">
        <v>0.91</v>
      </c>
    </row>
    <row r="558" spans="1:2" x14ac:dyDescent="0.6">
      <c r="A558" s="2" t="s">
        <v>558</v>
      </c>
      <c r="B558" s="3">
        <v>1.17</v>
      </c>
    </row>
    <row r="559" spans="1:2" x14ac:dyDescent="0.6">
      <c r="A559" s="2" t="s">
        <v>559</v>
      </c>
      <c r="B559" s="3">
        <v>1.59</v>
      </c>
    </row>
    <row r="560" spans="1:2" x14ac:dyDescent="0.6">
      <c r="A560" s="2" t="s">
        <v>560</v>
      </c>
      <c r="B560" s="3">
        <v>2.06</v>
      </c>
    </row>
    <row r="561" spans="1:2" x14ac:dyDescent="0.6">
      <c r="A561" s="2" t="s">
        <v>561</v>
      </c>
      <c r="B561" s="3">
        <v>2.46</v>
      </c>
    </row>
    <row r="562" spans="1:2" x14ac:dyDescent="0.6">
      <c r="A562" s="2" t="s">
        <v>562</v>
      </c>
      <c r="B562" s="3">
        <v>2.7</v>
      </c>
    </row>
    <row r="563" spans="1:2" x14ac:dyDescent="0.6">
      <c r="A563" s="2" t="s">
        <v>563</v>
      </c>
      <c r="B563" s="3">
        <v>2.71</v>
      </c>
    </row>
    <row r="564" spans="1:2" x14ac:dyDescent="0.6">
      <c r="A564" s="2" t="s">
        <v>564</v>
      </c>
      <c r="B564" s="3">
        <v>2.4900000000000002</v>
      </c>
    </row>
    <row r="565" spans="1:2" x14ac:dyDescent="0.6">
      <c r="A565" s="2" t="s">
        <v>565</v>
      </c>
      <c r="B565" s="3">
        <v>2.1</v>
      </c>
    </row>
    <row r="566" spans="1:2" x14ac:dyDescent="0.6">
      <c r="A566" s="2" t="s">
        <v>566</v>
      </c>
      <c r="B566" s="3">
        <v>1.63</v>
      </c>
    </row>
    <row r="567" spans="1:2" x14ac:dyDescent="0.6">
      <c r="A567" s="2" t="s">
        <v>567</v>
      </c>
      <c r="B567" s="3">
        <v>1.21</v>
      </c>
    </row>
    <row r="568" spans="1:2" x14ac:dyDescent="0.6">
      <c r="A568" s="2" t="s">
        <v>568</v>
      </c>
      <c r="B568" s="3">
        <v>0.93</v>
      </c>
    </row>
    <row r="569" spans="1:2" x14ac:dyDescent="0.6">
      <c r="A569" s="2" t="s">
        <v>569</v>
      </c>
      <c r="B569" s="3">
        <v>0.87</v>
      </c>
    </row>
    <row r="570" spans="1:2" x14ac:dyDescent="0.6">
      <c r="A570" s="2" t="s">
        <v>570</v>
      </c>
      <c r="B570" s="3">
        <v>1.05</v>
      </c>
    </row>
    <row r="571" spans="1:2" x14ac:dyDescent="0.6">
      <c r="A571" s="2" t="s">
        <v>571</v>
      </c>
      <c r="B571" s="3">
        <v>1.41</v>
      </c>
    </row>
    <row r="572" spans="1:2" x14ac:dyDescent="0.6">
      <c r="A572" s="2" t="s">
        <v>572</v>
      </c>
      <c r="B572" s="3">
        <v>1.87</v>
      </c>
    </row>
    <row r="573" spans="1:2" x14ac:dyDescent="0.6">
      <c r="A573" s="2" t="s">
        <v>573</v>
      </c>
      <c r="B573" s="3">
        <v>2.3199999999999998</v>
      </c>
    </row>
    <row r="574" spans="1:2" x14ac:dyDescent="0.6">
      <c r="A574" s="2" t="s">
        <v>574</v>
      </c>
      <c r="B574" s="3">
        <v>2.63</v>
      </c>
    </row>
    <row r="575" spans="1:2" x14ac:dyDescent="0.6">
      <c r="A575" s="2" t="s">
        <v>575</v>
      </c>
      <c r="B575" s="3">
        <v>2.74</v>
      </c>
    </row>
    <row r="576" spans="1:2" x14ac:dyDescent="0.6">
      <c r="A576" s="2" t="s">
        <v>576</v>
      </c>
      <c r="B576" s="3">
        <v>2.61</v>
      </c>
    </row>
    <row r="577" spans="1:2" x14ac:dyDescent="0.6">
      <c r="A577" s="2" t="s">
        <v>577</v>
      </c>
      <c r="B577" s="3">
        <v>2.27</v>
      </c>
    </row>
    <row r="578" spans="1:2" x14ac:dyDescent="0.6">
      <c r="A578" s="2" t="s">
        <v>578</v>
      </c>
      <c r="B578" s="3">
        <v>1.82</v>
      </c>
    </row>
    <row r="579" spans="1:2" x14ac:dyDescent="0.6">
      <c r="A579" s="2" t="s">
        <v>579</v>
      </c>
      <c r="B579" s="3">
        <v>1.36</v>
      </c>
    </row>
    <row r="580" spans="1:2" x14ac:dyDescent="0.6">
      <c r="A580" s="2" t="s">
        <v>580</v>
      </c>
      <c r="B580" s="3">
        <v>1.02</v>
      </c>
    </row>
    <row r="581" spans="1:2" x14ac:dyDescent="0.6">
      <c r="A581" s="2" t="s">
        <v>581</v>
      </c>
      <c r="B581" s="3">
        <v>0.87</v>
      </c>
    </row>
    <row r="582" spans="1:2" x14ac:dyDescent="0.6">
      <c r="A582" s="2" t="s">
        <v>582</v>
      </c>
      <c r="B582" s="3">
        <v>0.95</v>
      </c>
    </row>
    <row r="583" spans="1:2" x14ac:dyDescent="0.6">
      <c r="A583" s="2" t="s">
        <v>583</v>
      </c>
      <c r="B583" s="3">
        <v>1.25</v>
      </c>
    </row>
    <row r="584" spans="1:2" x14ac:dyDescent="0.6">
      <c r="A584" s="2" t="s">
        <v>584</v>
      </c>
      <c r="B584" s="3">
        <v>1.68</v>
      </c>
    </row>
    <row r="585" spans="1:2" x14ac:dyDescent="0.6">
      <c r="A585" s="2" t="s">
        <v>585</v>
      </c>
      <c r="B585" s="3">
        <v>2.15</v>
      </c>
    </row>
    <row r="586" spans="1:2" x14ac:dyDescent="0.6">
      <c r="A586" s="2" t="s">
        <v>586</v>
      </c>
      <c r="B586" s="3">
        <v>2.5299999999999998</v>
      </c>
    </row>
    <row r="587" spans="1:2" x14ac:dyDescent="0.6">
      <c r="A587" s="2" t="s">
        <v>587</v>
      </c>
      <c r="B587" s="3">
        <v>2.72</v>
      </c>
    </row>
    <row r="588" spans="1:2" x14ac:dyDescent="0.6">
      <c r="A588" s="2" t="s">
        <v>588</v>
      </c>
      <c r="B588" s="3">
        <v>2.69</v>
      </c>
    </row>
    <row r="589" spans="1:2" x14ac:dyDescent="0.6">
      <c r="A589" s="2" t="s">
        <v>589</v>
      </c>
      <c r="B589" s="3">
        <v>2.4300000000000002</v>
      </c>
    </row>
    <row r="590" spans="1:2" x14ac:dyDescent="0.6">
      <c r="A590" s="2" t="s">
        <v>590</v>
      </c>
      <c r="B590" s="3">
        <v>2.0099999999999998</v>
      </c>
    </row>
    <row r="591" spans="1:2" x14ac:dyDescent="0.6">
      <c r="A591" s="2" t="s">
        <v>591</v>
      </c>
      <c r="B591" s="3">
        <v>1.54</v>
      </c>
    </row>
    <row r="592" spans="1:2" x14ac:dyDescent="0.6">
      <c r="A592" s="2" t="s">
        <v>592</v>
      </c>
      <c r="B592" s="3">
        <v>1.1399999999999999</v>
      </c>
    </row>
    <row r="593" spans="1:2" x14ac:dyDescent="0.6">
      <c r="A593" s="2" t="s">
        <v>593</v>
      </c>
      <c r="B593" s="3">
        <v>0.9</v>
      </c>
    </row>
    <row r="594" spans="1:2" x14ac:dyDescent="0.6">
      <c r="A594" s="2" t="s">
        <v>594</v>
      </c>
      <c r="B594" s="3">
        <v>0.89</v>
      </c>
    </row>
    <row r="595" spans="1:2" x14ac:dyDescent="0.6">
      <c r="A595" s="2" t="s">
        <v>595</v>
      </c>
      <c r="B595" s="3">
        <v>1.1100000000000001</v>
      </c>
    </row>
    <row r="596" spans="1:2" x14ac:dyDescent="0.6">
      <c r="A596" s="2" t="s">
        <v>596</v>
      </c>
      <c r="B596" s="3">
        <v>1.5</v>
      </c>
    </row>
    <row r="597" spans="1:2" x14ac:dyDescent="0.6">
      <c r="A597" s="2" t="s">
        <v>597</v>
      </c>
      <c r="B597" s="3">
        <v>1.97</v>
      </c>
    </row>
    <row r="598" spans="1:2" x14ac:dyDescent="0.6">
      <c r="A598" s="2" t="s">
        <v>598</v>
      </c>
      <c r="B598" s="3">
        <v>2.39</v>
      </c>
    </row>
    <row r="599" spans="1:2" x14ac:dyDescent="0.6">
      <c r="A599" s="2" t="s">
        <v>599</v>
      </c>
      <c r="B599" s="3">
        <v>2.67</v>
      </c>
    </row>
    <row r="600" spans="1:2" x14ac:dyDescent="0.6">
      <c r="A600" s="2" t="s">
        <v>600</v>
      </c>
      <c r="B600" s="3">
        <v>2.73</v>
      </c>
    </row>
    <row r="601" spans="1:2" x14ac:dyDescent="0.6">
      <c r="A601" s="2" t="s">
        <v>601</v>
      </c>
      <c r="B601" s="3">
        <v>2.5499999999999998</v>
      </c>
    </row>
    <row r="602" spans="1:2" x14ac:dyDescent="0.6">
      <c r="A602" s="2" t="s">
        <v>602</v>
      </c>
      <c r="B602" s="3">
        <v>2.19</v>
      </c>
    </row>
    <row r="603" spans="1:2" x14ac:dyDescent="0.6">
      <c r="A603" s="2" t="s">
        <v>603</v>
      </c>
      <c r="B603" s="3">
        <v>1.73</v>
      </c>
    </row>
    <row r="604" spans="1:2" x14ac:dyDescent="0.6">
      <c r="A604" s="2" t="s">
        <v>604</v>
      </c>
      <c r="B604" s="3">
        <v>1.28</v>
      </c>
    </row>
    <row r="605" spans="1:2" x14ac:dyDescent="0.6">
      <c r="A605" s="2" t="s">
        <v>605</v>
      </c>
      <c r="B605" s="3">
        <v>0.97</v>
      </c>
    </row>
    <row r="606" spans="1:2" x14ac:dyDescent="0.6">
      <c r="A606" s="2" t="s">
        <v>606</v>
      </c>
      <c r="B606" s="3">
        <v>0.86</v>
      </c>
    </row>
    <row r="607" spans="1:2" x14ac:dyDescent="0.6">
      <c r="A607" s="2" t="s">
        <v>607</v>
      </c>
      <c r="B607" s="3">
        <v>0.99</v>
      </c>
    </row>
    <row r="608" spans="1:2" x14ac:dyDescent="0.6">
      <c r="A608" s="2" t="s">
        <v>608</v>
      </c>
      <c r="B608" s="3">
        <v>1.33</v>
      </c>
    </row>
    <row r="609" spans="1:2" x14ac:dyDescent="0.6">
      <c r="A609" s="2" t="s">
        <v>609</v>
      </c>
      <c r="B609" s="3">
        <v>1.78</v>
      </c>
    </row>
    <row r="610" spans="1:2" x14ac:dyDescent="0.6">
      <c r="A610" s="2" t="s">
        <v>610</v>
      </c>
      <c r="B610" s="3">
        <v>2.2400000000000002</v>
      </c>
    </row>
    <row r="611" spans="1:2" x14ac:dyDescent="0.6">
      <c r="A611" s="2" t="s">
        <v>611</v>
      </c>
      <c r="B611" s="3">
        <v>2.58</v>
      </c>
    </row>
    <row r="612" spans="1:2" x14ac:dyDescent="0.6">
      <c r="A612" s="2" t="s">
        <v>612</v>
      </c>
      <c r="B612" s="3">
        <v>2.73</v>
      </c>
    </row>
    <row r="613" spans="1:2" x14ac:dyDescent="0.6">
      <c r="A613" s="2" t="s">
        <v>613</v>
      </c>
      <c r="B613" s="3">
        <v>2.65</v>
      </c>
    </row>
    <row r="614" spans="1:2" x14ac:dyDescent="0.6">
      <c r="A614" s="2" t="s">
        <v>614</v>
      </c>
      <c r="B614" s="3">
        <v>2.35</v>
      </c>
    </row>
    <row r="615" spans="1:2" x14ac:dyDescent="0.6">
      <c r="A615" s="2" t="s">
        <v>615</v>
      </c>
      <c r="B615" s="3">
        <v>1.92</v>
      </c>
    </row>
    <row r="616" spans="1:2" x14ac:dyDescent="0.6">
      <c r="A616" s="2" t="s">
        <v>616</v>
      </c>
      <c r="B616" s="3">
        <v>1.45</v>
      </c>
    </row>
    <row r="617" spans="1:2" x14ac:dyDescent="0.6">
      <c r="A617" s="2" t="s">
        <v>617</v>
      </c>
      <c r="B617" s="3">
        <v>1.07</v>
      </c>
    </row>
    <row r="618" spans="1:2" x14ac:dyDescent="0.6">
      <c r="A618" s="2" t="s">
        <v>618</v>
      </c>
      <c r="B618" s="3">
        <v>0.88</v>
      </c>
    </row>
    <row r="619" spans="1:2" x14ac:dyDescent="0.6">
      <c r="A619" s="2" t="s">
        <v>619</v>
      </c>
      <c r="B619" s="3">
        <v>0.91</v>
      </c>
    </row>
    <row r="620" spans="1:2" x14ac:dyDescent="0.6">
      <c r="A620" s="2" t="s">
        <v>620</v>
      </c>
      <c r="B620" s="3">
        <v>1.17</v>
      </c>
    </row>
    <row r="621" spans="1:2" x14ac:dyDescent="0.6">
      <c r="A621" s="2" t="s">
        <v>621</v>
      </c>
      <c r="B621" s="3">
        <v>1.59</v>
      </c>
    </row>
    <row r="622" spans="1:2" x14ac:dyDescent="0.6">
      <c r="A622" s="2" t="s">
        <v>622</v>
      </c>
      <c r="B622" s="3">
        <v>2.06</v>
      </c>
    </row>
    <row r="623" spans="1:2" x14ac:dyDescent="0.6">
      <c r="A623" s="2" t="s">
        <v>623</v>
      </c>
      <c r="B623" s="3">
        <v>2.46</v>
      </c>
    </row>
    <row r="624" spans="1:2" x14ac:dyDescent="0.6">
      <c r="A624" s="2" t="s">
        <v>624</v>
      </c>
      <c r="B624" s="3">
        <v>2.7</v>
      </c>
    </row>
    <row r="625" spans="1:2" x14ac:dyDescent="0.6">
      <c r="A625" s="2" t="s">
        <v>625</v>
      </c>
      <c r="B625" s="3">
        <v>2.71</v>
      </c>
    </row>
    <row r="626" spans="1:2" x14ac:dyDescent="0.6">
      <c r="A626" s="2" t="s">
        <v>626</v>
      </c>
      <c r="B626" s="3">
        <v>2.4900000000000002</v>
      </c>
    </row>
    <row r="627" spans="1:2" x14ac:dyDescent="0.6">
      <c r="A627" s="2" t="s">
        <v>627</v>
      </c>
      <c r="B627" s="3">
        <v>2.1</v>
      </c>
    </row>
    <row r="628" spans="1:2" x14ac:dyDescent="0.6">
      <c r="A628" s="2" t="s">
        <v>628</v>
      </c>
      <c r="B628" s="3">
        <v>1.63</v>
      </c>
    </row>
    <row r="629" spans="1:2" x14ac:dyDescent="0.6">
      <c r="A629" s="2" t="s">
        <v>629</v>
      </c>
      <c r="B629" s="3">
        <v>1.21</v>
      </c>
    </row>
    <row r="630" spans="1:2" x14ac:dyDescent="0.6">
      <c r="A630" s="2" t="s">
        <v>630</v>
      </c>
      <c r="B630" s="3">
        <v>0.93</v>
      </c>
    </row>
    <row r="631" spans="1:2" x14ac:dyDescent="0.6">
      <c r="A631" s="2" t="s">
        <v>631</v>
      </c>
      <c r="B631" s="3">
        <v>0.87</v>
      </c>
    </row>
    <row r="632" spans="1:2" x14ac:dyDescent="0.6">
      <c r="A632" s="2" t="s">
        <v>632</v>
      </c>
      <c r="B632" s="3">
        <v>1.05</v>
      </c>
    </row>
    <row r="633" spans="1:2" x14ac:dyDescent="0.6">
      <c r="A633" s="2" t="s">
        <v>633</v>
      </c>
      <c r="B633" s="3">
        <v>1.41</v>
      </c>
    </row>
    <row r="634" spans="1:2" x14ac:dyDescent="0.6">
      <c r="A634" s="2" t="s">
        <v>634</v>
      </c>
      <c r="B634" s="3">
        <v>1.87</v>
      </c>
    </row>
    <row r="635" spans="1:2" x14ac:dyDescent="0.6">
      <c r="A635" s="2" t="s">
        <v>635</v>
      </c>
      <c r="B635" s="3">
        <v>2.3199999999999998</v>
      </c>
    </row>
    <row r="636" spans="1:2" x14ac:dyDescent="0.6">
      <c r="A636" s="2" t="s">
        <v>636</v>
      </c>
      <c r="B636" s="3">
        <v>2.63</v>
      </c>
    </row>
    <row r="637" spans="1:2" x14ac:dyDescent="0.6">
      <c r="A637" s="2" t="s">
        <v>637</v>
      </c>
      <c r="B637" s="3">
        <v>2.74</v>
      </c>
    </row>
    <row r="638" spans="1:2" x14ac:dyDescent="0.6">
      <c r="A638" s="2" t="s">
        <v>638</v>
      </c>
      <c r="B638" s="3">
        <v>2.61</v>
      </c>
    </row>
    <row r="639" spans="1:2" x14ac:dyDescent="0.6">
      <c r="A639" s="2" t="s">
        <v>639</v>
      </c>
      <c r="B639" s="3">
        <v>2.27</v>
      </c>
    </row>
    <row r="640" spans="1:2" x14ac:dyDescent="0.6">
      <c r="A640" s="2" t="s">
        <v>640</v>
      </c>
      <c r="B640" s="3">
        <v>1.82</v>
      </c>
    </row>
    <row r="641" spans="1:2" x14ac:dyDescent="0.6">
      <c r="A641" s="2" t="s">
        <v>641</v>
      </c>
      <c r="B641" s="3">
        <v>1.36</v>
      </c>
    </row>
    <row r="642" spans="1:2" x14ac:dyDescent="0.6">
      <c r="A642" s="2" t="s">
        <v>642</v>
      </c>
      <c r="B642" s="3">
        <v>1.02</v>
      </c>
    </row>
    <row r="643" spans="1:2" x14ac:dyDescent="0.6">
      <c r="A643" s="2" t="s">
        <v>643</v>
      </c>
      <c r="B643" s="3">
        <v>0.87</v>
      </c>
    </row>
    <row r="644" spans="1:2" x14ac:dyDescent="0.6">
      <c r="A644" s="2" t="s">
        <v>644</v>
      </c>
      <c r="B644" s="3">
        <v>0.95</v>
      </c>
    </row>
    <row r="645" spans="1:2" x14ac:dyDescent="0.6">
      <c r="A645" s="2" t="s">
        <v>645</v>
      </c>
      <c r="B645" s="3">
        <v>1.25</v>
      </c>
    </row>
    <row r="646" spans="1:2" x14ac:dyDescent="0.6">
      <c r="A646" s="2" t="s">
        <v>646</v>
      </c>
      <c r="B646" s="3">
        <v>1.68</v>
      </c>
    </row>
    <row r="647" spans="1:2" x14ac:dyDescent="0.6">
      <c r="A647" s="2" t="s">
        <v>647</v>
      </c>
      <c r="B647" s="3">
        <v>2.15</v>
      </c>
    </row>
    <row r="648" spans="1:2" x14ac:dyDescent="0.6">
      <c r="A648" s="2" t="s">
        <v>648</v>
      </c>
      <c r="B648" s="3">
        <v>2.5299999999999998</v>
      </c>
    </row>
    <row r="649" spans="1:2" x14ac:dyDescent="0.6">
      <c r="A649" s="2" t="s">
        <v>649</v>
      </c>
      <c r="B649" s="3">
        <v>2.72</v>
      </c>
    </row>
    <row r="650" spans="1:2" x14ac:dyDescent="0.6">
      <c r="A650" s="2" t="s">
        <v>650</v>
      </c>
      <c r="B650" s="3">
        <v>2.69</v>
      </c>
    </row>
    <row r="651" spans="1:2" x14ac:dyDescent="0.6">
      <c r="A651" s="2" t="s">
        <v>651</v>
      </c>
      <c r="B651" s="3">
        <v>2.4300000000000002</v>
      </c>
    </row>
    <row r="652" spans="1:2" x14ac:dyDescent="0.6">
      <c r="A652" s="2" t="s">
        <v>652</v>
      </c>
      <c r="B652" s="3">
        <v>2.0099999999999998</v>
      </c>
    </row>
    <row r="653" spans="1:2" x14ac:dyDescent="0.6">
      <c r="A653" s="2" t="s">
        <v>653</v>
      </c>
      <c r="B653" s="3">
        <v>1.54</v>
      </c>
    </row>
    <row r="654" spans="1:2" x14ac:dyDescent="0.6">
      <c r="A654" s="2" t="s">
        <v>654</v>
      </c>
      <c r="B654" s="3">
        <v>1.1399999999999999</v>
      </c>
    </row>
    <row r="655" spans="1:2" x14ac:dyDescent="0.6">
      <c r="A655" s="2" t="s">
        <v>655</v>
      </c>
      <c r="B655" s="3">
        <v>0.9</v>
      </c>
    </row>
    <row r="656" spans="1:2" x14ac:dyDescent="0.6">
      <c r="A656" s="2" t="s">
        <v>656</v>
      </c>
      <c r="B656" s="3">
        <v>0.89</v>
      </c>
    </row>
    <row r="657" spans="1:2" x14ac:dyDescent="0.6">
      <c r="A657" s="2" t="s">
        <v>657</v>
      </c>
      <c r="B657" s="3">
        <v>1.1100000000000001</v>
      </c>
    </row>
    <row r="658" spans="1:2" x14ac:dyDescent="0.6">
      <c r="A658" s="2" t="s">
        <v>658</v>
      </c>
      <c r="B658" s="3">
        <v>1.5</v>
      </c>
    </row>
    <row r="659" spans="1:2" x14ac:dyDescent="0.6">
      <c r="A659" s="2" t="s">
        <v>659</v>
      </c>
      <c r="B659" s="3">
        <v>1.97</v>
      </c>
    </row>
    <row r="660" spans="1:2" x14ac:dyDescent="0.6">
      <c r="A660" s="2" t="s">
        <v>660</v>
      </c>
      <c r="B660" s="3">
        <v>2.39</v>
      </c>
    </row>
    <row r="661" spans="1:2" x14ac:dyDescent="0.6">
      <c r="A661" s="2" t="s">
        <v>661</v>
      </c>
      <c r="B661" s="3">
        <v>2.67</v>
      </c>
    </row>
    <row r="662" spans="1:2" x14ac:dyDescent="0.6">
      <c r="A662" s="2" t="s">
        <v>662</v>
      </c>
      <c r="B662" s="3">
        <v>2.73</v>
      </c>
    </row>
    <row r="663" spans="1:2" x14ac:dyDescent="0.6">
      <c r="A663" s="2" t="s">
        <v>663</v>
      </c>
      <c r="B663" s="3">
        <v>2.5499999999999998</v>
      </c>
    </row>
    <row r="664" spans="1:2" x14ac:dyDescent="0.6">
      <c r="A664" s="2" t="s">
        <v>664</v>
      </c>
      <c r="B664" s="3">
        <v>2.19</v>
      </c>
    </row>
    <row r="665" spans="1:2" x14ac:dyDescent="0.6">
      <c r="A665" s="2" t="s">
        <v>665</v>
      </c>
      <c r="B665" s="3">
        <v>1.73</v>
      </c>
    </row>
    <row r="666" spans="1:2" x14ac:dyDescent="0.6">
      <c r="A666" s="2" t="s">
        <v>666</v>
      </c>
      <c r="B666" s="3">
        <v>1.28</v>
      </c>
    </row>
    <row r="667" spans="1:2" x14ac:dyDescent="0.6">
      <c r="A667" s="2" t="s">
        <v>667</v>
      </c>
      <c r="B667" s="3">
        <v>0.97</v>
      </c>
    </row>
    <row r="668" spans="1:2" x14ac:dyDescent="0.6">
      <c r="A668" s="2" t="s">
        <v>668</v>
      </c>
      <c r="B668" s="3">
        <v>0.86</v>
      </c>
    </row>
    <row r="669" spans="1:2" x14ac:dyDescent="0.6">
      <c r="A669" s="2" t="s">
        <v>669</v>
      </c>
      <c r="B669" s="3">
        <v>0.99</v>
      </c>
    </row>
    <row r="670" spans="1:2" x14ac:dyDescent="0.6">
      <c r="A670" s="2" t="s">
        <v>670</v>
      </c>
      <c r="B670" s="3">
        <v>1.33</v>
      </c>
    </row>
    <row r="671" spans="1:2" x14ac:dyDescent="0.6">
      <c r="A671" s="2" t="s">
        <v>671</v>
      </c>
      <c r="B671" s="3">
        <v>1.78</v>
      </c>
    </row>
    <row r="672" spans="1:2" x14ac:dyDescent="0.6">
      <c r="A672" s="2" t="s">
        <v>672</v>
      </c>
      <c r="B672" s="3">
        <v>2.2400000000000002</v>
      </c>
    </row>
    <row r="673" spans="1:2" x14ac:dyDescent="0.6">
      <c r="A673" s="2" t="s">
        <v>673</v>
      </c>
      <c r="B673" s="3">
        <v>2.58</v>
      </c>
    </row>
    <row r="674" spans="1:2" x14ac:dyDescent="0.6">
      <c r="A674" s="2" t="s">
        <v>674</v>
      </c>
      <c r="B674" s="3">
        <v>2.73</v>
      </c>
    </row>
    <row r="675" spans="1:2" x14ac:dyDescent="0.6">
      <c r="A675" s="2" t="s">
        <v>675</v>
      </c>
      <c r="B675" s="3">
        <v>2.65</v>
      </c>
    </row>
    <row r="676" spans="1:2" x14ac:dyDescent="0.6">
      <c r="A676" s="2" t="s">
        <v>676</v>
      </c>
      <c r="B676" s="3">
        <v>2.35</v>
      </c>
    </row>
    <row r="677" spans="1:2" x14ac:dyDescent="0.6">
      <c r="A677" s="2" t="s">
        <v>677</v>
      </c>
      <c r="B677" s="3">
        <v>1.92</v>
      </c>
    </row>
    <row r="678" spans="1:2" x14ac:dyDescent="0.6">
      <c r="A678" s="2" t="s">
        <v>678</v>
      </c>
      <c r="B678" s="3">
        <v>1.45</v>
      </c>
    </row>
    <row r="679" spans="1:2" x14ac:dyDescent="0.6">
      <c r="A679" s="2" t="s">
        <v>679</v>
      </c>
      <c r="B679" s="3">
        <v>1.07</v>
      </c>
    </row>
    <row r="680" spans="1:2" x14ac:dyDescent="0.6">
      <c r="A680" s="2" t="s">
        <v>680</v>
      </c>
      <c r="B680" s="3">
        <v>0.88</v>
      </c>
    </row>
    <row r="681" spans="1:2" x14ac:dyDescent="0.6">
      <c r="A681" s="2" t="s">
        <v>681</v>
      </c>
      <c r="B681" s="3">
        <v>0.91</v>
      </c>
    </row>
    <row r="682" spans="1:2" x14ac:dyDescent="0.6">
      <c r="A682" s="2" t="s">
        <v>682</v>
      </c>
      <c r="B682" s="3">
        <v>1.17</v>
      </c>
    </row>
    <row r="683" spans="1:2" x14ac:dyDescent="0.6">
      <c r="A683" s="2" t="s">
        <v>683</v>
      </c>
      <c r="B683" s="3">
        <v>1.59</v>
      </c>
    </row>
    <row r="684" spans="1:2" x14ac:dyDescent="0.6">
      <c r="A684" s="2" t="s">
        <v>684</v>
      </c>
      <c r="B684" s="3">
        <v>2.06</v>
      </c>
    </row>
    <row r="685" spans="1:2" x14ac:dyDescent="0.6">
      <c r="A685" s="2" t="s">
        <v>685</v>
      </c>
      <c r="B685" s="3">
        <v>2.46</v>
      </c>
    </row>
    <row r="686" spans="1:2" x14ac:dyDescent="0.6">
      <c r="A686" s="2" t="s">
        <v>686</v>
      </c>
      <c r="B686" s="3">
        <v>2.7</v>
      </c>
    </row>
    <row r="687" spans="1:2" x14ac:dyDescent="0.6">
      <c r="A687" s="2" t="s">
        <v>687</v>
      </c>
      <c r="B687" s="3">
        <v>2.71</v>
      </c>
    </row>
    <row r="688" spans="1:2" x14ac:dyDescent="0.6">
      <c r="A688" s="2" t="s">
        <v>688</v>
      </c>
      <c r="B688" s="3">
        <v>2.4900000000000002</v>
      </c>
    </row>
    <row r="689" spans="1:2" x14ac:dyDescent="0.6">
      <c r="A689" s="2" t="s">
        <v>689</v>
      </c>
      <c r="B689" s="3">
        <v>2.1</v>
      </c>
    </row>
    <row r="690" spans="1:2" x14ac:dyDescent="0.6">
      <c r="A690" s="2" t="s">
        <v>690</v>
      </c>
      <c r="B690" s="3">
        <v>1.63</v>
      </c>
    </row>
    <row r="691" spans="1:2" x14ac:dyDescent="0.6">
      <c r="A691" s="2" t="s">
        <v>691</v>
      </c>
      <c r="B691" s="3">
        <v>1.21</v>
      </c>
    </row>
    <row r="692" spans="1:2" x14ac:dyDescent="0.6">
      <c r="A692" s="2" t="s">
        <v>692</v>
      </c>
      <c r="B692" s="3">
        <v>0.93</v>
      </c>
    </row>
    <row r="693" spans="1:2" x14ac:dyDescent="0.6">
      <c r="A693" s="2" t="s">
        <v>693</v>
      </c>
      <c r="B693" s="3">
        <v>0.87</v>
      </c>
    </row>
    <row r="694" spans="1:2" x14ac:dyDescent="0.6">
      <c r="A694" s="2" t="s">
        <v>694</v>
      </c>
      <c r="B694" s="3">
        <v>1.05</v>
      </c>
    </row>
    <row r="695" spans="1:2" x14ac:dyDescent="0.6">
      <c r="A695" s="2" t="s">
        <v>695</v>
      </c>
      <c r="B695" s="3">
        <v>1.41</v>
      </c>
    </row>
    <row r="696" spans="1:2" x14ac:dyDescent="0.6">
      <c r="A696" s="2" t="s">
        <v>696</v>
      </c>
      <c r="B696" s="3">
        <v>1.87</v>
      </c>
    </row>
    <row r="697" spans="1:2" x14ac:dyDescent="0.6">
      <c r="A697" s="2" t="s">
        <v>697</v>
      </c>
      <c r="B697" s="3">
        <v>2.3199999999999998</v>
      </c>
    </row>
    <row r="698" spans="1:2" x14ac:dyDescent="0.6">
      <c r="A698" s="2" t="s">
        <v>698</v>
      </c>
      <c r="B698" s="3">
        <v>2.63</v>
      </c>
    </row>
    <row r="699" spans="1:2" x14ac:dyDescent="0.6">
      <c r="A699" s="2" t="s">
        <v>699</v>
      </c>
      <c r="B699" s="3">
        <v>2.74</v>
      </c>
    </row>
    <row r="700" spans="1:2" x14ac:dyDescent="0.6">
      <c r="A700" s="2" t="s">
        <v>700</v>
      </c>
      <c r="B700" s="3">
        <v>2.61</v>
      </c>
    </row>
    <row r="701" spans="1:2" x14ac:dyDescent="0.6">
      <c r="A701" s="2" t="s">
        <v>701</v>
      </c>
      <c r="B701" s="3">
        <v>2.27</v>
      </c>
    </row>
    <row r="702" spans="1:2" x14ac:dyDescent="0.6">
      <c r="A702" s="2" t="s">
        <v>702</v>
      </c>
      <c r="B702" s="3">
        <v>1.82</v>
      </c>
    </row>
    <row r="703" spans="1:2" x14ac:dyDescent="0.6">
      <c r="A703" s="2" t="s">
        <v>703</v>
      </c>
      <c r="B703" s="3">
        <v>1.36</v>
      </c>
    </row>
    <row r="704" spans="1:2" x14ac:dyDescent="0.6">
      <c r="A704" s="2" t="s">
        <v>704</v>
      </c>
      <c r="B704" s="3">
        <v>1.02</v>
      </c>
    </row>
    <row r="705" spans="1:2" x14ac:dyDescent="0.6">
      <c r="A705" s="2" t="s">
        <v>705</v>
      </c>
      <c r="B705" s="3">
        <v>0.87</v>
      </c>
    </row>
    <row r="706" spans="1:2" x14ac:dyDescent="0.6">
      <c r="A706" s="2" t="s">
        <v>706</v>
      </c>
      <c r="B706" s="3">
        <v>0.95</v>
      </c>
    </row>
    <row r="707" spans="1:2" x14ac:dyDescent="0.6">
      <c r="A707" s="2" t="s">
        <v>707</v>
      </c>
      <c r="B707" s="3">
        <v>1.25</v>
      </c>
    </row>
    <row r="708" spans="1:2" x14ac:dyDescent="0.6">
      <c r="A708" s="2" t="s">
        <v>708</v>
      </c>
      <c r="B708" s="3">
        <v>1.68</v>
      </c>
    </row>
    <row r="709" spans="1:2" x14ac:dyDescent="0.6">
      <c r="A709" s="2" t="s">
        <v>709</v>
      </c>
      <c r="B709" s="3">
        <v>2.15</v>
      </c>
    </row>
    <row r="710" spans="1:2" x14ac:dyDescent="0.6">
      <c r="A710" s="2" t="s">
        <v>710</v>
      </c>
      <c r="B710" s="3">
        <v>2.5299999999999998</v>
      </c>
    </row>
    <row r="711" spans="1:2" x14ac:dyDescent="0.6">
      <c r="A711" s="2" t="s">
        <v>711</v>
      </c>
      <c r="B711" s="3">
        <v>2.72</v>
      </c>
    </row>
    <row r="712" spans="1:2" x14ac:dyDescent="0.6">
      <c r="A712" s="2" t="s">
        <v>712</v>
      </c>
      <c r="B712" s="3">
        <v>2.69</v>
      </c>
    </row>
    <row r="713" spans="1:2" x14ac:dyDescent="0.6">
      <c r="A713" s="2" t="s">
        <v>713</v>
      </c>
      <c r="B713" s="3">
        <v>2.4300000000000002</v>
      </c>
    </row>
    <row r="714" spans="1:2" x14ac:dyDescent="0.6">
      <c r="A714" s="2" t="s">
        <v>714</v>
      </c>
      <c r="B714" s="3">
        <v>2.0099999999999998</v>
      </c>
    </row>
    <row r="715" spans="1:2" x14ac:dyDescent="0.6">
      <c r="A715" s="2" t="s">
        <v>715</v>
      </c>
      <c r="B715" s="3">
        <v>1.54</v>
      </c>
    </row>
    <row r="716" spans="1:2" x14ac:dyDescent="0.6">
      <c r="A716" s="2" t="s">
        <v>716</v>
      </c>
      <c r="B716" s="3">
        <v>1.1399999999999999</v>
      </c>
    </row>
    <row r="717" spans="1:2" x14ac:dyDescent="0.6">
      <c r="A717" s="2" t="s">
        <v>717</v>
      </c>
      <c r="B717" s="3">
        <v>0.9</v>
      </c>
    </row>
    <row r="718" spans="1:2" x14ac:dyDescent="0.6">
      <c r="A718" s="2" t="s">
        <v>718</v>
      </c>
      <c r="B718" s="3">
        <v>0.89</v>
      </c>
    </row>
    <row r="719" spans="1:2" x14ac:dyDescent="0.6">
      <c r="A719" s="2" t="s">
        <v>719</v>
      </c>
      <c r="B719" s="3">
        <v>1.1100000000000001</v>
      </c>
    </row>
    <row r="720" spans="1:2" x14ac:dyDescent="0.6">
      <c r="A720" s="2" t="s">
        <v>720</v>
      </c>
      <c r="B720" s="3">
        <v>1.5</v>
      </c>
    </row>
    <row r="721" spans="1:2" x14ac:dyDescent="0.6">
      <c r="A721" s="2" t="s">
        <v>721</v>
      </c>
      <c r="B721" s="3">
        <v>1.97</v>
      </c>
    </row>
    <row r="722" spans="1:2" x14ac:dyDescent="0.6">
      <c r="A722" s="2" t="s">
        <v>722</v>
      </c>
      <c r="B722" s="3">
        <v>2.39</v>
      </c>
    </row>
    <row r="723" spans="1:2" x14ac:dyDescent="0.6">
      <c r="A723" s="2" t="s">
        <v>723</v>
      </c>
      <c r="B723" s="3">
        <v>2.67</v>
      </c>
    </row>
    <row r="724" spans="1:2" x14ac:dyDescent="0.6">
      <c r="A724" s="2" t="s">
        <v>724</v>
      </c>
      <c r="B724" s="3">
        <v>2.73</v>
      </c>
    </row>
    <row r="725" spans="1:2" x14ac:dyDescent="0.6">
      <c r="A725" s="2" t="s">
        <v>725</v>
      </c>
      <c r="B725" s="3">
        <v>2.5499999999999998</v>
      </c>
    </row>
    <row r="726" spans="1:2" x14ac:dyDescent="0.6">
      <c r="A726" s="2" t="s">
        <v>726</v>
      </c>
      <c r="B726" s="3">
        <v>2.19</v>
      </c>
    </row>
    <row r="727" spans="1:2" x14ac:dyDescent="0.6">
      <c r="A727" s="2" t="s">
        <v>727</v>
      </c>
      <c r="B727" s="3">
        <v>1.73</v>
      </c>
    </row>
    <row r="728" spans="1:2" x14ac:dyDescent="0.6">
      <c r="A728" s="2" t="s">
        <v>728</v>
      </c>
      <c r="B728" s="3">
        <v>1.28</v>
      </c>
    </row>
    <row r="729" spans="1:2" x14ac:dyDescent="0.6">
      <c r="A729" s="2" t="s">
        <v>729</v>
      </c>
      <c r="B729" s="3">
        <v>0.97</v>
      </c>
    </row>
    <row r="730" spans="1:2" x14ac:dyDescent="0.6">
      <c r="A730" s="2" t="s">
        <v>730</v>
      </c>
      <c r="B730" s="3">
        <v>0.86</v>
      </c>
    </row>
    <row r="731" spans="1:2" x14ac:dyDescent="0.6">
      <c r="A731" s="2" t="s">
        <v>731</v>
      </c>
      <c r="B731" s="3">
        <v>0.99</v>
      </c>
    </row>
    <row r="732" spans="1:2" x14ac:dyDescent="0.6">
      <c r="A732" s="2" t="s">
        <v>732</v>
      </c>
      <c r="B732" s="3">
        <v>1.33</v>
      </c>
    </row>
    <row r="733" spans="1:2" x14ac:dyDescent="0.6">
      <c r="A733" s="2" t="s">
        <v>733</v>
      </c>
      <c r="B733" s="3">
        <v>1.78</v>
      </c>
    </row>
    <row r="734" spans="1:2" x14ac:dyDescent="0.6">
      <c r="A734" s="2" t="s">
        <v>734</v>
      </c>
      <c r="B734" s="3">
        <v>2.2400000000000002</v>
      </c>
    </row>
    <row r="735" spans="1:2" x14ac:dyDescent="0.6">
      <c r="A735" s="2" t="s">
        <v>735</v>
      </c>
      <c r="B735" s="3">
        <v>2.58</v>
      </c>
    </row>
    <row r="736" spans="1:2" x14ac:dyDescent="0.6">
      <c r="A736" s="2" t="s">
        <v>736</v>
      </c>
      <c r="B736" s="3">
        <v>2.73</v>
      </c>
    </row>
    <row r="737" spans="1:2" x14ac:dyDescent="0.6">
      <c r="A737" s="2" t="s">
        <v>737</v>
      </c>
      <c r="B737" s="3">
        <v>2.65</v>
      </c>
    </row>
    <row r="738" spans="1:2" x14ac:dyDescent="0.6">
      <c r="A738" s="2" t="s">
        <v>738</v>
      </c>
      <c r="B738" s="3">
        <v>2.35</v>
      </c>
    </row>
    <row r="739" spans="1:2" x14ac:dyDescent="0.6">
      <c r="A739" s="2" t="s">
        <v>739</v>
      </c>
      <c r="B739" s="3">
        <v>1.92</v>
      </c>
    </row>
    <row r="740" spans="1:2" x14ac:dyDescent="0.6">
      <c r="A740" s="2" t="s">
        <v>740</v>
      </c>
      <c r="B740" s="3">
        <v>1.45</v>
      </c>
    </row>
    <row r="741" spans="1:2" x14ac:dyDescent="0.6">
      <c r="A741" s="2" t="s">
        <v>741</v>
      </c>
      <c r="B741" s="3">
        <v>1.07</v>
      </c>
    </row>
    <row r="742" spans="1:2" x14ac:dyDescent="0.6">
      <c r="A742" s="2" t="s">
        <v>742</v>
      </c>
      <c r="B742" s="3">
        <v>0.88</v>
      </c>
    </row>
    <row r="743" spans="1:2" x14ac:dyDescent="0.6">
      <c r="A743" s="2" t="s">
        <v>743</v>
      </c>
      <c r="B743" s="3">
        <v>0.91</v>
      </c>
    </row>
    <row r="744" spans="1:2" x14ac:dyDescent="0.6">
      <c r="A744" s="2" t="s">
        <v>744</v>
      </c>
      <c r="B744" s="3">
        <v>1.17</v>
      </c>
    </row>
    <row r="745" spans="1:2" x14ac:dyDescent="0.6">
      <c r="A745" s="2" t="s">
        <v>745</v>
      </c>
      <c r="B745" s="3">
        <v>1.59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E359-BCC2-4FDA-85D1-87B205F4D9D1}">
  <dimension ref="A1:N745"/>
  <sheetViews>
    <sheetView workbookViewId="0"/>
  </sheetViews>
  <sheetFormatPr defaultRowHeight="16.899999999999999" x14ac:dyDescent="0.6"/>
  <cols>
    <col min="1" max="1" width="20" customWidth="1"/>
    <col min="2" max="2" width="12" customWidth="1"/>
    <col min="3" max="3" width="15" customWidth="1"/>
    <col min="4" max="4" width="12" customWidth="1"/>
    <col min="5" max="6" width="15" customWidth="1"/>
    <col min="7" max="7" width="18" customWidth="1"/>
    <col min="8" max="8" width="12" customWidth="1"/>
    <col min="9" max="11" width="15" customWidth="1"/>
    <col min="12" max="13" width="12" customWidth="1"/>
    <col min="14" max="14" width="80" customWidth="1"/>
  </cols>
  <sheetData>
    <row r="1" spans="1:14" ht="28.5" x14ac:dyDescent="0.6">
      <c r="A1" s="1" t="s">
        <v>746</v>
      </c>
      <c r="B1" s="1" t="s">
        <v>747</v>
      </c>
      <c r="C1" s="1" t="s">
        <v>748</v>
      </c>
      <c r="D1" s="1" t="s">
        <v>749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  <c r="K1" s="1" t="s">
        <v>756</v>
      </c>
      <c r="M1" s="1" t="s">
        <v>749</v>
      </c>
    </row>
    <row r="2" spans="1:14" x14ac:dyDescent="0.6">
      <c r="A2" s="2" t="str">
        <f>IF('December_Tide_2025 (2)'!A2="","",'December_Tide_2025 (2)'!A2)</f>
        <v>2025-12-01 00:00:00</v>
      </c>
      <c r="B2" s="3">
        <f>IF('December_Tide_2025 (2)'!B2="","",'December_Tide_2025 (2)'!B2)</f>
        <v>2.06</v>
      </c>
      <c r="C2" s="3">
        <f>IF($A2="","", INDEX([1]Calc!$E:$E, MATCH("KminusZ_m", [1]Calc!$C:$C, 0)) + $B2 - INDEX([1]Calc!$E:$E, MATCH("L_ramp_m", [1]Calc!$C:$C, 0)) * TAN(RADIANS(INDEX([1]Calc!$E:$E, MATCH("theta_max_deg", [1]Calc!$C:$C, 0)))))</f>
        <v>3.7987491768118828</v>
      </c>
      <c r="D2" s="3"/>
      <c r="E2" s="3">
        <f t="shared" ref="E2:E65" si="0">IF($C2="","", IF($D2="", $C2, $C2 - $D2/2))</f>
        <v>3.7987491768118828</v>
      </c>
      <c r="F2" s="3">
        <f t="shared" ref="F2:F65" si="1">IF($C2="","", IF($D2="", $C2, $C2 + $D2/2))</f>
        <v>3.7987491768118828</v>
      </c>
      <c r="G2" s="3">
        <f>IF($E2="","", DEGREES(ATAN((INDEX([1]Calc!$E:$E, MATCH("KminusZ_m", [1]Calc!$C:$C, 0)) - $E2 + $B2) / INDEX([1]Calc!$E:$E, MATCH("L_ramp_m", [1]Calc!$C:$C, 0)))))</f>
        <v>5.9999999999999982</v>
      </c>
      <c r="H2" s="2" t="str">
        <f>IF($E2="","", IF(AND($E2&gt;=INDEX([1]Calc!$E:$E, MATCH("min_fwd_draft_m", [1]Calc!$C:$C, 0)), $E2&lt;=INDEX([1]Calc!$E:$E, MATCH("max_fwd_draft_m", [1]Calc!$C:$C, 0)), $G2&lt;=INDEX([1]Calc!$E:$E, MATCH("theta_max_deg", [1]Calc!$C:$C, 0))), "OK", "CHECK"))</f>
        <v>CHECK</v>
      </c>
      <c r="I2" s="3">
        <f>IF($E2="","", INDEX([1]Calc!$E:$E, MATCH("D_vessel_m", [1]Calc!$C:$C, 0)) - $E2 + $B2)</f>
        <v>1.9112508231881171</v>
      </c>
      <c r="J2" s="3">
        <f>IF($F2="","", INDEX([1]Calc!$E:$E, MATCH("D_vessel_m", [1]Calc!$C:$C, 0)) - $F2 + $B2)</f>
        <v>1.9112508231881171</v>
      </c>
      <c r="K2" s="2" t="str">
        <f t="shared" ref="K2:K65" si="2">IF(D2=0, "Even Keel", "")</f>
        <v>Even Keel</v>
      </c>
      <c r="N2" s="2" t="s">
        <v>757</v>
      </c>
    </row>
    <row r="3" spans="1:14" x14ac:dyDescent="0.6">
      <c r="A3" s="2" t="str">
        <f>IF('December_Tide_2025 (2)'!A3="","",'December_Tide_2025 (2)'!A3)</f>
        <v>2025-12-01 01:00:00</v>
      </c>
      <c r="B3" s="3">
        <f>IF('December_Tide_2025 (2)'!B3="","",'December_Tide_2025 (2)'!B3)</f>
        <v>2.46</v>
      </c>
      <c r="C3" s="3">
        <f>IF($A3="","", INDEX([1]Calc!$E:$E, MATCH("KminusZ_m", [1]Calc!$C:$C, 0)) + $B3 - INDEX([1]Calc!$E:$E, MATCH("L_ramp_m", [1]Calc!$C:$C, 0)) * TAN(RADIANS(INDEX([1]Calc!$E:$E, MATCH("theta_max_deg", [1]Calc!$C:$C, 0)))))</f>
        <v>4.1987491768118819</v>
      </c>
      <c r="D3" s="3"/>
      <c r="E3" s="3">
        <f t="shared" si="0"/>
        <v>4.1987491768118819</v>
      </c>
      <c r="F3" s="3">
        <f t="shared" si="1"/>
        <v>4.1987491768118819</v>
      </c>
      <c r="G3" s="3">
        <f>IF($E3="","", DEGREES(ATAN((INDEX([1]Calc!$E:$E, MATCH("KminusZ_m", [1]Calc!$C:$C, 0)) - $E3 + $B3) / INDEX([1]Calc!$E:$E, MATCH("L_ramp_m", [1]Calc!$C:$C, 0)))))</f>
        <v>6.0000000000000027</v>
      </c>
      <c r="H3" s="2" t="str">
        <f>IF($E3="","", IF(AND($E3&gt;=INDEX([1]Calc!$E:$E, MATCH("min_fwd_draft_m", [1]Calc!$C:$C, 0)), $E3&lt;=INDEX([1]Calc!$E:$E, MATCH("max_fwd_draft_m", [1]Calc!$C:$C, 0)), $G3&lt;=INDEX([1]Calc!$E:$E, MATCH("theta_max_deg", [1]Calc!$C:$C, 0))), "OK", "CHECK"))</f>
        <v>CHECK</v>
      </c>
      <c r="I3" s="3">
        <f>IF($E3="","", INDEX([1]Calc!$E:$E, MATCH("D_vessel_m", [1]Calc!$C:$C, 0)) - $E3 + $B3)</f>
        <v>1.911250823188118</v>
      </c>
      <c r="J3" s="3">
        <f>IF($F3="","", INDEX([1]Calc!$E:$E, MATCH("D_vessel_m", [1]Calc!$C:$C, 0)) - $F3 + $B3)</f>
        <v>1.911250823188118</v>
      </c>
      <c r="K3" s="2" t="str">
        <f t="shared" si="2"/>
        <v>Even Keel</v>
      </c>
    </row>
    <row r="4" spans="1:14" x14ac:dyDescent="0.6">
      <c r="A4" s="2" t="str">
        <f>IF('December_Tide_2025 (2)'!A4="","",'December_Tide_2025 (2)'!A4)</f>
        <v>2025-12-01 02:00:00</v>
      </c>
      <c r="B4" s="3">
        <f>IF('December_Tide_2025 (2)'!B4="","",'December_Tide_2025 (2)'!B4)</f>
        <v>2.7</v>
      </c>
      <c r="C4" s="3">
        <f>IF($A4="","", INDEX([1]Calc!$E:$E, MATCH("KminusZ_m", [1]Calc!$C:$C, 0)) + $B4 - INDEX([1]Calc!$E:$E, MATCH("L_ramp_m", [1]Calc!$C:$C, 0)) * TAN(RADIANS(INDEX([1]Calc!$E:$E, MATCH("theta_max_deg", [1]Calc!$C:$C, 0)))))</f>
        <v>4.4387491768118821</v>
      </c>
      <c r="D4" s="3"/>
      <c r="E4" s="3">
        <f t="shared" si="0"/>
        <v>4.4387491768118821</v>
      </c>
      <c r="F4" s="3">
        <f t="shared" si="1"/>
        <v>4.4387491768118821</v>
      </c>
      <c r="G4" s="3">
        <f>IF($E4="","", DEGREES(ATAN((INDEX([1]Calc!$E:$E, MATCH("KminusZ_m", [1]Calc!$C:$C, 0)) - $E4 + $B4) / INDEX([1]Calc!$E:$E, MATCH("L_ramp_m", [1]Calc!$C:$C, 0)))))</f>
        <v>6.0000000000000027</v>
      </c>
      <c r="H4" s="2" t="str">
        <f>IF($E4="","", IF(AND($E4&gt;=INDEX([1]Calc!$E:$E, MATCH("min_fwd_draft_m", [1]Calc!$C:$C, 0)), $E4&lt;=INDEX([1]Calc!$E:$E, MATCH("max_fwd_draft_m", [1]Calc!$C:$C, 0)), $G4&lt;=INDEX([1]Calc!$E:$E, MATCH("theta_max_deg", [1]Calc!$C:$C, 0))), "OK", "CHECK"))</f>
        <v>CHECK</v>
      </c>
      <c r="I4" s="3">
        <f>IF($E4="","", INDEX([1]Calc!$E:$E, MATCH("D_vessel_m", [1]Calc!$C:$C, 0)) - $E4 + $B4)</f>
        <v>1.911250823188118</v>
      </c>
      <c r="J4" s="3">
        <f>IF($F4="","", INDEX([1]Calc!$E:$E, MATCH("D_vessel_m", [1]Calc!$C:$C, 0)) - $F4 + $B4)</f>
        <v>1.911250823188118</v>
      </c>
      <c r="K4" s="2" t="str">
        <f t="shared" si="2"/>
        <v>Even Keel</v>
      </c>
    </row>
    <row r="5" spans="1:14" x14ac:dyDescent="0.6">
      <c r="A5" s="2" t="str">
        <f>IF('December_Tide_2025 (2)'!A5="","",'December_Tide_2025 (2)'!A5)</f>
        <v>2025-12-01 03:00:00</v>
      </c>
      <c r="B5" s="3">
        <f>IF('December_Tide_2025 (2)'!B5="","",'December_Tide_2025 (2)'!B5)</f>
        <v>2.71</v>
      </c>
      <c r="C5" s="3">
        <f>IF($A5="","", INDEX([1]Calc!$E:$E, MATCH("KminusZ_m", [1]Calc!$C:$C, 0)) + $B5 - INDEX([1]Calc!$E:$E, MATCH("L_ramp_m", [1]Calc!$C:$C, 0)) * TAN(RADIANS(INDEX([1]Calc!$E:$E, MATCH("theta_max_deg", [1]Calc!$C:$C, 0)))))</f>
        <v>4.4487491768118819</v>
      </c>
      <c r="D5" s="3"/>
      <c r="E5" s="3">
        <f t="shared" si="0"/>
        <v>4.4487491768118819</v>
      </c>
      <c r="F5" s="3">
        <f t="shared" si="1"/>
        <v>4.4487491768118819</v>
      </c>
      <c r="G5" s="3">
        <f>IF($E5="","", DEGREES(ATAN((INDEX([1]Calc!$E:$E, MATCH("KminusZ_m", [1]Calc!$C:$C, 0)) - $E5 + $B5) / INDEX([1]Calc!$E:$E, MATCH("L_ramp_m", [1]Calc!$C:$C, 0)))))</f>
        <v>6.0000000000000027</v>
      </c>
      <c r="H5" s="2" t="str">
        <f>IF($E5="","", IF(AND($E5&gt;=INDEX([1]Calc!$E:$E, MATCH("min_fwd_draft_m", [1]Calc!$C:$C, 0)), $E5&lt;=INDEX([1]Calc!$E:$E, MATCH("max_fwd_draft_m", [1]Calc!$C:$C, 0)), $G5&lt;=INDEX([1]Calc!$E:$E, MATCH("theta_max_deg", [1]Calc!$C:$C, 0))), "OK", "CHECK"))</f>
        <v>CHECK</v>
      </c>
      <c r="I5" s="3">
        <f>IF($E5="","", INDEX([1]Calc!$E:$E, MATCH("D_vessel_m", [1]Calc!$C:$C, 0)) - $E5 + $B5)</f>
        <v>1.911250823188118</v>
      </c>
      <c r="J5" s="3">
        <f>IF($F5="","", INDEX([1]Calc!$E:$E, MATCH("D_vessel_m", [1]Calc!$C:$C, 0)) - $F5 + $B5)</f>
        <v>1.911250823188118</v>
      </c>
      <c r="K5" s="2" t="str">
        <f t="shared" si="2"/>
        <v>Even Keel</v>
      </c>
    </row>
    <row r="6" spans="1:14" x14ac:dyDescent="0.6">
      <c r="A6" s="2" t="str">
        <f>IF('December_Tide_2025 (2)'!A6="","",'December_Tide_2025 (2)'!A6)</f>
        <v>2025-12-01 04:00:00</v>
      </c>
      <c r="B6" s="3">
        <f>IF('December_Tide_2025 (2)'!B6="","",'December_Tide_2025 (2)'!B6)</f>
        <v>2.4900000000000002</v>
      </c>
      <c r="C6" s="3">
        <f>IF($A6="","", INDEX([1]Calc!$E:$E, MATCH("KminusZ_m", [1]Calc!$C:$C, 0)) + $B6 - INDEX([1]Calc!$E:$E, MATCH("L_ramp_m", [1]Calc!$C:$C, 0)) * TAN(RADIANS(INDEX([1]Calc!$E:$E, MATCH("theta_max_deg", [1]Calc!$C:$C, 0)))))</f>
        <v>4.228749176811883</v>
      </c>
      <c r="D6" s="3"/>
      <c r="E6" s="3">
        <f t="shared" si="0"/>
        <v>4.228749176811883</v>
      </c>
      <c r="F6" s="3">
        <f t="shared" si="1"/>
        <v>4.228749176811883</v>
      </c>
      <c r="G6" s="3">
        <f>IF($E6="","", DEGREES(ATAN((INDEX([1]Calc!$E:$E, MATCH("KminusZ_m", [1]Calc!$C:$C, 0)) - $E6 + $B6) / INDEX([1]Calc!$E:$E, MATCH("L_ramp_m", [1]Calc!$C:$C, 0)))))</f>
        <v>5.9999999999999982</v>
      </c>
      <c r="H6" s="2" t="str">
        <f>IF($E6="","", IF(AND($E6&gt;=INDEX([1]Calc!$E:$E, MATCH("min_fwd_draft_m", [1]Calc!$C:$C, 0)), $E6&lt;=INDEX([1]Calc!$E:$E, MATCH("max_fwd_draft_m", [1]Calc!$C:$C, 0)), $G6&lt;=INDEX([1]Calc!$E:$E, MATCH("theta_max_deg", [1]Calc!$C:$C, 0))), "OK", "CHECK"))</f>
        <v>CHECK</v>
      </c>
      <c r="I6" s="3">
        <f>IF($E6="","", INDEX([1]Calc!$E:$E, MATCH("D_vessel_m", [1]Calc!$C:$C, 0)) - $E6 + $B6)</f>
        <v>1.9112508231881171</v>
      </c>
      <c r="J6" s="3">
        <f>IF($F6="","", INDEX([1]Calc!$E:$E, MATCH("D_vessel_m", [1]Calc!$C:$C, 0)) - $F6 + $B6)</f>
        <v>1.9112508231881171</v>
      </c>
      <c r="K6" s="2" t="str">
        <f t="shared" si="2"/>
        <v>Even Keel</v>
      </c>
    </row>
    <row r="7" spans="1:14" x14ac:dyDescent="0.6">
      <c r="A7" s="2" t="str">
        <f>IF('December_Tide_2025 (2)'!A7="","",'December_Tide_2025 (2)'!A7)</f>
        <v>2025-12-01 05:00:00</v>
      </c>
      <c r="B7" s="3">
        <f>IF('December_Tide_2025 (2)'!B7="","",'December_Tide_2025 (2)'!B7)</f>
        <v>2.1</v>
      </c>
      <c r="C7" s="3">
        <f>IF($A7="","", INDEX([1]Calc!$E:$E, MATCH("KminusZ_m", [1]Calc!$C:$C, 0)) + $B7 - INDEX([1]Calc!$E:$E, MATCH("L_ramp_m", [1]Calc!$C:$C, 0)) * TAN(RADIANS(INDEX([1]Calc!$E:$E, MATCH("theta_max_deg", [1]Calc!$C:$C, 0)))))</f>
        <v>3.838749176811882</v>
      </c>
      <c r="D7" s="3"/>
      <c r="E7" s="3">
        <f t="shared" si="0"/>
        <v>3.838749176811882</v>
      </c>
      <c r="F7" s="3">
        <f t="shared" si="1"/>
        <v>3.838749176811882</v>
      </c>
      <c r="G7" s="3">
        <f>IF($E7="","", DEGREES(ATAN((INDEX([1]Calc!$E:$E, MATCH("KminusZ_m", [1]Calc!$C:$C, 0)) - $E7 + $B7) / INDEX([1]Calc!$E:$E, MATCH("L_ramp_m", [1]Calc!$C:$C, 0)))))</f>
        <v>6.0000000000000027</v>
      </c>
      <c r="H7" s="2" t="str">
        <f>IF($E7="","", IF(AND($E7&gt;=INDEX([1]Calc!$E:$E, MATCH("min_fwd_draft_m", [1]Calc!$C:$C, 0)), $E7&lt;=INDEX([1]Calc!$E:$E, MATCH("max_fwd_draft_m", [1]Calc!$C:$C, 0)), $G7&lt;=INDEX([1]Calc!$E:$E, MATCH("theta_max_deg", [1]Calc!$C:$C, 0))), "OK", "CHECK"))</f>
        <v>CHECK</v>
      </c>
      <c r="I7" s="3">
        <f>IF($E7="","", INDEX([1]Calc!$E:$E, MATCH("D_vessel_m", [1]Calc!$C:$C, 0)) - $E7 + $B7)</f>
        <v>1.911250823188118</v>
      </c>
      <c r="J7" s="3">
        <f>IF($F7="","", INDEX([1]Calc!$E:$E, MATCH("D_vessel_m", [1]Calc!$C:$C, 0)) - $F7 + $B7)</f>
        <v>1.911250823188118</v>
      </c>
      <c r="K7" s="2" t="str">
        <f t="shared" si="2"/>
        <v>Even Keel</v>
      </c>
    </row>
    <row r="8" spans="1:14" x14ac:dyDescent="0.6">
      <c r="A8" s="2" t="str">
        <f>IF('December_Tide_2025 (2)'!A8="","",'December_Tide_2025 (2)'!A8)</f>
        <v>2025-12-01 06:00:00</v>
      </c>
      <c r="B8" s="3">
        <f>IF('December_Tide_2025 (2)'!B8="","",'December_Tide_2025 (2)'!B8)</f>
        <v>1.63</v>
      </c>
      <c r="C8" s="3">
        <f>IF($A8="","", INDEX([1]Calc!$E:$E, MATCH("KminusZ_m", [1]Calc!$C:$C, 0)) + $B8 - INDEX([1]Calc!$E:$E, MATCH("L_ramp_m", [1]Calc!$C:$C, 0)) * TAN(RADIANS(INDEX([1]Calc!$E:$E, MATCH("theta_max_deg", [1]Calc!$C:$C, 0)))))</f>
        <v>3.3687491768118822</v>
      </c>
      <c r="D8" s="3"/>
      <c r="E8" s="3">
        <f t="shared" si="0"/>
        <v>3.3687491768118822</v>
      </c>
      <c r="F8" s="3">
        <f t="shared" si="1"/>
        <v>3.3687491768118822</v>
      </c>
      <c r="G8" s="3">
        <f>IF($E8="","", DEGREES(ATAN((INDEX([1]Calc!$E:$E, MATCH("KminusZ_m", [1]Calc!$C:$C, 0)) - $E8 + $B8) / INDEX([1]Calc!$E:$E, MATCH("L_ramp_m", [1]Calc!$C:$C, 0)))))</f>
        <v>6.0000000000000009</v>
      </c>
      <c r="H8" s="2" t="str">
        <f>IF($E8="","", IF(AND($E8&gt;=INDEX([1]Calc!$E:$E, MATCH("min_fwd_draft_m", [1]Calc!$C:$C, 0)), $E8&lt;=INDEX([1]Calc!$E:$E, MATCH("max_fwd_draft_m", [1]Calc!$C:$C, 0)), $G8&lt;=INDEX([1]Calc!$E:$E, MATCH("theta_max_deg", [1]Calc!$C:$C, 0))), "OK", "CHECK"))</f>
        <v>OK</v>
      </c>
      <c r="I8" s="3">
        <f>IF($E8="","", INDEX([1]Calc!$E:$E, MATCH("D_vessel_m", [1]Calc!$C:$C, 0)) - $E8 + $B8)</f>
        <v>1.9112508231881176</v>
      </c>
      <c r="J8" s="3">
        <f>IF($F8="","", INDEX([1]Calc!$E:$E, MATCH("D_vessel_m", [1]Calc!$C:$C, 0)) - $F8 + $B8)</f>
        <v>1.9112508231881176</v>
      </c>
      <c r="K8" s="2" t="str">
        <f t="shared" si="2"/>
        <v>Even Keel</v>
      </c>
    </row>
    <row r="9" spans="1:14" x14ac:dyDescent="0.6">
      <c r="A9" s="2" t="str">
        <f>IF('December_Tide_2025 (2)'!A9="","",'December_Tide_2025 (2)'!A9)</f>
        <v>2025-12-01 07:00:00</v>
      </c>
      <c r="B9" s="3">
        <f>IF('December_Tide_2025 (2)'!B9="","",'December_Tide_2025 (2)'!B9)</f>
        <v>1.21</v>
      </c>
      <c r="C9" s="3">
        <f>IF($A9="","", INDEX([1]Calc!$E:$E, MATCH("KminusZ_m", [1]Calc!$C:$C, 0)) + $B9 - INDEX([1]Calc!$E:$E, MATCH("L_ramp_m", [1]Calc!$C:$C, 0)) * TAN(RADIANS(INDEX([1]Calc!$E:$E, MATCH("theta_max_deg", [1]Calc!$C:$C, 0)))))</f>
        <v>2.9487491768118823</v>
      </c>
      <c r="D9" s="3"/>
      <c r="E9" s="3">
        <f t="shared" si="0"/>
        <v>2.9487491768118823</v>
      </c>
      <c r="F9" s="3">
        <f t="shared" si="1"/>
        <v>2.9487491768118823</v>
      </c>
      <c r="G9" s="3">
        <f>IF($E9="","", DEGREES(ATAN((INDEX([1]Calc!$E:$E, MATCH("KminusZ_m", [1]Calc!$C:$C, 0)) - $E9 + $B9) / INDEX([1]Calc!$E:$E, MATCH("L_ramp_m", [1]Calc!$C:$C, 0)))))</f>
        <v>6.0000000000000009</v>
      </c>
      <c r="H9" s="2" t="str">
        <f>IF($E9="","", IF(AND($E9&gt;=INDEX([1]Calc!$E:$E, MATCH("min_fwd_draft_m", [1]Calc!$C:$C, 0)), $E9&lt;=INDEX([1]Calc!$E:$E, MATCH("max_fwd_draft_m", [1]Calc!$C:$C, 0)), $G9&lt;=INDEX([1]Calc!$E:$E, MATCH("theta_max_deg", [1]Calc!$C:$C, 0))), "OK", "CHECK"))</f>
        <v>OK</v>
      </c>
      <c r="I9" s="3">
        <f>IF($E9="","", INDEX([1]Calc!$E:$E, MATCH("D_vessel_m", [1]Calc!$C:$C, 0)) - $E9 + $B9)</f>
        <v>1.9112508231881176</v>
      </c>
      <c r="J9" s="3">
        <f>IF($F9="","", INDEX([1]Calc!$E:$E, MATCH("D_vessel_m", [1]Calc!$C:$C, 0)) - $F9 + $B9)</f>
        <v>1.9112508231881176</v>
      </c>
      <c r="K9" s="2" t="str">
        <f t="shared" si="2"/>
        <v>Even Keel</v>
      </c>
    </row>
    <row r="10" spans="1:14" x14ac:dyDescent="0.6">
      <c r="A10" s="2" t="str">
        <f>IF('December_Tide_2025 (2)'!A10="","",'December_Tide_2025 (2)'!A10)</f>
        <v>2025-12-01 08:00:00</v>
      </c>
      <c r="B10" s="3">
        <f>IF('December_Tide_2025 (2)'!B10="","",'December_Tide_2025 (2)'!B10)</f>
        <v>0.93</v>
      </c>
      <c r="C10" s="3">
        <f>IF($A10="","", INDEX([1]Calc!$E:$E, MATCH("KminusZ_m", [1]Calc!$C:$C, 0)) + $B10 - INDEX([1]Calc!$E:$E, MATCH("L_ramp_m", [1]Calc!$C:$C, 0)) * TAN(RADIANS(INDEX([1]Calc!$E:$E, MATCH("theta_max_deg", [1]Calc!$C:$C, 0)))))</f>
        <v>2.6687491768118825</v>
      </c>
      <c r="D10" s="3"/>
      <c r="E10" s="3">
        <f t="shared" si="0"/>
        <v>2.6687491768118825</v>
      </c>
      <c r="F10" s="3">
        <f t="shared" si="1"/>
        <v>2.6687491768118825</v>
      </c>
      <c r="G10" s="3">
        <f>IF($E10="","", DEGREES(ATAN((INDEX([1]Calc!$E:$E, MATCH("KminusZ_m", [1]Calc!$C:$C, 0)) - $E10 + $B10) / INDEX([1]Calc!$E:$E, MATCH("L_ramp_m", [1]Calc!$C:$C, 0)))))</f>
        <v>6.0000000000000009</v>
      </c>
      <c r="H10" s="2" t="str">
        <f>IF($E10="","", IF(AND($E10&gt;=INDEX([1]Calc!$E:$E, MATCH("min_fwd_draft_m", [1]Calc!$C:$C, 0)), $E10&lt;=INDEX([1]Calc!$E:$E, MATCH("max_fwd_draft_m", [1]Calc!$C:$C, 0)), $G10&lt;=INDEX([1]Calc!$E:$E, MATCH("theta_max_deg", [1]Calc!$C:$C, 0))), "OK", "CHECK"))</f>
        <v>OK</v>
      </c>
      <c r="I10" s="3">
        <f>IF($E10="","", INDEX([1]Calc!$E:$E, MATCH("D_vessel_m", [1]Calc!$C:$C, 0)) - $E10 + $B10)</f>
        <v>1.9112508231881176</v>
      </c>
      <c r="J10" s="3">
        <f>IF($F10="","", INDEX([1]Calc!$E:$E, MATCH("D_vessel_m", [1]Calc!$C:$C, 0)) - $F10 + $B10)</f>
        <v>1.9112508231881176</v>
      </c>
      <c r="K10" s="2" t="str">
        <f t="shared" si="2"/>
        <v>Even Keel</v>
      </c>
    </row>
    <row r="11" spans="1:14" x14ac:dyDescent="0.6">
      <c r="A11" s="2" t="str">
        <f>IF('December_Tide_2025 (2)'!A11="","",'December_Tide_2025 (2)'!A11)</f>
        <v>2025-12-01 09:00:00</v>
      </c>
      <c r="B11" s="3">
        <f>IF('December_Tide_2025 (2)'!B11="","",'December_Tide_2025 (2)'!B11)</f>
        <v>0.87</v>
      </c>
      <c r="C11" s="3">
        <f>IF($A11="","", INDEX([1]Calc!$E:$E, MATCH("KminusZ_m", [1]Calc!$C:$C, 0)) + $B11 - INDEX([1]Calc!$E:$E, MATCH("L_ramp_m", [1]Calc!$C:$C, 0)) * TAN(RADIANS(INDEX([1]Calc!$E:$E, MATCH("theta_max_deg", [1]Calc!$C:$C, 0)))))</f>
        <v>2.6087491768118825</v>
      </c>
      <c r="D11" s="3"/>
      <c r="E11" s="3">
        <f t="shared" si="0"/>
        <v>2.6087491768118825</v>
      </c>
      <c r="F11" s="3">
        <f t="shared" si="1"/>
        <v>2.6087491768118825</v>
      </c>
      <c r="G11" s="3">
        <f>IF($E11="","", DEGREES(ATAN((INDEX([1]Calc!$E:$E, MATCH("KminusZ_m", [1]Calc!$C:$C, 0)) - $E11 + $B11) / INDEX([1]Calc!$E:$E, MATCH("L_ramp_m", [1]Calc!$C:$C, 0)))))</f>
        <v>6.0000000000000009</v>
      </c>
      <c r="H11" s="2" t="str">
        <f>IF($E11="","", IF(AND($E11&gt;=INDEX([1]Calc!$E:$E, MATCH("min_fwd_draft_m", [1]Calc!$C:$C, 0)), $E11&lt;=INDEX([1]Calc!$E:$E, MATCH("max_fwd_draft_m", [1]Calc!$C:$C, 0)), $G11&lt;=INDEX([1]Calc!$E:$E, MATCH("theta_max_deg", [1]Calc!$C:$C, 0))), "OK", "CHECK"))</f>
        <v>OK</v>
      </c>
      <c r="I11" s="3">
        <f>IF($E11="","", INDEX([1]Calc!$E:$E, MATCH("D_vessel_m", [1]Calc!$C:$C, 0)) - $E11 + $B11)</f>
        <v>1.9112508231881176</v>
      </c>
      <c r="J11" s="3">
        <f>IF($F11="","", INDEX([1]Calc!$E:$E, MATCH("D_vessel_m", [1]Calc!$C:$C, 0)) - $F11 + $B11)</f>
        <v>1.9112508231881176</v>
      </c>
      <c r="K11" s="2" t="str">
        <f t="shared" si="2"/>
        <v>Even Keel</v>
      </c>
    </row>
    <row r="12" spans="1:14" x14ac:dyDescent="0.6">
      <c r="A12" s="2" t="str">
        <f>IF('December_Tide_2025 (2)'!A12="","",'December_Tide_2025 (2)'!A12)</f>
        <v>2025-12-01 10:00:00</v>
      </c>
      <c r="B12" s="3">
        <f>IF('December_Tide_2025 (2)'!B12="","",'December_Tide_2025 (2)'!B12)</f>
        <v>1.05</v>
      </c>
      <c r="C12" s="3">
        <f>IF($A12="","", INDEX([1]Calc!$E:$E, MATCH("KminusZ_m", [1]Calc!$C:$C, 0)) + $B12 - INDEX([1]Calc!$E:$E, MATCH("L_ramp_m", [1]Calc!$C:$C, 0)) * TAN(RADIANS(INDEX([1]Calc!$E:$E, MATCH("theta_max_deg", [1]Calc!$C:$C, 0)))))</f>
        <v>2.7887491768118822</v>
      </c>
      <c r="D12" s="3"/>
      <c r="E12" s="3">
        <f t="shared" si="0"/>
        <v>2.7887491768118822</v>
      </c>
      <c r="F12" s="3">
        <f t="shared" si="1"/>
        <v>2.7887491768118822</v>
      </c>
      <c r="G12" s="3">
        <f>IF($E12="","", DEGREES(ATAN((INDEX([1]Calc!$E:$E, MATCH("KminusZ_m", [1]Calc!$C:$C, 0)) - $E12 + $B12) / INDEX([1]Calc!$E:$E, MATCH("L_ramp_m", [1]Calc!$C:$C, 0)))))</f>
        <v>6.0000000000000009</v>
      </c>
      <c r="H12" s="2" t="str">
        <f>IF($E12="","", IF(AND($E12&gt;=INDEX([1]Calc!$E:$E, MATCH("min_fwd_draft_m", [1]Calc!$C:$C, 0)), $E12&lt;=INDEX([1]Calc!$E:$E, MATCH("max_fwd_draft_m", [1]Calc!$C:$C, 0)), $G12&lt;=INDEX([1]Calc!$E:$E, MATCH("theta_max_deg", [1]Calc!$C:$C, 0))), "OK", "CHECK"))</f>
        <v>OK</v>
      </c>
      <c r="I12" s="3">
        <f>IF($E12="","", INDEX([1]Calc!$E:$E, MATCH("D_vessel_m", [1]Calc!$C:$C, 0)) - $E12 + $B12)</f>
        <v>1.9112508231881178</v>
      </c>
      <c r="J12" s="3">
        <f>IF($F12="","", INDEX([1]Calc!$E:$E, MATCH("D_vessel_m", [1]Calc!$C:$C, 0)) - $F12 + $B12)</f>
        <v>1.9112508231881178</v>
      </c>
      <c r="K12" s="2" t="str">
        <f t="shared" si="2"/>
        <v>Even Keel</v>
      </c>
    </row>
    <row r="13" spans="1:14" x14ac:dyDescent="0.6">
      <c r="A13" s="2" t="str">
        <f>IF('December_Tide_2025 (2)'!A13="","",'December_Tide_2025 (2)'!A13)</f>
        <v>2025-12-01 11:00:00</v>
      </c>
      <c r="B13" s="3">
        <f>IF('December_Tide_2025 (2)'!B13="","",'December_Tide_2025 (2)'!B13)</f>
        <v>1.41</v>
      </c>
      <c r="C13" s="3">
        <f>IF($A13="","", INDEX([1]Calc!$E:$E, MATCH("KminusZ_m", [1]Calc!$C:$C, 0)) + $B13 - INDEX([1]Calc!$E:$E, MATCH("L_ramp_m", [1]Calc!$C:$C, 0)) * TAN(RADIANS(INDEX([1]Calc!$E:$E, MATCH("theta_max_deg", [1]Calc!$C:$C, 0)))))</f>
        <v>3.1487491768118825</v>
      </c>
      <c r="D13" s="3"/>
      <c r="E13" s="3">
        <f t="shared" si="0"/>
        <v>3.1487491768118825</v>
      </c>
      <c r="F13" s="3">
        <f t="shared" si="1"/>
        <v>3.1487491768118825</v>
      </c>
      <c r="G13" s="3">
        <f>IF($E13="","", DEGREES(ATAN((INDEX([1]Calc!$E:$E, MATCH("KminusZ_m", [1]Calc!$C:$C, 0)) - $E13 + $B13) / INDEX([1]Calc!$E:$E, MATCH("L_ramp_m", [1]Calc!$C:$C, 0)))))</f>
        <v>6</v>
      </c>
      <c r="H13" s="2" t="str">
        <f>IF($E13="","", IF(AND($E13&gt;=INDEX([1]Calc!$E:$E, MATCH("min_fwd_draft_m", [1]Calc!$C:$C, 0)), $E13&lt;=INDEX([1]Calc!$E:$E, MATCH("max_fwd_draft_m", [1]Calc!$C:$C, 0)), $G13&lt;=INDEX([1]Calc!$E:$E, MATCH("theta_max_deg", [1]Calc!$C:$C, 0))), "OK", "CHECK"))</f>
        <v>OK</v>
      </c>
      <c r="I13" s="3">
        <f>IF($E13="","", INDEX([1]Calc!$E:$E, MATCH("D_vessel_m", [1]Calc!$C:$C, 0)) - $E13 + $B13)</f>
        <v>1.9112508231881173</v>
      </c>
      <c r="J13" s="3">
        <f>IF($F13="","", INDEX([1]Calc!$E:$E, MATCH("D_vessel_m", [1]Calc!$C:$C, 0)) - $F13 + $B13)</f>
        <v>1.9112508231881173</v>
      </c>
      <c r="K13" s="2" t="str">
        <f t="shared" si="2"/>
        <v>Even Keel</v>
      </c>
    </row>
    <row r="14" spans="1:14" x14ac:dyDescent="0.6">
      <c r="A14" s="2" t="str">
        <f>IF('December_Tide_2025 (2)'!A14="","",'December_Tide_2025 (2)'!A14)</f>
        <v>2025-12-01 12:00:00</v>
      </c>
      <c r="B14" s="3">
        <f>IF('December_Tide_2025 (2)'!B14="","",'December_Tide_2025 (2)'!B14)</f>
        <v>1.87</v>
      </c>
      <c r="C14" s="3">
        <f>IF($A14="","", INDEX([1]Calc!$E:$E, MATCH("KminusZ_m", [1]Calc!$C:$C, 0)) + $B14 - INDEX([1]Calc!$E:$E, MATCH("L_ramp_m", [1]Calc!$C:$C, 0)) * TAN(RADIANS(INDEX([1]Calc!$E:$E, MATCH("theta_max_deg", [1]Calc!$C:$C, 0)))))</f>
        <v>3.6087491768118825</v>
      </c>
      <c r="D14" s="3"/>
      <c r="E14" s="3">
        <f t="shared" si="0"/>
        <v>3.6087491768118825</v>
      </c>
      <c r="F14" s="3">
        <f t="shared" si="1"/>
        <v>3.6087491768118825</v>
      </c>
      <c r="G14" s="3">
        <f>IF($E14="","", DEGREES(ATAN((INDEX([1]Calc!$E:$E, MATCH("KminusZ_m", [1]Calc!$C:$C, 0)) - $E14 + $B14) / INDEX([1]Calc!$E:$E, MATCH("L_ramp_m", [1]Calc!$C:$C, 0)))))</f>
        <v>6.0000000000000009</v>
      </c>
      <c r="H14" s="2" t="str">
        <f>IF($E14="","", IF(AND($E14&gt;=INDEX([1]Calc!$E:$E, MATCH("min_fwd_draft_m", [1]Calc!$C:$C, 0)), $E14&lt;=INDEX([1]Calc!$E:$E, MATCH("max_fwd_draft_m", [1]Calc!$C:$C, 0)), $G14&lt;=INDEX([1]Calc!$E:$E, MATCH("theta_max_deg", [1]Calc!$C:$C, 0))), "OK", "CHECK"))</f>
        <v>CHECK</v>
      </c>
      <c r="I14" s="3">
        <f>IF($E14="","", INDEX([1]Calc!$E:$E, MATCH("D_vessel_m", [1]Calc!$C:$C, 0)) - $E14 + $B14)</f>
        <v>1.9112508231881176</v>
      </c>
      <c r="J14" s="3">
        <f>IF($F14="","", INDEX([1]Calc!$E:$E, MATCH("D_vessel_m", [1]Calc!$C:$C, 0)) - $F14 + $B14)</f>
        <v>1.9112508231881176</v>
      </c>
      <c r="K14" s="2" t="str">
        <f t="shared" si="2"/>
        <v>Even Keel</v>
      </c>
    </row>
    <row r="15" spans="1:14" x14ac:dyDescent="0.6">
      <c r="A15" s="2" t="str">
        <f>IF('December_Tide_2025 (2)'!A15="","",'December_Tide_2025 (2)'!A15)</f>
        <v>2025-12-01 13:00:00</v>
      </c>
      <c r="B15" s="3">
        <f>IF('December_Tide_2025 (2)'!B15="","",'December_Tide_2025 (2)'!B15)</f>
        <v>2.3199999999999998</v>
      </c>
      <c r="C15" s="3">
        <f>IF($A15="","", INDEX([1]Calc!$E:$E, MATCH("KminusZ_m", [1]Calc!$C:$C, 0)) + $B15 - INDEX([1]Calc!$E:$E, MATCH("L_ramp_m", [1]Calc!$C:$C, 0)) * TAN(RADIANS(INDEX([1]Calc!$E:$E, MATCH("theta_max_deg", [1]Calc!$C:$C, 0)))))</f>
        <v>4.0587491768118831</v>
      </c>
      <c r="D15" s="3"/>
      <c r="E15" s="3">
        <f t="shared" si="0"/>
        <v>4.0587491768118831</v>
      </c>
      <c r="F15" s="3">
        <f t="shared" si="1"/>
        <v>4.0587491768118831</v>
      </c>
      <c r="G15" s="3">
        <f>IF($E15="","", DEGREES(ATAN((INDEX([1]Calc!$E:$E, MATCH("KminusZ_m", [1]Calc!$C:$C, 0)) - $E15 + $B15) / INDEX([1]Calc!$E:$E, MATCH("L_ramp_m", [1]Calc!$C:$C, 0)))))</f>
        <v>5.9999999999999964</v>
      </c>
      <c r="H15" s="2" t="str">
        <f>IF($E15="","", IF(AND($E15&gt;=INDEX([1]Calc!$E:$E, MATCH("min_fwd_draft_m", [1]Calc!$C:$C, 0)), $E15&lt;=INDEX([1]Calc!$E:$E, MATCH("max_fwd_draft_m", [1]Calc!$C:$C, 0)), $G15&lt;=INDEX([1]Calc!$E:$E, MATCH("theta_max_deg", [1]Calc!$C:$C, 0))), "OK", "CHECK"))</f>
        <v>CHECK</v>
      </c>
      <c r="I15" s="3">
        <f>IF($E15="","", INDEX([1]Calc!$E:$E, MATCH("D_vessel_m", [1]Calc!$C:$C, 0)) - $E15 + $B15)</f>
        <v>1.9112508231881167</v>
      </c>
      <c r="J15" s="3">
        <f>IF($F15="","", INDEX([1]Calc!$E:$E, MATCH("D_vessel_m", [1]Calc!$C:$C, 0)) - $F15 + $B15)</f>
        <v>1.9112508231881167</v>
      </c>
      <c r="K15" s="2" t="str">
        <f t="shared" si="2"/>
        <v>Even Keel</v>
      </c>
    </row>
    <row r="16" spans="1:14" x14ac:dyDescent="0.6">
      <c r="A16" s="2" t="str">
        <f>IF('December_Tide_2025 (2)'!A16="","",'December_Tide_2025 (2)'!A16)</f>
        <v>2025-12-01 14:00:00</v>
      </c>
      <c r="B16" s="3">
        <f>IF('December_Tide_2025 (2)'!B16="","",'December_Tide_2025 (2)'!B16)</f>
        <v>2.63</v>
      </c>
      <c r="C16" s="3">
        <f>IF($A16="","", INDEX([1]Calc!$E:$E, MATCH("KminusZ_m", [1]Calc!$C:$C, 0)) + $B16 - INDEX([1]Calc!$E:$E, MATCH("L_ramp_m", [1]Calc!$C:$C, 0)) * TAN(RADIANS(INDEX([1]Calc!$E:$E, MATCH("theta_max_deg", [1]Calc!$C:$C, 0)))))</f>
        <v>4.3687491768118818</v>
      </c>
      <c r="D16" s="3"/>
      <c r="E16" s="3">
        <f t="shared" si="0"/>
        <v>4.3687491768118818</v>
      </c>
      <c r="F16" s="3">
        <f t="shared" si="1"/>
        <v>4.3687491768118818</v>
      </c>
      <c r="G16" s="3">
        <f>IF($E16="","", DEGREES(ATAN((INDEX([1]Calc!$E:$E, MATCH("KminusZ_m", [1]Calc!$C:$C, 0)) - $E16 + $B16) / INDEX([1]Calc!$E:$E, MATCH("L_ramp_m", [1]Calc!$C:$C, 0)))))</f>
        <v>6.0000000000000027</v>
      </c>
      <c r="H16" s="2" t="str">
        <f>IF($E16="","", IF(AND($E16&gt;=INDEX([1]Calc!$E:$E, MATCH("min_fwd_draft_m", [1]Calc!$C:$C, 0)), $E16&lt;=INDEX([1]Calc!$E:$E, MATCH("max_fwd_draft_m", [1]Calc!$C:$C, 0)), $G16&lt;=INDEX([1]Calc!$E:$E, MATCH("theta_max_deg", [1]Calc!$C:$C, 0))), "OK", "CHECK"))</f>
        <v>CHECK</v>
      </c>
      <c r="I16" s="3">
        <f>IF($E16="","", INDEX([1]Calc!$E:$E, MATCH("D_vessel_m", [1]Calc!$C:$C, 0)) - $E16 + $B16)</f>
        <v>1.911250823188118</v>
      </c>
      <c r="J16" s="3">
        <f>IF($F16="","", INDEX([1]Calc!$E:$E, MATCH("D_vessel_m", [1]Calc!$C:$C, 0)) - $F16 + $B16)</f>
        <v>1.911250823188118</v>
      </c>
      <c r="K16" s="2" t="str">
        <f t="shared" si="2"/>
        <v>Even Keel</v>
      </c>
    </row>
    <row r="17" spans="1:11" x14ac:dyDescent="0.6">
      <c r="A17" s="2" t="str">
        <f>IF('December_Tide_2025 (2)'!A17="","",'December_Tide_2025 (2)'!A17)</f>
        <v>2025-12-01 15:00:00</v>
      </c>
      <c r="B17" s="3">
        <f>IF('December_Tide_2025 (2)'!B17="","",'December_Tide_2025 (2)'!B17)</f>
        <v>2.74</v>
      </c>
      <c r="C17" s="3">
        <f>IF($A17="","", INDEX([1]Calc!$E:$E, MATCH("KminusZ_m", [1]Calc!$C:$C, 0)) + $B17 - INDEX([1]Calc!$E:$E, MATCH("L_ramp_m", [1]Calc!$C:$C, 0)) * TAN(RADIANS(INDEX([1]Calc!$E:$E, MATCH("theta_max_deg", [1]Calc!$C:$C, 0)))))</f>
        <v>4.478749176811883</v>
      </c>
      <c r="D17" s="3"/>
      <c r="E17" s="3">
        <f t="shared" si="0"/>
        <v>4.478749176811883</v>
      </c>
      <c r="F17" s="3">
        <f t="shared" si="1"/>
        <v>4.478749176811883</v>
      </c>
      <c r="G17" s="3">
        <f>IF($E17="","", DEGREES(ATAN((INDEX([1]Calc!$E:$E, MATCH("KminusZ_m", [1]Calc!$C:$C, 0)) - $E17 + $B17) / INDEX([1]Calc!$E:$E, MATCH("L_ramp_m", [1]Calc!$C:$C, 0)))))</f>
        <v>5.9999999999999982</v>
      </c>
      <c r="H17" s="2" t="str">
        <f>IF($E17="","", IF(AND($E17&gt;=INDEX([1]Calc!$E:$E, MATCH("min_fwd_draft_m", [1]Calc!$C:$C, 0)), $E17&lt;=INDEX([1]Calc!$E:$E, MATCH("max_fwd_draft_m", [1]Calc!$C:$C, 0)), $G17&lt;=INDEX([1]Calc!$E:$E, MATCH("theta_max_deg", [1]Calc!$C:$C, 0))), "OK", "CHECK"))</f>
        <v>CHECK</v>
      </c>
      <c r="I17" s="3">
        <f>IF($E17="","", INDEX([1]Calc!$E:$E, MATCH("D_vessel_m", [1]Calc!$C:$C, 0)) - $E17 + $B17)</f>
        <v>1.9112508231881171</v>
      </c>
      <c r="J17" s="3">
        <f>IF($F17="","", INDEX([1]Calc!$E:$E, MATCH("D_vessel_m", [1]Calc!$C:$C, 0)) - $F17 + $B17)</f>
        <v>1.9112508231881171</v>
      </c>
      <c r="K17" s="2" t="str">
        <f t="shared" si="2"/>
        <v>Even Keel</v>
      </c>
    </row>
    <row r="18" spans="1:11" x14ac:dyDescent="0.6">
      <c r="A18" s="2" t="str">
        <f>IF('December_Tide_2025 (2)'!A18="","",'December_Tide_2025 (2)'!A18)</f>
        <v>2025-12-01 16:00:00</v>
      </c>
      <c r="B18" s="3">
        <f>IF('December_Tide_2025 (2)'!B18="","",'December_Tide_2025 (2)'!B18)</f>
        <v>2.61</v>
      </c>
      <c r="C18" s="3">
        <f>IF($A18="","", INDEX([1]Calc!$E:$E, MATCH("KminusZ_m", [1]Calc!$C:$C, 0)) + $B18 - INDEX([1]Calc!$E:$E, MATCH("L_ramp_m", [1]Calc!$C:$C, 0)) * TAN(RADIANS(INDEX([1]Calc!$E:$E, MATCH("theta_max_deg", [1]Calc!$C:$C, 0)))))</f>
        <v>4.3487491768118822</v>
      </c>
      <c r="D18" s="3"/>
      <c r="E18" s="3">
        <f t="shared" si="0"/>
        <v>4.3487491768118822</v>
      </c>
      <c r="F18" s="3">
        <f t="shared" si="1"/>
        <v>4.3487491768118822</v>
      </c>
      <c r="G18" s="3">
        <f>IF($E18="","", DEGREES(ATAN((INDEX([1]Calc!$E:$E, MATCH("KminusZ_m", [1]Calc!$C:$C, 0)) - $E18 + $B18) / INDEX([1]Calc!$E:$E, MATCH("L_ramp_m", [1]Calc!$C:$C, 0)))))</f>
        <v>6.0000000000000009</v>
      </c>
      <c r="H18" s="2" t="str">
        <f>IF($E18="","", IF(AND($E18&gt;=INDEX([1]Calc!$E:$E, MATCH("min_fwd_draft_m", [1]Calc!$C:$C, 0)), $E18&lt;=INDEX([1]Calc!$E:$E, MATCH("max_fwd_draft_m", [1]Calc!$C:$C, 0)), $G18&lt;=INDEX([1]Calc!$E:$E, MATCH("theta_max_deg", [1]Calc!$C:$C, 0))), "OK", "CHECK"))</f>
        <v>CHECK</v>
      </c>
      <c r="I18" s="3">
        <f>IF($E18="","", INDEX([1]Calc!$E:$E, MATCH("D_vessel_m", [1]Calc!$C:$C, 0)) - $E18 + $B18)</f>
        <v>1.9112508231881176</v>
      </c>
      <c r="J18" s="3">
        <f>IF($F18="","", INDEX([1]Calc!$E:$E, MATCH("D_vessel_m", [1]Calc!$C:$C, 0)) - $F18 + $B18)</f>
        <v>1.9112508231881176</v>
      </c>
      <c r="K18" s="2" t="str">
        <f t="shared" si="2"/>
        <v>Even Keel</v>
      </c>
    </row>
    <row r="19" spans="1:11" x14ac:dyDescent="0.6">
      <c r="A19" s="2" t="str">
        <f>IF('December_Tide_2025 (2)'!A19="","",'December_Tide_2025 (2)'!A19)</f>
        <v>2025-12-01 17:00:00</v>
      </c>
      <c r="B19" s="3">
        <f>IF('December_Tide_2025 (2)'!B19="","",'December_Tide_2025 (2)'!B19)</f>
        <v>2.27</v>
      </c>
      <c r="C19" s="3">
        <f>IF($A19="","", INDEX([1]Calc!$E:$E, MATCH("KminusZ_m", [1]Calc!$C:$C, 0)) + $B19 - INDEX([1]Calc!$E:$E, MATCH("L_ramp_m", [1]Calc!$C:$C, 0)) * TAN(RADIANS(INDEX([1]Calc!$E:$E, MATCH("theta_max_deg", [1]Calc!$C:$C, 0)))))</f>
        <v>4.0087491768118824</v>
      </c>
      <c r="D19" s="3"/>
      <c r="E19" s="3">
        <f t="shared" si="0"/>
        <v>4.0087491768118824</v>
      </c>
      <c r="F19" s="3">
        <f t="shared" si="1"/>
        <v>4.0087491768118824</v>
      </c>
      <c r="G19" s="3">
        <f>IF($E19="","", DEGREES(ATAN((INDEX([1]Calc!$E:$E, MATCH("KminusZ_m", [1]Calc!$C:$C, 0)) - $E19 + $B19) / INDEX([1]Calc!$E:$E, MATCH("L_ramp_m", [1]Calc!$C:$C, 0)))))</f>
        <v>6.0000000000000009</v>
      </c>
      <c r="H19" s="2" t="str">
        <f>IF($E19="","", IF(AND($E19&gt;=INDEX([1]Calc!$E:$E, MATCH("min_fwd_draft_m", [1]Calc!$C:$C, 0)), $E19&lt;=INDEX([1]Calc!$E:$E, MATCH("max_fwd_draft_m", [1]Calc!$C:$C, 0)), $G19&lt;=INDEX([1]Calc!$E:$E, MATCH("theta_max_deg", [1]Calc!$C:$C, 0))), "OK", "CHECK"))</f>
        <v>CHECK</v>
      </c>
      <c r="I19" s="3">
        <f>IF($E19="","", INDEX([1]Calc!$E:$E, MATCH("D_vessel_m", [1]Calc!$C:$C, 0)) - $E19 + $B19)</f>
        <v>1.9112508231881176</v>
      </c>
      <c r="J19" s="3">
        <f>IF($F19="","", INDEX([1]Calc!$E:$E, MATCH("D_vessel_m", [1]Calc!$C:$C, 0)) - $F19 + $B19)</f>
        <v>1.9112508231881176</v>
      </c>
      <c r="K19" s="2" t="str">
        <f t="shared" si="2"/>
        <v>Even Keel</v>
      </c>
    </row>
    <row r="20" spans="1:11" x14ac:dyDescent="0.6">
      <c r="A20" s="2" t="str">
        <f>IF('December_Tide_2025 (2)'!A20="","",'December_Tide_2025 (2)'!A20)</f>
        <v>2025-12-01 18:00:00</v>
      </c>
      <c r="B20" s="3">
        <f>IF('December_Tide_2025 (2)'!B20="","",'December_Tide_2025 (2)'!B20)</f>
        <v>1.82</v>
      </c>
      <c r="C20" s="3">
        <f>IF($A20="","", INDEX([1]Calc!$E:$E, MATCH("KminusZ_m", [1]Calc!$C:$C, 0)) + $B20 - INDEX([1]Calc!$E:$E, MATCH("L_ramp_m", [1]Calc!$C:$C, 0)) * TAN(RADIANS(INDEX([1]Calc!$E:$E, MATCH("theta_max_deg", [1]Calc!$C:$C, 0)))))</f>
        <v>3.5587491768118826</v>
      </c>
      <c r="D20" s="3"/>
      <c r="E20" s="3">
        <f t="shared" si="0"/>
        <v>3.5587491768118826</v>
      </c>
      <c r="F20" s="3">
        <f t="shared" si="1"/>
        <v>3.5587491768118826</v>
      </c>
      <c r="G20" s="3">
        <f>IF($E20="","", DEGREES(ATAN((INDEX([1]Calc!$E:$E, MATCH("KminusZ_m", [1]Calc!$C:$C, 0)) - $E20 + $B20) / INDEX([1]Calc!$E:$E, MATCH("L_ramp_m", [1]Calc!$C:$C, 0)))))</f>
        <v>6</v>
      </c>
      <c r="H20" s="2" t="str">
        <f>IF($E20="","", IF(AND($E20&gt;=INDEX([1]Calc!$E:$E, MATCH("min_fwd_draft_m", [1]Calc!$C:$C, 0)), $E20&lt;=INDEX([1]Calc!$E:$E, MATCH("max_fwd_draft_m", [1]Calc!$C:$C, 0)), $G20&lt;=INDEX([1]Calc!$E:$E, MATCH("theta_max_deg", [1]Calc!$C:$C, 0))), "OK", "CHECK"))</f>
        <v>CHECK</v>
      </c>
      <c r="I20" s="3">
        <f>IF($E20="","", INDEX([1]Calc!$E:$E, MATCH("D_vessel_m", [1]Calc!$C:$C, 0)) - $E20 + $B20)</f>
        <v>1.9112508231881173</v>
      </c>
      <c r="J20" s="3">
        <f>IF($F20="","", INDEX([1]Calc!$E:$E, MATCH("D_vessel_m", [1]Calc!$C:$C, 0)) - $F20 + $B20)</f>
        <v>1.9112508231881173</v>
      </c>
      <c r="K20" s="2" t="str">
        <f t="shared" si="2"/>
        <v>Even Keel</v>
      </c>
    </row>
    <row r="21" spans="1:11" x14ac:dyDescent="0.6">
      <c r="A21" s="2" t="str">
        <f>IF('December_Tide_2025 (2)'!A21="","",'December_Tide_2025 (2)'!A21)</f>
        <v>2025-12-01 19:00:00</v>
      </c>
      <c r="B21" s="3">
        <f>IF('December_Tide_2025 (2)'!B21="","",'December_Tide_2025 (2)'!B21)</f>
        <v>1.36</v>
      </c>
      <c r="C21" s="3">
        <f>IF($A21="","", INDEX([1]Calc!$E:$E, MATCH("KminusZ_m", [1]Calc!$C:$C, 0)) + $B21 - INDEX([1]Calc!$E:$E, MATCH("L_ramp_m", [1]Calc!$C:$C, 0)) * TAN(RADIANS(INDEX([1]Calc!$E:$E, MATCH("theta_max_deg", [1]Calc!$C:$C, 0)))))</f>
        <v>3.0987491768118827</v>
      </c>
      <c r="D21" s="3"/>
      <c r="E21" s="3">
        <f t="shared" si="0"/>
        <v>3.0987491768118827</v>
      </c>
      <c r="F21" s="3">
        <f t="shared" si="1"/>
        <v>3.0987491768118827</v>
      </c>
      <c r="G21" s="3">
        <f>IF($E21="","", DEGREES(ATAN((INDEX([1]Calc!$E:$E, MATCH("KminusZ_m", [1]Calc!$C:$C, 0)) - $E21 + $B21) / INDEX([1]Calc!$E:$E, MATCH("L_ramp_m", [1]Calc!$C:$C, 0)))))</f>
        <v>6</v>
      </c>
      <c r="H21" s="2" t="str">
        <f>IF($E21="","", IF(AND($E21&gt;=INDEX([1]Calc!$E:$E, MATCH("min_fwd_draft_m", [1]Calc!$C:$C, 0)), $E21&lt;=INDEX([1]Calc!$E:$E, MATCH("max_fwd_draft_m", [1]Calc!$C:$C, 0)), $G21&lt;=INDEX([1]Calc!$E:$E, MATCH("theta_max_deg", [1]Calc!$C:$C, 0))), "OK", "CHECK"))</f>
        <v>OK</v>
      </c>
      <c r="I21" s="3">
        <f>IF($E21="","", INDEX([1]Calc!$E:$E, MATCH("D_vessel_m", [1]Calc!$C:$C, 0)) - $E21 + $B21)</f>
        <v>1.9112508231881173</v>
      </c>
      <c r="J21" s="3">
        <f>IF($F21="","", INDEX([1]Calc!$E:$E, MATCH("D_vessel_m", [1]Calc!$C:$C, 0)) - $F21 + $B21)</f>
        <v>1.9112508231881173</v>
      </c>
      <c r="K21" s="2" t="str">
        <f t="shared" si="2"/>
        <v>Even Keel</v>
      </c>
    </row>
    <row r="22" spans="1:11" x14ac:dyDescent="0.6">
      <c r="A22" s="2" t="str">
        <f>IF('December_Tide_2025 (2)'!A22="","",'December_Tide_2025 (2)'!A22)</f>
        <v>2025-12-01 20:00:00</v>
      </c>
      <c r="B22" s="3">
        <f>IF('December_Tide_2025 (2)'!B22="","",'December_Tide_2025 (2)'!B22)</f>
        <v>1.02</v>
      </c>
      <c r="C22" s="3">
        <f>IF($A22="","", INDEX([1]Calc!$E:$E, MATCH("KminusZ_m", [1]Calc!$C:$C, 0)) + $B22 - INDEX([1]Calc!$E:$E, MATCH("L_ramp_m", [1]Calc!$C:$C, 0)) * TAN(RADIANS(INDEX([1]Calc!$E:$E, MATCH("theta_max_deg", [1]Calc!$C:$C, 0)))))</f>
        <v>2.7587491768118819</v>
      </c>
      <c r="D22" s="3"/>
      <c r="E22" s="3">
        <f t="shared" si="0"/>
        <v>2.7587491768118819</v>
      </c>
      <c r="F22" s="3">
        <f t="shared" si="1"/>
        <v>2.7587491768118819</v>
      </c>
      <c r="G22" s="3">
        <f>IF($E22="","", DEGREES(ATAN((INDEX([1]Calc!$E:$E, MATCH("KminusZ_m", [1]Calc!$C:$C, 0)) - $E22 + $B22) / INDEX([1]Calc!$E:$E, MATCH("L_ramp_m", [1]Calc!$C:$C, 0)))))</f>
        <v>6.0000000000000027</v>
      </c>
      <c r="H22" s="2" t="str">
        <f>IF($E22="","", IF(AND($E22&gt;=INDEX([1]Calc!$E:$E, MATCH("min_fwd_draft_m", [1]Calc!$C:$C, 0)), $E22&lt;=INDEX([1]Calc!$E:$E, MATCH("max_fwd_draft_m", [1]Calc!$C:$C, 0)), $G22&lt;=INDEX([1]Calc!$E:$E, MATCH("theta_max_deg", [1]Calc!$C:$C, 0))), "OK", "CHECK"))</f>
        <v>OK</v>
      </c>
      <c r="I22" s="3">
        <f>IF($E22="","", INDEX([1]Calc!$E:$E, MATCH("D_vessel_m", [1]Calc!$C:$C, 0)) - $E22 + $B22)</f>
        <v>1.911250823188118</v>
      </c>
      <c r="J22" s="3">
        <f>IF($F22="","", INDEX([1]Calc!$E:$E, MATCH("D_vessel_m", [1]Calc!$C:$C, 0)) - $F22 + $B22)</f>
        <v>1.911250823188118</v>
      </c>
      <c r="K22" s="2" t="str">
        <f t="shared" si="2"/>
        <v>Even Keel</v>
      </c>
    </row>
    <row r="23" spans="1:11" x14ac:dyDescent="0.6">
      <c r="A23" s="2" t="str">
        <f>IF('December_Tide_2025 (2)'!A23="","",'December_Tide_2025 (2)'!A23)</f>
        <v>2025-12-01 21:00:00</v>
      </c>
      <c r="B23" s="3">
        <f>IF('December_Tide_2025 (2)'!B23="","",'December_Tide_2025 (2)'!B23)</f>
        <v>0.87</v>
      </c>
      <c r="C23" s="3">
        <f>IF($A23="","", INDEX([1]Calc!$E:$E, MATCH("KminusZ_m", [1]Calc!$C:$C, 0)) + $B23 - INDEX([1]Calc!$E:$E, MATCH("L_ramp_m", [1]Calc!$C:$C, 0)) * TAN(RADIANS(INDEX([1]Calc!$E:$E, MATCH("theta_max_deg", [1]Calc!$C:$C, 0)))))</f>
        <v>2.6087491768118825</v>
      </c>
      <c r="D23" s="3"/>
      <c r="E23" s="3">
        <f t="shared" si="0"/>
        <v>2.6087491768118825</v>
      </c>
      <c r="F23" s="3">
        <f t="shared" si="1"/>
        <v>2.6087491768118825</v>
      </c>
      <c r="G23" s="3">
        <f>IF($E23="","", DEGREES(ATAN((INDEX([1]Calc!$E:$E, MATCH("KminusZ_m", [1]Calc!$C:$C, 0)) - $E23 + $B23) / INDEX([1]Calc!$E:$E, MATCH("L_ramp_m", [1]Calc!$C:$C, 0)))))</f>
        <v>6.0000000000000009</v>
      </c>
      <c r="H23" s="2" t="str">
        <f>IF($E23="","", IF(AND($E23&gt;=INDEX([1]Calc!$E:$E, MATCH("min_fwd_draft_m", [1]Calc!$C:$C, 0)), $E23&lt;=INDEX([1]Calc!$E:$E, MATCH("max_fwd_draft_m", [1]Calc!$C:$C, 0)), $G23&lt;=INDEX([1]Calc!$E:$E, MATCH("theta_max_deg", [1]Calc!$C:$C, 0))), "OK", "CHECK"))</f>
        <v>OK</v>
      </c>
      <c r="I23" s="3">
        <f>IF($E23="","", INDEX([1]Calc!$E:$E, MATCH("D_vessel_m", [1]Calc!$C:$C, 0)) - $E23 + $B23)</f>
        <v>1.9112508231881176</v>
      </c>
      <c r="J23" s="3">
        <f>IF($F23="","", INDEX([1]Calc!$E:$E, MATCH("D_vessel_m", [1]Calc!$C:$C, 0)) - $F23 + $B23)</f>
        <v>1.9112508231881176</v>
      </c>
      <c r="K23" s="2" t="str">
        <f t="shared" si="2"/>
        <v>Even Keel</v>
      </c>
    </row>
    <row r="24" spans="1:11" x14ac:dyDescent="0.6">
      <c r="A24" s="2" t="str">
        <f>IF('December_Tide_2025 (2)'!A24="","",'December_Tide_2025 (2)'!A24)</f>
        <v>2025-12-01 22:00:00</v>
      </c>
      <c r="B24" s="3">
        <f>IF('December_Tide_2025 (2)'!B24="","",'December_Tide_2025 (2)'!B24)</f>
        <v>0.95</v>
      </c>
      <c r="C24" s="3">
        <f>IF($A24="","", INDEX([1]Calc!$E:$E, MATCH("KminusZ_m", [1]Calc!$C:$C, 0)) + $B24 - INDEX([1]Calc!$E:$E, MATCH("L_ramp_m", [1]Calc!$C:$C, 0)) * TAN(RADIANS(INDEX([1]Calc!$E:$E, MATCH("theta_max_deg", [1]Calc!$C:$C, 0)))))</f>
        <v>2.6887491768118825</v>
      </c>
      <c r="D24" s="3"/>
      <c r="E24" s="3">
        <f t="shared" si="0"/>
        <v>2.6887491768118825</v>
      </c>
      <c r="F24" s="3">
        <f t="shared" si="1"/>
        <v>2.6887491768118825</v>
      </c>
      <c r="G24" s="3">
        <f>IF($E24="","", DEGREES(ATAN((INDEX([1]Calc!$E:$E, MATCH("KminusZ_m", [1]Calc!$C:$C, 0)) - $E24 + $B24) / INDEX([1]Calc!$E:$E, MATCH("L_ramp_m", [1]Calc!$C:$C, 0)))))</f>
        <v>6</v>
      </c>
      <c r="H24" s="2" t="str">
        <f>IF($E24="","", IF(AND($E24&gt;=INDEX([1]Calc!$E:$E, MATCH("min_fwd_draft_m", [1]Calc!$C:$C, 0)), $E24&lt;=INDEX([1]Calc!$E:$E, MATCH("max_fwd_draft_m", [1]Calc!$C:$C, 0)), $G24&lt;=INDEX([1]Calc!$E:$E, MATCH("theta_max_deg", [1]Calc!$C:$C, 0))), "OK", "CHECK"))</f>
        <v>OK</v>
      </c>
      <c r="I24" s="3">
        <f>IF($E24="","", INDEX([1]Calc!$E:$E, MATCH("D_vessel_m", [1]Calc!$C:$C, 0)) - $E24 + $B24)</f>
        <v>1.9112508231881173</v>
      </c>
      <c r="J24" s="3">
        <f>IF($F24="","", INDEX([1]Calc!$E:$E, MATCH("D_vessel_m", [1]Calc!$C:$C, 0)) - $F24 + $B24)</f>
        <v>1.9112508231881173</v>
      </c>
      <c r="K24" s="2" t="str">
        <f t="shared" si="2"/>
        <v>Even Keel</v>
      </c>
    </row>
    <row r="25" spans="1:11" x14ac:dyDescent="0.6">
      <c r="A25" s="2" t="str">
        <f>IF('December_Tide_2025 (2)'!A25="","",'December_Tide_2025 (2)'!A25)</f>
        <v>2025-12-01 23:00:00</v>
      </c>
      <c r="B25" s="3">
        <f>IF('December_Tide_2025 (2)'!B25="","",'December_Tide_2025 (2)'!B25)</f>
        <v>1.25</v>
      </c>
      <c r="C25" s="3">
        <f>IF($A25="","", INDEX([1]Calc!$E:$E, MATCH("KminusZ_m", [1]Calc!$C:$C, 0)) + $B25 - INDEX([1]Calc!$E:$E, MATCH("L_ramp_m", [1]Calc!$C:$C, 0)) * TAN(RADIANS(INDEX([1]Calc!$E:$E, MATCH("theta_max_deg", [1]Calc!$C:$C, 0)))))</f>
        <v>2.9887491768118823</v>
      </c>
      <c r="D25" s="3"/>
      <c r="E25" s="3">
        <f t="shared" si="0"/>
        <v>2.9887491768118823</v>
      </c>
      <c r="F25" s="3">
        <f t="shared" si="1"/>
        <v>2.9887491768118823</v>
      </c>
      <c r="G25" s="3">
        <f>IF($E25="","", DEGREES(ATAN((INDEX([1]Calc!$E:$E, MATCH("KminusZ_m", [1]Calc!$C:$C, 0)) - $E25 + $B25) / INDEX([1]Calc!$E:$E, MATCH("L_ramp_m", [1]Calc!$C:$C, 0)))))</f>
        <v>6.0000000000000009</v>
      </c>
      <c r="H25" s="2" t="str">
        <f>IF($E25="","", IF(AND($E25&gt;=INDEX([1]Calc!$E:$E, MATCH("min_fwd_draft_m", [1]Calc!$C:$C, 0)), $E25&lt;=INDEX([1]Calc!$E:$E, MATCH("max_fwd_draft_m", [1]Calc!$C:$C, 0)), $G25&lt;=INDEX([1]Calc!$E:$E, MATCH("theta_max_deg", [1]Calc!$C:$C, 0))), "OK", "CHECK"))</f>
        <v>OK</v>
      </c>
      <c r="I25" s="3">
        <f>IF($E25="","", INDEX([1]Calc!$E:$E, MATCH("D_vessel_m", [1]Calc!$C:$C, 0)) - $E25 + $B25)</f>
        <v>1.9112508231881176</v>
      </c>
      <c r="J25" s="3">
        <f>IF($F25="","", INDEX([1]Calc!$E:$E, MATCH("D_vessel_m", [1]Calc!$C:$C, 0)) - $F25 + $B25)</f>
        <v>1.9112508231881176</v>
      </c>
      <c r="K25" s="2" t="str">
        <f t="shared" si="2"/>
        <v>Even Keel</v>
      </c>
    </row>
    <row r="26" spans="1:11" x14ac:dyDescent="0.6">
      <c r="A26" s="2" t="str">
        <f>IF('December_Tide_2025 (2)'!A26="","",'December_Tide_2025 (2)'!A26)</f>
        <v>2025-12-02 00:00:00</v>
      </c>
      <c r="B26" s="3">
        <f>IF('December_Tide_2025 (2)'!B26="","",'December_Tide_2025 (2)'!B26)</f>
        <v>1.68</v>
      </c>
      <c r="C26" s="3">
        <f>IF($A26="","", INDEX([1]Calc!$E:$E, MATCH("KminusZ_m", [1]Calc!$C:$C, 0)) + $B26 - INDEX([1]Calc!$E:$E, MATCH("L_ramp_m", [1]Calc!$C:$C, 0)) * TAN(RADIANS(INDEX([1]Calc!$E:$E, MATCH("theta_max_deg", [1]Calc!$C:$C, 0)))))</f>
        <v>3.4187491768118821</v>
      </c>
      <c r="D26" s="3"/>
      <c r="E26" s="3">
        <f t="shared" si="0"/>
        <v>3.4187491768118821</v>
      </c>
      <c r="F26" s="3">
        <f t="shared" si="1"/>
        <v>3.4187491768118821</v>
      </c>
      <c r="G26" s="3">
        <f>IF($E26="","", DEGREES(ATAN((INDEX([1]Calc!$E:$E, MATCH("KminusZ_m", [1]Calc!$C:$C, 0)) - $E26 + $B26) / INDEX([1]Calc!$E:$E, MATCH("L_ramp_m", [1]Calc!$C:$C, 0)))))</f>
        <v>6.0000000000000009</v>
      </c>
      <c r="H26" s="2" t="str">
        <f>IF($E26="","", IF(AND($E26&gt;=INDEX([1]Calc!$E:$E, MATCH("min_fwd_draft_m", [1]Calc!$C:$C, 0)), $E26&lt;=INDEX([1]Calc!$E:$E, MATCH("max_fwd_draft_m", [1]Calc!$C:$C, 0)), $G26&lt;=INDEX([1]Calc!$E:$E, MATCH("theta_max_deg", [1]Calc!$C:$C, 0))), "OK", "CHECK"))</f>
        <v>OK</v>
      </c>
      <c r="I26" s="3">
        <f>IF($E26="","", INDEX([1]Calc!$E:$E, MATCH("D_vessel_m", [1]Calc!$C:$C, 0)) - $E26 + $B26)</f>
        <v>1.9112508231881178</v>
      </c>
      <c r="J26" s="3">
        <f>IF($F26="","", INDEX([1]Calc!$E:$E, MATCH("D_vessel_m", [1]Calc!$C:$C, 0)) - $F26 + $B26)</f>
        <v>1.9112508231881178</v>
      </c>
      <c r="K26" s="2" t="str">
        <f t="shared" si="2"/>
        <v>Even Keel</v>
      </c>
    </row>
    <row r="27" spans="1:11" x14ac:dyDescent="0.6">
      <c r="A27" s="2" t="str">
        <f>IF('December_Tide_2025 (2)'!A27="","",'December_Tide_2025 (2)'!A27)</f>
        <v>2025-12-02 01:00:00</v>
      </c>
      <c r="B27" s="3">
        <f>IF('December_Tide_2025 (2)'!B27="","",'December_Tide_2025 (2)'!B27)</f>
        <v>2.15</v>
      </c>
      <c r="C27" s="3">
        <f>IF($A27="","", INDEX([1]Calc!$E:$E, MATCH("KminusZ_m", [1]Calc!$C:$C, 0)) + $B27 - INDEX([1]Calc!$E:$E, MATCH("L_ramp_m", [1]Calc!$C:$C, 0)) * TAN(RADIANS(INDEX([1]Calc!$E:$E, MATCH("theta_max_deg", [1]Calc!$C:$C, 0)))))</f>
        <v>3.8887491768118827</v>
      </c>
      <c r="D27" s="3"/>
      <c r="E27" s="3">
        <f t="shared" si="0"/>
        <v>3.8887491768118827</v>
      </c>
      <c r="F27" s="3">
        <f t="shared" si="1"/>
        <v>3.8887491768118827</v>
      </c>
      <c r="G27" s="3">
        <f>IF($E27="","", DEGREES(ATAN((INDEX([1]Calc!$E:$E, MATCH("KminusZ_m", [1]Calc!$C:$C, 0)) - $E27 + $B27) / INDEX([1]Calc!$E:$E, MATCH("L_ramp_m", [1]Calc!$C:$C, 0)))))</f>
        <v>5.9999999999999982</v>
      </c>
      <c r="H27" s="2" t="str">
        <f>IF($E27="","", IF(AND($E27&gt;=INDEX([1]Calc!$E:$E, MATCH("min_fwd_draft_m", [1]Calc!$C:$C, 0)), $E27&lt;=INDEX([1]Calc!$E:$E, MATCH("max_fwd_draft_m", [1]Calc!$C:$C, 0)), $G27&lt;=INDEX([1]Calc!$E:$E, MATCH("theta_max_deg", [1]Calc!$C:$C, 0))), "OK", "CHECK"))</f>
        <v>CHECK</v>
      </c>
      <c r="I27" s="3">
        <f>IF($E27="","", INDEX([1]Calc!$E:$E, MATCH("D_vessel_m", [1]Calc!$C:$C, 0)) - $E27 + $B27)</f>
        <v>1.9112508231881171</v>
      </c>
      <c r="J27" s="3">
        <f>IF($F27="","", INDEX([1]Calc!$E:$E, MATCH("D_vessel_m", [1]Calc!$C:$C, 0)) - $F27 + $B27)</f>
        <v>1.9112508231881171</v>
      </c>
      <c r="K27" s="2" t="str">
        <f t="shared" si="2"/>
        <v>Even Keel</v>
      </c>
    </row>
    <row r="28" spans="1:11" x14ac:dyDescent="0.6">
      <c r="A28" s="2" t="str">
        <f>IF('December_Tide_2025 (2)'!A28="","",'December_Tide_2025 (2)'!A28)</f>
        <v>2025-12-02 02:00:00</v>
      </c>
      <c r="B28" s="3">
        <f>IF('December_Tide_2025 (2)'!B28="","",'December_Tide_2025 (2)'!B28)</f>
        <v>2.5299999999999998</v>
      </c>
      <c r="C28" s="3">
        <f>IF($A28="","", INDEX([1]Calc!$E:$E, MATCH("KminusZ_m", [1]Calc!$C:$C, 0)) + $B28 - INDEX([1]Calc!$E:$E, MATCH("L_ramp_m", [1]Calc!$C:$C, 0)) * TAN(RADIANS(INDEX([1]Calc!$E:$E, MATCH("theta_max_deg", [1]Calc!$C:$C, 0)))))</f>
        <v>4.2687491768118822</v>
      </c>
      <c r="D28" s="3"/>
      <c r="E28" s="3">
        <f t="shared" si="0"/>
        <v>4.2687491768118822</v>
      </c>
      <c r="F28" s="3">
        <f t="shared" si="1"/>
        <v>4.2687491768118822</v>
      </c>
      <c r="G28" s="3">
        <f>IF($E28="","", DEGREES(ATAN((INDEX([1]Calc!$E:$E, MATCH("KminusZ_m", [1]Calc!$C:$C, 0)) - $E28 + $B28) / INDEX([1]Calc!$E:$E, MATCH("L_ramp_m", [1]Calc!$C:$C, 0)))))</f>
        <v>6.0000000000000009</v>
      </c>
      <c r="H28" s="2" t="str">
        <f>IF($E28="","", IF(AND($E28&gt;=INDEX([1]Calc!$E:$E, MATCH("min_fwd_draft_m", [1]Calc!$C:$C, 0)), $E28&lt;=INDEX([1]Calc!$E:$E, MATCH("max_fwd_draft_m", [1]Calc!$C:$C, 0)), $G28&lt;=INDEX([1]Calc!$E:$E, MATCH("theta_max_deg", [1]Calc!$C:$C, 0))), "OK", "CHECK"))</f>
        <v>CHECK</v>
      </c>
      <c r="I28" s="3">
        <f>IF($E28="","", INDEX([1]Calc!$E:$E, MATCH("D_vessel_m", [1]Calc!$C:$C, 0)) - $E28 + $B28)</f>
        <v>1.9112508231881176</v>
      </c>
      <c r="J28" s="3">
        <f>IF($F28="","", INDEX([1]Calc!$E:$E, MATCH("D_vessel_m", [1]Calc!$C:$C, 0)) - $F28 + $B28)</f>
        <v>1.9112508231881176</v>
      </c>
      <c r="K28" s="2" t="str">
        <f t="shared" si="2"/>
        <v>Even Keel</v>
      </c>
    </row>
    <row r="29" spans="1:11" x14ac:dyDescent="0.6">
      <c r="A29" s="2" t="str">
        <f>IF('December_Tide_2025 (2)'!A29="","",'December_Tide_2025 (2)'!A29)</f>
        <v>2025-12-02 03:00:00</v>
      </c>
      <c r="B29" s="3">
        <f>IF('December_Tide_2025 (2)'!B29="","",'December_Tide_2025 (2)'!B29)</f>
        <v>2.72</v>
      </c>
      <c r="C29" s="3">
        <f>IF($A29="","", INDEX([1]Calc!$E:$E, MATCH("KminusZ_m", [1]Calc!$C:$C, 0)) + $B29 - INDEX([1]Calc!$E:$E, MATCH("L_ramp_m", [1]Calc!$C:$C, 0)) * TAN(RADIANS(INDEX([1]Calc!$E:$E, MATCH("theta_max_deg", [1]Calc!$C:$C, 0)))))</f>
        <v>4.4587491768118834</v>
      </c>
      <c r="D29" s="3"/>
      <c r="E29" s="3">
        <f t="shared" si="0"/>
        <v>4.4587491768118834</v>
      </c>
      <c r="F29" s="3">
        <f t="shared" si="1"/>
        <v>4.4587491768118834</v>
      </c>
      <c r="G29" s="3">
        <f>IF($E29="","", DEGREES(ATAN((INDEX([1]Calc!$E:$E, MATCH("KminusZ_m", [1]Calc!$C:$C, 0)) - $E29 + $B29) / INDEX([1]Calc!$E:$E, MATCH("L_ramp_m", [1]Calc!$C:$C, 0)))))</f>
        <v>5.9999999999999964</v>
      </c>
      <c r="H29" s="2" t="str">
        <f>IF($E29="","", IF(AND($E29&gt;=INDEX([1]Calc!$E:$E, MATCH("min_fwd_draft_m", [1]Calc!$C:$C, 0)), $E29&lt;=INDEX([1]Calc!$E:$E, MATCH("max_fwd_draft_m", [1]Calc!$C:$C, 0)), $G29&lt;=INDEX([1]Calc!$E:$E, MATCH("theta_max_deg", [1]Calc!$C:$C, 0))), "OK", "CHECK"))</f>
        <v>CHECK</v>
      </c>
      <c r="I29" s="3">
        <f>IF($E29="","", INDEX([1]Calc!$E:$E, MATCH("D_vessel_m", [1]Calc!$C:$C, 0)) - $E29 + $B29)</f>
        <v>1.9112508231881167</v>
      </c>
      <c r="J29" s="3">
        <f>IF($F29="","", INDEX([1]Calc!$E:$E, MATCH("D_vessel_m", [1]Calc!$C:$C, 0)) - $F29 + $B29)</f>
        <v>1.9112508231881167</v>
      </c>
      <c r="K29" s="2" t="str">
        <f t="shared" si="2"/>
        <v>Even Keel</v>
      </c>
    </row>
    <row r="30" spans="1:11" x14ac:dyDescent="0.6">
      <c r="A30" s="2" t="str">
        <f>IF('December_Tide_2025 (2)'!A30="","",'December_Tide_2025 (2)'!A30)</f>
        <v>2025-12-02 04:00:00</v>
      </c>
      <c r="B30" s="3">
        <f>IF('December_Tide_2025 (2)'!B30="","",'December_Tide_2025 (2)'!B30)</f>
        <v>2.69</v>
      </c>
      <c r="C30" s="3">
        <f>IF($A30="","", INDEX([1]Calc!$E:$E, MATCH("KminusZ_m", [1]Calc!$C:$C, 0)) + $B30 - INDEX([1]Calc!$E:$E, MATCH("L_ramp_m", [1]Calc!$C:$C, 0)) * TAN(RADIANS(INDEX([1]Calc!$E:$E, MATCH("theta_max_deg", [1]Calc!$C:$C, 0)))))</f>
        <v>4.4287491768118823</v>
      </c>
      <c r="D30" s="3"/>
      <c r="E30" s="3">
        <f t="shared" si="0"/>
        <v>4.4287491768118823</v>
      </c>
      <c r="F30" s="3">
        <f t="shared" si="1"/>
        <v>4.4287491768118823</v>
      </c>
      <c r="G30" s="3">
        <f>IF($E30="","", DEGREES(ATAN((INDEX([1]Calc!$E:$E, MATCH("KminusZ_m", [1]Calc!$C:$C, 0)) - $E30 + $B30) / INDEX([1]Calc!$E:$E, MATCH("L_ramp_m", [1]Calc!$C:$C, 0)))))</f>
        <v>6.0000000000000009</v>
      </c>
      <c r="H30" s="2" t="str">
        <f>IF($E30="","", IF(AND($E30&gt;=INDEX([1]Calc!$E:$E, MATCH("min_fwd_draft_m", [1]Calc!$C:$C, 0)), $E30&lt;=INDEX([1]Calc!$E:$E, MATCH("max_fwd_draft_m", [1]Calc!$C:$C, 0)), $G30&lt;=INDEX([1]Calc!$E:$E, MATCH("theta_max_deg", [1]Calc!$C:$C, 0))), "OK", "CHECK"))</f>
        <v>CHECK</v>
      </c>
      <c r="I30" s="3">
        <f>IF($E30="","", INDEX([1]Calc!$E:$E, MATCH("D_vessel_m", [1]Calc!$C:$C, 0)) - $E30 + $B30)</f>
        <v>1.9112508231881176</v>
      </c>
      <c r="J30" s="3">
        <f>IF($F30="","", INDEX([1]Calc!$E:$E, MATCH("D_vessel_m", [1]Calc!$C:$C, 0)) - $F30 + $B30)</f>
        <v>1.9112508231881176</v>
      </c>
      <c r="K30" s="2" t="str">
        <f t="shared" si="2"/>
        <v>Even Keel</v>
      </c>
    </row>
    <row r="31" spans="1:11" x14ac:dyDescent="0.6">
      <c r="A31" s="2" t="str">
        <f>IF('December_Tide_2025 (2)'!A31="","",'December_Tide_2025 (2)'!A31)</f>
        <v>2025-12-02 05:00:00</v>
      </c>
      <c r="B31" s="3">
        <f>IF('December_Tide_2025 (2)'!B31="","",'December_Tide_2025 (2)'!B31)</f>
        <v>2.4300000000000002</v>
      </c>
      <c r="C31" s="3">
        <f>IF($A31="","", INDEX([1]Calc!$E:$E, MATCH("KminusZ_m", [1]Calc!$C:$C, 0)) + $B31 - INDEX([1]Calc!$E:$E, MATCH("L_ramp_m", [1]Calc!$C:$C, 0)) * TAN(RADIANS(INDEX([1]Calc!$E:$E, MATCH("theta_max_deg", [1]Calc!$C:$C, 0)))))</f>
        <v>4.1687491768118825</v>
      </c>
      <c r="D31" s="3"/>
      <c r="E31" s="3">
        <f t="shared" si="0"/>
        <v>4.1687491768118825</v>
      </c>
      <c r="F31" s="3">
        <f t="shared" si="1"/>
        <v>4.1687491768118825</v>
      </c>
      <c r="G31" s="3">
        <f>IF($E31="","", DEGREES(ATAN((INDEX([1]Calc!$E:$E, MATCH("KminusZ_m", [1]Calc!$C:$C, 0)) - $E31 + $B31) / INDEX([1]Calc!$E:$E, MATCH("L_ramp_m", [1]Calc!$C:$C, 0)))))</f>
        <v>6.0000000000000009</v>
      </c>
      <c r="H31" s="2" t="str">
        <f>IF($E31="","", IF(AND($E31&gt;=INDEX([1]Calc!$E:$E, MATCH("min_fwd_draft_m", [1]Calc!$C:$C, 0)), $E31&lt;=INDEX([1]Calc!$E:$E, MATCH("max_fwd_draft_m", [1]Calc!$C:$C, 0)), $G31&lt;=INDEX([1]Calc!$E:$E, MATCH("theta_max_deg", [1]Calc!$C:$C, 0))), "OK", "CHECK"))</f>
        <v>CHECK</v>
      </c>
      <c r="I31" s="3">
        <f>IF($E31="","", INDEX([1]Calc!$E:$E, MATCH("D_vessel_m", [1]Calc!$C:$C, 0)) - $E31 + $B31)</f>
        <v>1.9112508231881176</v>
      </c>
      <c r="J31" s="3">
        <f>IF($F31="","", INDEX([1]Calc!$E:$E, MATCH("D_vessel_m", [1]Calc!$C:$C, 0)) - $F31 + $B31)</f>
        <v>1.9112508231881176</v>
      </c>
      <c r="K31" s="2" t="str">
        <f t="shared" si="2"/>
        <v>Even Keel</v>
      </c>
    </row>
    <row r="32" spans="1:11" x14ac:dyDescent="0.6">
      <c r="A32" s="2" t="str">
        <f>IF('December_Tide_2025 (2)'!A32="","",'December_Tide_2025 (2)'!A32)</f>
        <v>2025-12-02 06:00:00</v>
      </c>
      <c r="B32" s="3">
        <f>IF('December_Tide_2025 (2)'!B32="","",'December_Tide_2025 (2)'!B32)</f>
        <v>2.0099999999999998</v>
      </c>
      <c r="C32" s="3">
        <f>IF($A32="","", INDEX([1]Calc!$E:$E, MATCH("KminusZ_m", [1]Calc!$C:$C, 0)) + $B32 - INDEX([1]Calc!$E:$E, MATCH("L_ramp_m", [1]Calc!$C:$C, 0)) * TAN(RADIANS(INDEX([1]Calc!$E:$E, MATCH("theta_max_deg", [1]Calc!$C:$C, 0)))))</f>
        <v>3.7487491768118821</v>
      </c>
      <c r="D32" s="3"/>
      <c r="E32" s="3">
        <f t="shared" si="0"/>
        <v>3.7487491768118821</v>
      </c>
      <c r="F32" s="3">
        <f t="shared" si="1"/>
        <v>3.7487491768118821</v>
      </c>
      <c r="G32" s="3">
        <f>IF($E32="","", DEGREES(ATAN((INDEX([1]Calc!$E:$E, MATCH("KminusZ_m", [1]Calc!$C:$C, 0)) - $E32 + $B32) / INDEX([1]Calc!$E:$E, MATCH("L_ramp_m", [1]Calc!$C:$C, 0)))))</f>
        <v>6.0000000000000009</v>
      </c>
      <c r="H32" s="2" t="str">
        <f>IF($E32="","", IF(AND($E32&gt;=INDEX([1]Calc!$E:$E, MATCH("min_fwd_draft_m", [1]Calc!$C:$C, 0)), $E32&lt;=INDEX([1]Calc!$E:$E, MATCH("max_fwd_draft_m", [1]Calc!$C:$C, 0)), $G32&lt;=INDEX([1]Calc!$E:$E, MATCH("theta_max_deg", [1]Calc!$C:$C, 0))), "OK", "CHECK"))</f>
        <v>CHECK</v>
      </c>
      <c r="I32" s="3">
        <f>IF($E32="","", INDEX([1]Calc!$E:$E, MATCH("D_vessel_m", [1]Calc!$C:$C, 0)) - $E32 + $B32)</f>
        <v>1.9112508231881176</v>
      </c>
      <c r="J32" s="3">
        <f>IF($F32="","", INDEX([1]Calc!$E:$E, MATCH("D_vessel_m", [1]Calc!$C:$C, 0)) - $F32 + $B32)</f>
        <v>1.9112508231881176</v>
      </c>
      <c r="K32" s="2" t="str">
        <f t="shared" si="2"/>
        <v>Even Keel</v>
      </c>
    </row>
    <row r="33" spans="1:11" x14ac:dyDescent="0.6">
      <c r="A33" s="2" t="str">
        <f>IF('December_Tide_2025 (2)'!A33="","",'December_Tide_2025 (2)'!A33)</f>
        <v>2025-12-02 07:00:00</v>
      </c>
      <c r="B33" s="3">
        <f>IF('December_Tide_2025 (2)'!B33="","",'December_Tide_2025 (2)'!B33)</f>
        <v>1.54</v>
      </c>
      <c r="C33" s="3">
        <f>IF($A33="","", INDEX([1]Calc!$E:$E, MATCH("KminusZ_m", [1]Calc!$C:$C, 0)) + $B33 - INDEX([1]Calc!$E:$E, MATCH("L_ramp_m", [1]Calc!$C:$C, 0)) * TAN(RADIANS(INDEX([1]Calc!$E:$E, MATCH("theta_max_deg", [1]Calc!$C:$C, 0)))))</f>
        <v>3.2787491768118824</v>
      </c>
      <c r="D33" s="3"/>
      <c r="E33" s="3">
        <f t="shared" si="0"/>
        <v>3.2787491768118824</v>
      </c>
      <c r="F33" s="3">
        <f t="shared" si="1"/>
        <v>3.2787491768118824</v>
      </c>
      <c r="G33" s="3">
        <f>IF($E33="","", DEGREES(ATAN((INDEX([1]Calc!$E:$E, MATCH("KminusZ_m", [1]Calc!$C:$C, 0)) - $E33 + $B33) / INDEX([1]Calc!$E:$E, MATCH("L_ramp_m", [1]Calc!$C:$C, 0)))))</f>
        <v>6.0000000000000009</v>
      </c>
      <c r="H33" s="2" t="str">
        <f>IF($E33="","", IF(AND($E33&gt;=INDEX([1]Calc!$E:$E, MATCH("min_fwd_draft_m", [1]Calc!$C:$C, 0)), $E33&lt;=INDEX([1]Calc!$E:$E, MATCH("max_fwd_draft_m", [1]Calc!$C:$C, 0)), $G33&lt;=INDEX([1]Calc!$E:$E, MATCH("theta_max_deg", [1]Calc!$C:$C, 0))), "OK", "CHECK"))</f>
        <v>OK</v>
      </c>
      <c r="I33" s="3">
        <f>IF($E33="","", INDEX([1]Calc!$E:$E, MATCH("D_vessel_m", [1]Calc!$C:$C, 0)) - $E33 + $B33)</f>
        <v>1.9112508231881176</v>
      </c>
      <c r="J33" s="3">
        <f>IF($F33="","", INDEX([1]Calc!$E:$E, MATCH("D_vessel_m", [1]Calc!$C:$C, 0)) - $F33 + $B33)</f>
        <v>1.9112508231881176</v>
      </c>
      <c r="K33" s="2" t="str">
        <f t="shared" si="2"/>
        <v>Even Keel</v>
      </c>
    </row>
    <row r="34" spans="1:11" x14ac:dyDescent="0.6">
      <c r="A34" s="2" t="str">
        <f>IF('December_Tide_2025 (2)'!A34="","",'December_Tide_2025 (2)'!A34)</f>
        <v>2025-12-02 08:00:00</v>
      </c>
      <c r="B34" s="3">
        <f>IF('December_Tide_2025 (2)'!B34="","",'December_Tide_2025 (2)'!B34)</f>
        <v>1.1399999999999999</v>
      </c>
      <c r="C34" s="3">
        <f>IF($A34="","", INDEX([1]Calc!$E:$E, MATCH("KminusZ_m", [1]Calc!$C:$C, 0)) + $B34 - INDEX([1]Calc!$E:$E, MATCH("L_ramp_m", [1]Calc!$C:$C, 0)) * TAN(RADIANS(INDEX([1]Calc!$E:$E, MATCH("theta_max_deg", [1]Calc!$C:$C, 0)))))</f>
        <v>2.878749176811882</v>
      </c>
      <c r="D34" s="3"/>
      <c r="E34" s="3">
        <f t="shared" si="0"/>
        <v>2.878749176811882</v>
      </c>
      <c r="F34" s="3">
        <f t="shared" si="1"/>
        <v>2.878749176811882</v>
      </c>
      <c r="G34" s="3">
        <f>IF($E34="","", DEGREES(ATAN((INDEX([1]Calc!$E:$E, MATCH("KminusZ_m", [1]Calc!$C:$C, 0)) - $E34 + $B34) / INDEX([1]Calc!$E:$E, MATCH("L_ramp_m", [1]Calc!$C:$C, 0)))))</f>
        <v>6.0000000000000009</v>
      </c>
      <c r="H34" s="2" t="str">
        <f>IF($E34="","", IF(AND($E34&gt;=INDEX([1]Calc!$E:$E, MATCH("min_fwd_draft_m", [1]Calc!$C:$C, 0)), $E34&lt;=INDEX([1]Calc!$E:$E, MATCH("max_fwd_draft_m", [1]Calc!$C:$C, 0)), $G34&lt;=INDEX([1]Calc!$E:$E, MATCH("theta_max_deg", [1]Calc!$C:$C, 0))), "OK", "CHECK"))</f>
        <v>OK</v>
      </c>
      <c r="I34" s="3">
        <f>IF($E34="","", INDEX([1]Calc!$E:$E, MATCH("D_vessel_m", [1]Calc!$C:$C, 0)) - $E34 + $B34)</f>
        <v>1.9112508231881178</v>
      </c>
      <c r="J34" s="3">
        <f>IF($F34="","", INDEX([1]Calc!$E:$E, MATCH("D_vessel_m", [1]Calc!$C:$C, 0)) - $F34 + $B34)</f>
        <v>1.9112508231881178</v>
      </c>
      <c r="K34" s="2" t="str">
        <f t="shared" si="2"/>
        <v>Even Keel</v>
      </c>
    </row>
    <row r="35" spans="1:11" x14ac:dyDescent="0.6">
      <c r="A35" s="2" t="str">
        <f>IF('December_Tide_2025 (2)'!A35="","",'December_Tide_2025 (2)'!A35)</f>
        <v>2025-12-02 09:00:00</v>
      </c>
      <c r="B35" s="3">
        <f>IF('December_Tide_2025 (2)'!B35="","",'December_Tide_2025 (2)'!B35)</f>
        <v>0.9</v>
      </c>
      <c r="C35" s="3">
        <f>IF($A35="","", INDEX([1]Calc!$E:$E, MATCH("KminusZ_m", [1]Calc!$C:$C, 0)) + $B35 - INDEX([1]Calc!$E:$E, MATCH("L_ramp_m", [1]Calc!$C:$C, 0)) * TAN(RADIANS(INDEX([1]Calc!$E:$E, MATCH("theta_max_deg", [1]Calc!$C:$C, 0)))))</f>
        <v>2.6387491768118823</v>
      </c>
      <c r="D35" s="3"/>
      <c r="E35" s="3">
        <f t="shared" si="0"/>
        <v>2.6387491768118823</v>
      </c>
      <c r="F35" s="3">
        <f t="shared" si="1"/>
        <v>2.6387491768118823</v>
      </c>
      <c r="G35" s="3">
        <f>IF($E35="","", DEGREES(ATAN((INDEX([1]Calc!$E:$E, MATCH("KminusZ_m", [1]Calc!$C:$C, 0)) - $E35 + $B35) / INDEX([1]Calc!$E:$E, MATCH("L_ramp_m", [1]Calc!$C:$C, 0)))))</f>
        <v>6.0000000000000009</v>
      </c>
      <c r="H35" s="2" t="str">
        <f>IF($E35="","", IF(AND($E35&gt;=INDEX([1]Calc!$E:$E, MATCH("min_fwd_draft_m", [1]Calc!$C:$C, 0)), $E35&lt;=INDEX([1]Calc!$E:$E, MATCH("max_fwd_draft_m", [1]Calc!$C:$C, 0)), $G35&lt;=INDEX([1]Calc!$E:$E, MATCH("theta_max_deg", [1]Calc!$C:$C, 0))), "OK", "CHECK"))</f>
        <v>OK</v>
      </c>
      <c r="I35" s="3">
        <f>IF($E35="","", INDEX([1]Calc!$E:$E, MATCH("D_vessel_m", [1]Calc!$C:$C, 0)) - $E35 + $B35)</f>
        <v>1.9112508231881176</v>
      </c>
      <c r="J35" s="3">
        <f>IF($F35="","", INDEX([1]Calc!$E:$E, MATCH("D_vessel_m", [1]Calc!$C:$C, 0)) - $F35 + $B35)</f>
        <v>1.9112508231881176</v>
      </c>
      <c r="K35" s="2" t="str">
        <f t="shared" si="2"/>
        <v>Even Keel</v>
      </c>
    </row>
    <row r="36" spans="1:11" x14ac:dyDescent="0.6">
      <c r="A36" s="2" t="str">
        <f>IF('December_Tide_2025 (2)'!A36="","",'December_Tide_2025 (2)'!A36)</f>
        <v>2025-12-02 10:00:00</v>
      </c>
      <c r="B36" s="3">
        <f>IF('December_Tide_2025 (2)'!B36="","",'December_Tide_2025 (2)'!B36)</f>
        <v>0.89</v>
      </c>
      <c r="C36" s="3">
        <f>IF($A36="","", INDEX([1]Calc!$E:$E, MATCH("KminusZ_m", [1]Calc!$C:$C, 0)) + $B36 - INDEX([1]Calc!$E:$E, MATCH("L_ramp_m", [1]Calc!$C:$C, 0)) * TAN(RADIANS(INDEX([1]Calc!$E:$E, MATCH("theta_max_deg", [1]Calc!$C:$C, 0)))))</f>
        <v>2.6287491768118825</v>
      </c>
      <c r="D36" s="3"/>
      <c r="E36" s="3">
        <f t="shared" si="0"/>
        <v>2.6287491768118825</v>
      </c>
      <c r="F36" s="3">
        <f t="shared" si="1"/>
        <v>2.6287491768118825</v>
      </c>
      <c r="G36" s="3">
        <f>IF($E36="","", DEGREES(ATAN((INDEX([1]Calc!$E:$E, MATCH("KminusZ_m", [1]Calc!$C:$C, 0)) - $E36 + $B36) / INDEX([1]Calc!$E:$E, MATCH("L_ramp_m", [1]Calc!$C:$C, 0)))))</f>
        <v>6.0000000000000009</v>
      </c>
      <c r="H36" s="2" t="str">
        <f>IF($E36="","", IF(AND($E36&gt;=INDEX([1]Calc!$E:$E, MATCH("min_fwd_draft_m", [1]Calc!$C:$C, 0)), $E36&lt;=INDEX([1]Calc!$E:$E, MATCH("max_fwd_draft_m", [1]Calc!$C:$C, 0)), $G36&lt;=INDEX([1]Calc!$E:$E, MATCH("theta_max_deg", [1]Calc!$C:$C, 0))), "OK", "CHECK"))</f>
        <v>OK</v>
      </c>
      <c r="I36" s="3">
        <f>IF($E36="","", INDEX([1]Calc!$E:$E, MATCH("D_vessel_m", [1]Calc!$C:$C, 0)) - $E36 + $B36)</f>
        <v>1.9112508231881176</v>
      </c>
      <c r="J36" s="3">
        <f>IF($F36="","", INDEX([1]Calc!$E:$E, MATCH("D_vessel_m", [1]Calc!$C:$C, 0)) - $F36 + $B36)</f>
        <v>1.9112508231881176</v>
      </c>
      <c r="K36" s="2" t="str">
        <f t="shared" si="2"/>
        <v>Even Keel</v>
      </c>
    </row>
    <row r="37" spans="1:11" x14ac:dyDescent="0.6">
      <c r="A37" s="2" t="str">
        <f>IF('December_Tide_2025 (2)'!A37="","",'December_Tide_2025 (2)'!A37)</f>
        <v>2025-12-02 11:00:00</v>
      </c>
      <c r="B37" s="3">
        <f>IF('December_Tide_2025 (2)'!B37="","",'December_Tide_2025 (2)'!B37)</f>
        <v>1.1100000000000001</v>
      </c>
      <c r="C37" s="3">
        <f>IF($A37="","", INDEX([1]Calc!$E:$E, MATCH("KminusZ_m", [1]Calc!$C:$C, 0)) + $B37 - INDEX([1]Calc!$E:$E, MATCH("L_ramp_m", [1]Calc!$C:$C, 0)) * TAN(RADIANS(INDEX([1]Calc!$E:$E, MATCH("theta_max_deg", [1]Calc!$C:$C, 0)))))</f>
        <v>2.8487491768118827</v>
      </c>
      <c r="D37" s="3"/>
      <c r="E37" s="3">
        <f t="shared" si="0"/>
        <v>2.8487491768118827</v>
      </c>
      <c r="F37" s="3">
        <f t="shared" si="1"/>
        <v>2.8487491768118827</v>
      </c>
      <c r="G37" s="3">
        <f>IF($E37="","", DEGREES(ATAN((INDEX([1]Calc!$E:$E, MATCH("KminusZ_m", [1]Calc!$C:$C, 0)) - $E37 + $B37) / INDEX([1]Calc!$E:$E, MATCH("L_ramp_m", [1]Calc!$C:$C, 0)))))</f>
        <v>6</v>
      </c>
      <c r="H37" s="2" t="str">
        <f>IF($E37="","", IF(AND($E37&gt;=INDEX([1]Calc!$E:$E, MATCH("min_fwd_draft_m", [1]Calc!$C:$C, 0)), $E37&lt;=INDEX([1]Calc!$E:$E, MATCH("max_fwd_draft_m", [1]Calc!$C:$C, 0)), $G37&lt;=INDEX([1]Calc!$E:$E, MATCH("theta_max_deg", [1]Calc!$C:$C, 0))), "OK", "CHECK"))</f>
        <v>OK</v>
      </c>
      <c r="I37" s="3">
        <f>IF($E37="","", INDEX([1]Calc!$E:$E, MATCH("D_vessel_m", [1]Calc!$C:$C, 0)) - $E37 + $B37)</f>
        <v>1.9112508231881173</v>
      </c>
      <c r="J37" s="3">
        <f>IF($F37="","", INDEX([1]Calc!$E:$E, MATCH("D_vessel_m", [1]Calc!$C:$C, 0)) - $F37 + $B37)</f>
        <v>1.9112508231881173</v>
      </c>
      <c r="K37" s="2" t="str">
        <f t="shared" si="2"/>
        <v>Even Keel</v>
      </c>
    </row>
    <row r="38" spans="1:11" x14ac:dyDescent="0.6">
      <c r="A38" s="2" t="str">
        <f>IF('December_Tide_2025 (2)'!A38="","",'December_Tide_2025 (2)'!A38)</f>
        <v>2025-12-02 12:00:00</v>
      </c>
      <c r="B38" s="3">
        <f>IF('December_Tide_2025 (2)'!B38="","",'December_Tide_2025 (2)'!B38)</f>
        <v>1.5</v>
      </c>
      <c r="C38" s="3">
        <f>IF($A38="","", INDEX([1]Calc!$E:$E, MATCH("KminusZ_m", [1]Calc!$C:$C, 0)) + $B38 - INDEX([1]Calc!$E:$E, MATCH("L_ramp_m", [1]Calc!$C:$C, 0)) * TAN(RADIANS(INDEX([1]Calc!$E:$E, MATCH("theta_max_deg", [1]Calc!$C:$C, 0)))))</f>
        <v>3.2387491768118823</v>
      </c>
      <c r="D38" s="3"/>
      <c r="E38" s="3">
        <f t="shared" si="0"/>
        <v>3.2387491768118823</v>
      </c>
      <c r="F38" s="3">
        <f t="shared" si="1"/>
        <v>3.2387491768118823</v>
      </c>
      <c r="G38" s="3">
        <f>IF($E38="","", DEGREES(ATAN((INDEX([1]Calc!$E:$E, MATCH("KminusZ_m", [1]Calc!$C:$C, 0)) - $E38 + $B38) / INDEX([1]Calc!$E:$E, MATCH("L_ramp_m", [1]Calc!$C:$C, 0)))))</f>
        <v>6.0000000000000009</v>
      </c>
      <c r="H38" s="2" t="str">
        <f>IF($E38="","", IF(AND($E38&gt;=INDEX([1]Calc!$E:$E, MATCH("min_fwd_draft_m", [1]Calc!$C:$C, 0)), $E38&lt;=INDEX([1]Calc!$E:$E, MATCH("max_fwd_draft_m", [1]Calc!$C:$C, 0)), $G38&lt;=INDEX([1]Calc!$E:$E, MATCH("theta_max_deg", [1]Calc!$C:$C, 0))), "OK", "CHECK"))</f>
        <v>OK</v>
      </c>
      <c r="I38" s="3">
        <f>IF($E38="","", INDEX([1]Calc!$E:$E, MATCH("D_vessel_m", [1]Calc!$C:$C, 0)) - $E38 + $B38)</f>
        <v>1.9112508231881176</v>
      </c>
      <c r="J38" s="3">
        <f>IF($F38="","", INDEX([1]Calc!$E:$E, MATCH("D_vessel_m", [1]Calc!$C:$C, 0)) - $F38 + $B38)</f>
        <v>1.9112508231881176</v>
      </c>
      <c r="K38" s="2" t="str">
        <f t="shared" si="2"/>
        <v>Even Keel</v>
      </c>
    </row>
    <row r="39" spans="1:11" x14ac:dyDescent="0.6">
      <c r="A39" s="2" t="str">
        <f>IF('December_Tide_2025 (2)'!A39="","",'December_Tide_2025 (2)'!A39)</f>
        <v>2025-12-02 13:00:00</v>
      </c>
      <c r="B39" s="3">
        <f>IF('December_Tide_2025 (2)'!B39="","",'December_Tide_2025 (2)'!B39)</f>
        <v>1.97</v>
      </c>
      <c r="C39" s="3">
        <f>IF($A39="","", INDEX([1]Calc!$E:$E, MATCH("KminusZ_m", [1]Calc!$C:$C, 0)) + $B39 - INDEX([1]Calc!$E:$E, MATCH("L_ramp_m", [1]Calc!$C:$C, 0)) * TAN(RADIANS(INDEX([1]Calc!$E:$E, MATCH("theta_max_deg", [1]Calc!$C:$C, 0)))))</f>
        <v>3.7087491768118821</v>
      </c>
      <c r="D39" s="3"/>
      <c r="E39" s="3">
        <f t="shared" si="0"/>
        <v>3.7087491768118821</v>
      </c>
      <c r="F39" s="3">
        <f t="shared" si="1"/>
        <v>3.7087491768118821</v>
      </c>
      <c r="G39" s="3">
        <f>IF($E39="","", DEGREES(ATAN((INDEX([1]Calc!$E:$E, MATCH("KminusZ_m", [1]Calc!$C:$C, 0)) - $E39 + $B39) / INDEX([1]Calc!$E:$E, MATCH("L_ramp_m", [1]Calc!$C:$C, 0)))))</f>
        <v>6.0000000000000009</v>
      </c>
      <c r="H39" s="2" t="str">
        <f>IF($E39="","", IF(AND($E39&gt;=INDEX([1]Calc!$E:$E, MATCH("min_fwd_draft_m", [1]Calc!$C:$C, 0)), $E39&lt;=INDEX([1]Calc!$E:$E, MATCH("max_fwd_draft_m", [1]Calc!$C:$C, 0)), $G39&lt;=INDEX([1]Calc!$E:$E, MATCH("theta_max_deg", [1]Calc!$C:$C, 0))), "OK", "CHECK"))</f>
        <v>CHECK</v>
      </c>
      <c r="I39" s="3">
        <f>IF($E39="","", INDEX([1]Calc!$E:$E, MATCH("D_vessel_m", [1]Calc!$C:$C, 0)) - $E39 + $B39)</f>
        <v>1.9112508231881178</v>
      </c>
      <c r="J39" s="3">
        <f>IF($F39="","", INDEX([1]Calc!$E:$E, MATCH("D_vessel_m", [1]Calc!$C:$C, 0)) - $F39 + $B39)</f>
        <v>1.9112508231881178</v>
      </c>
      <c r="K39" s="2" t="str">
        <f t="shared" si="2"/>
        <v>Even Keel</v>
      </c>
    </row>
    <row r="40" spans="1:11" x14ac:dyDescent="0.6">
      <c r="A40" s="2" t="str">
        <f>IF('December_Tide_2025 (2)'!A40="","",'December_Tide_2025 (2)'!A40)</f>
        <v>2025-12-02 14:00:00</v>
      </c>
      <c r="B40" s="3">
        <f>IF('December_Tide_2025 (2)'!B40="","",'December_Tide_2025 (2)'!B40)</f>
        <v>2.39</v>
      </c>
      <c r="C40" s="3">
        <f>IF($A40="","", INDEX([1]Calc!$E:$E, MATCH("KminusZ_m", [1]Calc!$C:$C, 0)) + $B40 - INDEX([1]Calc!$E:$E, MATCH("L_ramp_m", [1]Calc!$C:$C, 0)) * TAN(RADIANS(INDEX([1]Calc!$E:$E, MATCH("theta_max_deg", [1]Calc!$C:$C, 0)))))</f>
        <v>4.1287491768118834</v>
      </c>
      <c r="D40" s="3"/>
      <c r="E40" s="3">
        <f t="shared" si="0"/>
        <v>4.1287491768118834</v>
      </c>
      <c r="F40" s="3">
        <f t="shared" si="1"/>
        <v>4.1287491768118834</v>
      </c>
      <c r="G40" s="3">
        <f>IF($E40="","", DEGREES(ATAN((INDEX([1]Calc!$E:$E, MATCH("KminusZ_m", [1]Calc!$C:$C, 0)) - $E40 + $B40) / INDEX([1]Calc!$E:$E, MATCH("L_ramp_m", [1]Calc!$C:$C, 0)))))</f>
        <v>5.9999999999999964</v>
      </c>
      <c r="H40" s="2" t="str">
        <f>IF($E40="","", IF(AND($E40&gt;=INDEX([1]Calc!$E:$E, MATCH("min_fwd_draft_m", [1]Calc!$C:$C, 0)), $E40&lt;=INDEX([1]Calc!$E:$E, MATCH("max_fwd_draft_m", [1]Calc!$C:$C, 0)), $G40&lt;=INDEX([1]Calc!$E:$E, MATCH("theta_max_deg", [1]Calc!$C:$C, 0))), "OK", "CHECK"))</f>
        <v>CHECK</v>
      </c>
      <c r="I40" s="3">
        <f>IF($E40="","", INDEX([1]Calc!$E:$E, MATCH("D_vessel_m", [1]Calc!$C:$C, 0)) - $E40 + $B40)</f>
        <v>1.9112508231881167</v>
      </c>
      <c r="J40" s="3">
        <f>IF($F40="","", INDEX([1]Calc!$E:$E, MATCH("D_vessel_m", [1]Calc!$C:$C, 0)) - $F40 + $B40)</f>
        <v>1.9112508231881167</v>
      </c>
      <c r="K40" s="2" t="str">
        <f t="shared" si="2"/>
        <v>Even Keel</v>
      </c>
    </row>
    <row r="41" spans="1:11" x14ac:dyDescent="0.6">
      <c r="A41" s="2" t="str">
        <f>IF('December_Tide_2025 (2)'!A41="","",'December_Tide_2025 (2)'!A41)</f>
        <v>2025-12-02 15:00:00</v>
      </c>
      <c r="B41" s="3">
        <f>IF('December_Tide_2025 (2)'!B41="","",'December_Tide_2025 (2)'!B41)</f>
        <v>2.67</v>
      </c>
      <c r="C41" s="3">
        <f>IF($A41="","", INDEX([1]Calc!$E:$E, MATCH("KminusZ_m", [1]Calc!$C:$C, 0)) + $B41 - INDEX([1]Calc!$E:$E, MATCH("L_ramp_m", [1]Calc!$C:$C, 0)) * TAN(RADIANS(INDEX([1]Calc!$E:$E, MATCH("theta_max_deg", [1]Calc!$C:$C, 0)))))</f>
        <v>4.4087491768118827</v>
      </c>
      <c r="D41" s="3"/>
      <c r="E41" s="3">
        <f t="shared" si="0"/>
        <v>4.4087491768118827</v>
      </c>
      <c r="F41" s="3">
        <f t="shared" si="1"/>
        <v>4.4087491768118827</v>
      </c>
      <c r="G41" s="3">
        <f>IF($E41="","", DEGREES(ATAN((INDEX([1]Calc!$E:$E, MATCH("KminusZ_m", [1]Calc!$C:$C, 0)) - $E41 + $B41) / INDEX([1]Calc!$E:$E, MATCH("L_ramp_m", [1]Calc!$C:$C, 0)))))</f>
        <v>5.9999999999999982</v>
      </c>
      <c r="H41" s="2" t="str">
        <f>IF($E41="","", IF(AND($E41&gt;=INDEX([1]Calc!$E:$E, MATCH("min_fwd_draft_m", [1]Calc!$C:$C, 0)), $E41&lt;=INDEX([1]Calc!$E:$E, MATCH("max_fwd_draft_m", [1]Calc!$C:$C, 0)), $G41&lt;=INDEX([1]Calc!$E:$E, MATCH("theta_max_deg", [1]Calc!$C:$C, 0))), "OK", "CHECK"))</f>
        <v>CHECK</v>
      </c>
      <c r="I41" s="3">
        <f>IF($E41="","", INDEX([1]Calc!$E:$E, MATCH("D_vessel_m", [1]Calc!$C:$C, 0)) - $E41 + $B41)</f>
        <v>1.9112508231881171</v>
      </c>
      <c r="J41" s="3">
        <f>IF($F41="","", INDEX([1]Calc!$E:$E, MATCH("D_vessel_m", [1]Calc!$C:$C, 0)) - $F41 + $B41)</f>
        <v>1.9112508231881171</v>
      </c>
      <c r="K41" s="2" t="str">
        <f t="shared" si="2"/>
        <v>Even Keel</v>
      </c>
    </row>
    <row r="42" spans="1:11" x14ac:dyDescent="0.6">
      <c r="A42" s="2" t="str">
        <f>IF('December_Tide_2025 (2)'!A42="","",'December_Tide_2025 (2)'!A42)</f>
        <v>2025-12-02 16:00:00</v>
      </c>
      <c r="B42" s="3">
        <f>IF('December_Tide_2025 (2)'!B42="","",'December_Tide_2025 (2)'!B42)</f>
        <v>2.73</v>
      </c>
      <c r="C42" s="3">
        <f>IF($A42="","", INDEX([1]Calc!$E:$E, MATCH("KminusZ_m", [1]Calc!$C:$C, 0)) + $B42 - INDEX([1]Calc!$E:$E, MATCH("L_ramp_m", [1]Calc!$C:$C, 0)) * TAN(RADIANS(INDEX([1]Calc!$E:$E, MATCH("theta_max_deg", [1]Calc!$C:$C, 0)))))</f>
        <v>4.4687491768118832</v>
      </c>
      <c r="D42" s="3"/>
      <c r="E42" s="3">
        <f t="shared" si="0"/>
        <v>4.4687491768118832</v>
      </c>
      <c r="F42" s="3">
        <f t="shared" si="1"/>
        <v>4.4687491768118832</v>
      </c>
      <c r="G42" s="3">
        <f>IF($E42="","", DEGREES(ATAN((INDEX([1]Calc!$E:$E, MATCH("KminusZ_m", [1]Calc!$C:$C, 0)) - $E42 + $B42) / INDEX([1]Calc!$E:$E, MATCH("L_ramp_m", [1]Calc!$C:$C, 0)))))</f>
        <v>5.9999999999999964</v>
      </c>
      <c r="H42" s="2" t="str">
        <f>IF($E42="","", IF(AND($E42&gt;=INDEX([1]Calc!$E:$E, MATCH("min_fwd_draft_m", [1]Calc!$C:$C, 0)), $E42&lt;=INDEX([1]Calc!$E:$E, MATCH("max_fwd_draft_m", [1]Calc!$C:$C, 0)), $G42&lt;=INDEX([1]Calc!$E:$E, MATCH("theta_max_deg", [1]Calc!$C:$C, 0))), "OK", "CHECK"))</f>
        <v>CHECK</v>
      </c>
      <c r="I42" s="3">
        <f>IF($E42="","", INDEX([1]Calc!$E:$E, MATCH("D_vessel_m", [1]Calc!$C:$C, 0)) - $E42 + $B42)</f>
        <v>1.9112508231881167</v>
      </c>
      <c r="J42" s="3">
        <f>IF($F42="","", INDEX([1]Calc!$E:$E, MATCH("D_vessel_m", [1]Calc!$C:$C, 0)) - $F42 + $B42)</f>
        <v>1.9112508231881167</v>
      </c>
      <c r="K42" s="2" t="str">
        <f t="shared" si="2"/>
        <v>Even Keel</v>
      </c>
    </row>
    <row r="43" spans="1:11" x14ac:dyDescent="0.6">
      <c r="A43" s="2" t="str">
        <f>IF('December_Tide_2025 (2)'!A43="","",'December_Tide_2025 (2)'!A43)</f>
        <v>2025-12-02 17:00:00</v>
      </c>
      <c r="B43" s="3">
        <f>IF('December_Tide_2025 (2)'!B43="","",'December_Tide_2025 (2)'!B43)</f>
        <v>2.5499999999999998</v>
      </c>
      <c r="C43" s="3">
        <f>IF($A43="","", INDEX([1]Calc!$E:$E, MATCH("KminusZ_m", [1]Calc!$C:$C, 0)) + $B43 - INDEX([1]Calc!$E:$E, MATCH("L_ramp_m", [1]Calc!$C:$C, 0)) * TAN(RADIANS(INDEX([1]Calc!$E:$E, MATCH("theta_max_deg", [1]Calc!$C:$C, 0)))))</f>
        <v>4.2887491768118817</v>
      </c>
      <c r="D43" s="3"/>
      <c r="E43" s="3">
        <f t="shared" si="0"/>
        <v>4.2887491768118817</v>
      </c>
      <c r="F43" s="3">
        <f t="shared" si="1"/>
        <v>4.2887491768118817</v>
      </c>
      <c r="G43" s="3">
        <f>IF($E43="","", DEGREES(ATAN((INDEX([1]Calc!$E:$E, MATCH("KminusZ_m", [1]Calc!$C:$C, 0)) - $E43 + $B43) / INDEX([1]Calc!$E:$E, MATCH("L_ramp_m", [1]Calc!$C:$C, 0)))))</f>
        <v>6.0000000000000027</v>
      </c>
      <c r="H43" s="2" t="str">
        <f>IF($E43="","", IF(AND($E43&gt;=INDEX([1]Calc!$E:$E, MATCH("min_fwd_draft_m", [1]Calc!$C:$C, 0)), $E43&lt;=INDEX([1]Calc!$E:$E, MATCH("max_fwd_draft_m", [1]Calc!$C:$C, 0)), $G43&lt;=INDEX([1]Calc!$E:$E, MATCH("theta_max_deg", [1]Calc!$C:$C, 0))), "OK", "CHECK"))</f>
        <v>CHECK</v>
      </c>
      <c r="I43" s="3">
        <f>IF($E43="","", INDEX([1]Calc!$E:$E, MATCH("D_vessel_m", [1]Calc!$C:$C, 0)) - $E43 + $B43)</f>
        <v>1.911250823188118</v>
      </c>
      <c r="J43" s="3">
        <f>IF($F43="","", INDEX([1]Calc!$E:$E, MATCH("D_vessel_m", [1]Calc!$C:$C, 0)) - $F43 + $B43)</f>
        <v>1.911250823188118</v>
      </c>
      <c r="K43" s="2" t="str">
        <f t="shared" si="2"/>
        <v>Even Keel</v>
      </c>
    </row>
    <row r="44" spans="1:11" x14ac:dyDescent="0.6">
      <c r="A44" s="2" t="str">
        <f>IF('December_Tide_2025 (2)'!A44="","",'December_Tide_2025 (2)'!A44)</f>
        <v>2025-12-02 18:00:00</v>
      </c>
      <c r="B44" s="3">
        <f>IF('December_Tide_2025 (2)'!B44="","",'December_Tide_2025 (2)'!B44)</f>
        <v>2.19</v>
      </c>
      <c r="C44" s="3">
        <f>IF($A44="","", INDEX([1]Calc!$E:$E, MATCH("KminusZ_m", [1]Calc!$C:$C, 0)) + $B44 - INDEX([1]Calc!$E:$E, MATCH("L_ramp_m", [1]Calc!$C:$C, 0)) * TAN(RADIANS(INDEX([1]Calc!$E:$E, MATCH("theta_max_deg", [1]Calc!$C:$C, 0)))))</f>
        <v>3.9287491768118818</v>
      </c>
      <c r="D44" s="3"/>
      <c r="E44" s="3">
        <f t="shared" si="0"/>
        <v>3.9287491768118818</v>
      </c>
      <c r="F44" s="3">
        <f t="shared" si="1"/>
        <v>3.9287491768118818</v>
      </c>
      <c r="G44" s="3">
        <f>IF($E44="","", DEGREES(ATAN((INDEX([1]Calc!$E:$E, MATCH("KminusZ_m", [1]Calc!$C:$C, 0)) - $E44 + $B44) / INDEX([1]Calc!$E:$E, MATCH("L_ramp_m", [1]Calc!$C:$C, 0)))))</f>
        <v>6.0000000000000027</v>
      </c>
      <c r="H44" s="2" t="str">
        <f>IF($E44="","", IF(AND($E44&gt;=INDEX([1]Calc!$E:$E, MATCH("min_fwd_draft_m", [1]Calc!$C:$C, 0)), $E44&lt;=INDEX([1]Calc!$E:$E, MATCH("max_fwd_draft_m", [1]Calc!$C:$C, 0)), $G44&lt;=INDEX([1]Calc!$E:$E, MATCH("theta_max_deg", [1]Calc!$C:$C, 0))), "OK", "CHECK"))</f>
        <v>CHECK</v>
      </c>
      <c r="I44" s="3">
        <f>IF($E44="","", INDEX([1]Calc!$E:$E, MATCH("D_vessel_m", [1]Calc!$C:$C, 0)) - $E44 + $B44)</f>
        <v>1.911250823188118</v>
      </c>
      <c r="J44" s="3">
        <f>IF($F44="","", INDEX([1]Calc!$E:$E, MATCH("D_vessel_m", [1]Calc!$C:$C, 0)) - $F44 + $B44)</f>
        <v>1.911250823188118</v>
      </c>
      <c r="K44" s="2" t="str">
        <f t="shared" si="2"/>
        <v>Even Keel</v>
      </c>
    </row>
    <row r="45" spans="1:11" x14ac:dyDescent="0.6">
      <c r="A45" s="2" t="str">
        <f>IF('December_Tide_2025 (2)'!A45="","",'December_Tide_2025 (2)'!A45)</f>
        <v>2025-12-02 19:00:00</v>
      </c>
      <c r="B45" s="3">
        <f>IF('December_Tide_2025 (2)'!B45="","",'December_Tide_2025 (2)'!B45)</f>
        <v>1.73</v>
      </c>
      <c r="C45" s="3">
        <f>IF($A45="","", INDEX([1]Calc!$E:$E, MATCH("KminusZ_m", [1]Calc!$C:$C, 0)) + $B45 - INDEX([1]Calc!$E:$E, MATCH("L_ramp_m", [1]Calc!$C:$C, 0)) * TAN(RADIANS(INDEX([1]Calc!$E:$E, MATCH("theta_max_deg", [1]Calc!$C:$C, 0)))))</f>
        <v>3.4687491768118828</v>
      </c>
      <c r="D45" s="3"/>
      <c r="E45" s="3">
        <f t="shared" si="0"/>
        <v>3.4687491768118828</v>
      </c>
      <c r="F45" s="3">
        <f t="shared" si="1"/>
        <v>3.4687491768118828</v>
      </c>
      <c r="G45" s="3">
        <f>IF($E45="","", DEGREES(ATAN((INDEX([1]Calc!$E:$E, MATCH("KminusZ_m", [1]Calc!$C:$C, 0)) - $E45 + $B45) / INDEX([1]Calc!$E:$E, MATCH("L_ramp_m", [1]Calc!$C:$C, 0)))))</f>
        <v>5.9999999999999982</v>
      </c>
      <c r="H45" s="2" t="str">
        <f>IF($E45="","", IF(AND($E45&gt;=INDEX([1]Calc!$E:$E, MATCH("min_fwd_draft_m", [1]Calc!$C:$C, 0)), $E45&lt;=INDEX([1]Calc!$E:$E, MATCH("max_fwd_draft_m", [1]Calc!$C:$C, 0)), $G45&lt;=INDEX([1]Calc!$E:$E, MATCH("theta_max_deg", [1]Calc!$C:$C, 0))), "OK", "CHECK"))</f>
        <v>OK</v>
      </c>
      <c r="I45" s="3">
        <f>IF($E45="","", INDEX([1]Calc!$E:$E, MATCH("D_vessel_m", [1]Calc!$C:$C, 0)) - $E45 + $B45)</f>
        <v>1.9112508231881171</v>
      </c>
      <c r="J45" s="3">
        <f>IF($F45="","", INDEX([1]Calc!$E:$E, MATCH("D_vessel_m", [1]Calc!$C:$C, 0)) - $F45 + $B45)</f>
        <v>1.9112508231881171</v>
      </c>
      <c r="K45" s="2" t="str">
        <f t="shared" si="2"/>
        <v>Even Keel</v>
      </c>
    </row>
    <row r="46" spans="1:11" x14ac:dyDescent="0.6">
      <c r="A46" s="2" t="str">
        <f>IF('December_Tide_2025 (2)'!A46="","",'December_Tide_2025 (2)'!A46)</f>
        <v>2025-12-02 20:00:00</v>
      </c>
      <c r="B46" s="3">
        <f>IF('December_Tide_2025 (2)'!B46="","",'December_Tide_2025 (2)'!B46)</f>
        <v>1.28</v>
      </c>
      <c r="C46" s="3">
        <f>IF($A46="","", INDEX([1]Calc!$E:$E, MATCH("KminusZ_m", [1]Calc!$C:$C, 0)) + $B46 - INDEX([1]Calc!$E:$E, MATCH("L_ramp_m", [1]Calc!$C:$C, 0)) * TAN(RADIANS(INDEX([1]Calc!$E:$E, MATCH("theta_max_deg", [1]Calc!$C:$C, 0)))))</f>
        <v>3.0187491768118826</v>
      </c>
      <c r="D46" s="3"/>
      <c r="E46" s="3">
        <f t="shared" si="0"/>
        <v>3.0187491768118826</v>
      </c>
      <c r="F46" s="3">
        <f t="shared" si="1"/>
        <v>3.0187491768118826</v>
      </c>
      <c r="G46" s="3">
        <f>IF($E46="","", DEGREES(ATAN((INDEX([1]Calc!$E:$E, MATCH("KminusZ_m", [1]Calc!$C:$C, 0)) - $E46 + $B46) / INDEX([1]Calc!$E:$E, MATCH("L_ramp_m", [1]Calc!$C:$C, 0)))))</f>
        <v>6</v>
      </c>
      <c r="H46" s="2" t="str">
        <f>IF($E46="","", IF(AND($E46&gt;=INDEX([1]Calc!$E:$E, MATCH("min_fwd_draft_m", [1]Calc!$C:$C, 0)), $E46&lt;=INDEX([1]Calc!$E:$E, MATCH("max_fwd_draft_m", [1]Calc!$C:$C, 0)), $G46&lt;=INDEX([1]Calc!$E:$E, MATCH("theta_max_deg", [1]Calc!$C:$C, 0))), "OK", "CHECK"))</f>
        <v>OK</v>
      </c>
      <c r="I46" s="3">
        <f>IF($E46="","", INDEX([1]Calc!$E:$E, MATCH("D_vessel_m", [1]Calc!$C:$C, 0)) - $E46 + $B46)</f>
        <v>1.9112508231881173</v>
      </c>
      <c r="J46" s="3">
        <f>IF($F46="","", INDEX([1]Calc!$E:$E, MATCH("D_vessel_m", [1]Calc!$C:$C, 0)) - $F46 + $B46)</f>
        <v>1.9112508231881173</v>
      </c>
      <c r="K46" s="2" t="str">
        <f t="shared" si="2"/>
        <v>Even Keel</v>
      </c>
    </row>
    <row r="47" spans="1:11" x14ac:dyDescent="0.6">
      <c r="A47" s="2" t="str">
        <f>IF('December_Tide_2025 (2)'!A47="","",'December_Tide_2025 (2)'!A47)</f>
        <v>2025-12-02 21:00:00</v>
      </c>
      <c r="B47" s="3">
        <f>IF('December_Tide_2025 (2)'!B47="","",'December_Tide_2025 (2)'!B47)</f>
        <v>0.97</v>
      </c>
      <c r="C47" s="3">
        <f>IF($A47="","", INDEX([1]Calc!$E:$E, MATCH("KminusZ_m", [1]Calc!$C:$C, 0)) + $B47 - INDEX([1]Calc!$E:$E, MATCH("L_ramp_m", [1]Calc!$C:$C, 0)) * TAN(RADIANS(INDEX([1]Calc!$E:$E, MATCH("theta_max_deg", [1]Calc!$C:$C, 0)))))</f>
        <v>2.7087491768118821</v>
      </c>
      <c r="D47" s="3"/>
      <c r="E47" s="3">
        <f t="shared" si="0"/>
        <v>2.7087491768118821</v>
      </c>
      <c r="F47" s="3">
        <f t="shared" si="1"/>
        <v>2.7087491768118821</v>
      </c>
      <c r="G47" s="3">
        <f>IF($E47="","", DEGREES(ATAN((INDEX([1]Calc!$E:$E, MATCH("KminusZ_m", [1]Calc!$C:$C, 0)) - $E47 + $B47) / INDEX([1]Calc!$E:$E, MATCH("L_ramp_m", [1]Calc!$C:$C, 0)))))</f>
        <v>6.0000000000000009</v>
      </c>
      <c r="H47" s="2" t="str">
        <f>IF($E47="","", IF(AND($E47&gt;=INDEX([1]Calc!$E:$E, MATCH("min_fwd_draft_m", [1]Calc!$C:$C, 0)), $E47&lt;=INDEX([1]Calc!$E:$E, MATCH("max_fwd_draft_m", [1]Calc!$C:$C, 0)), $G47&lt;=INDEX([1]Calc!$E:$E, MATCH("theta_max_deg", [1]Calc!$C:$C, 0))), "OK", "CHECK"))</f>
        <v>OK</v>
      </c>
      <c r="I47" s="3">
        <f>IF($E47="","", INDEX([1]Calc!$E:$E, MATCH("D_vessel_m", [1]Calc!$C:$C, 0)) - $E47 + $B47)</f>
        <v>1.9112508231881178</v>
      </c>
      <c r="J47" s="3">
        <f>IF($F47="","", INDEX([1]Calc!$E:$E, MATCH("D_vessel_m", [1]Calc!$C:$C, 0)) - $F47 + $B47)</f>
        <v>1.9112508231881178</v>
      </c>
      <c r="K47" s="2" t="str">
        <f t="shared" si="2"/>
        <v>Even Keel</v>
      </c>
    </row>
    <row r="48" spans="1:11" x14ac:dyDescent="0.6">
      <c r="A48" s="2" t="str">
        <f>IF('December_Tide_2025 (2)'!A48="","",'December_Tide_2025 (2)'!A48)</f>
        <v>2025-12-02 22:00:00</v>
      </c>
      <c r="B48" s="3">
        <f>IF('December_Tide_2025 (2)'!B48="","",'December_Tide_2025 (2)'!B48)</f>
        <v>0.86</v>
      </c>
      <c r="C48" s="3">
        <f>IF($A48="","", INDEX([1]Calc!$E:$E, MATCH("KminusZ_m", [1]Calc!$C:$C, 0)) + $B48 - INDEX([1]Calc!$E:$E, MATCH("L_ramp_m", [1]Calc!$C:$C, 0)) * TAN(RADIANS(INDEX([1]Calc!$E:$E, MATCH("theta_max_deg", [1]Calc!$C:$C, 0)))))</f>
        <v>2.5987491768118822</v>
      </c>
      <c r="D48" s="3"/>
      <c r="E48" s="3">
        <f t="shared" si="0"/>
        <v>2.5987491768118822</v>
      </c>
      <c r="F48" s="3">
        <f t="shared" si="1"/>
        <v>2.5987491768118822</v>
      </c>
      <c r="G48" s="3">
        <f>IF($E48="","", DEGREES(ATAN((INDEX([1]Calc!$E:$E, MATCH("KminusZ_m", [1]Calc!$C:$C, 0)) - $E48 + $B48) / INDEX([1]Calc!$E:$E, MATCH("L_ramp_m", [1]Calc!$C:$C, 0)))))</f>
        <v>6.0000000000000009</v>
      </c>
      <c r="H48" s="2" t="str">
        <f>IF($E48="","", IF(AND($E48&gt;=INDEX([1]Calc!$E:$E, MATCH("min_fwd_draft_m", [1]Calc!$C:$C, 0)), $E48&lt;=INDEX([1]Calc!$E:$E, MATCH("max_fwd_draft_m", [1]Calc!$C:$C, 0)), $G48&lt;=INDEX([1]Calc!$E:$E, MATCH("theta_max_deg", [1]Calc!$C:$C, 0))), "OK", "CHECK"))</f>
        <v>OK</v>
      </c>
      <c r="I48" s="3">
        <f>IF($E48="","", INDEX([1]Calc!$E:$E, MATCH("D_vessel_m", [1]Calc!$C:$C, 0)) - $E48 + $B48)</f>
        <v>1.9112508231881176</v>
      </c>
      <c r="J48" s="3">
        <f>IF($F48="","", INDEX([1]Calc!$E:$E, MATCH("D_vessel_m", [1]Calc!$C:$C, 0)) - $F48 + $B48)</f>
        <v>1.9112508231881176</v>
      </c>
      <c r="K48" s="2" t="str">
        <f t="shared" si="2"/>
        <v>Even Keel</v>
      </c>
    </row>
    <row r="49" spans="1:11" x14ac:dyDescent="0.6">
      <c r="A49" s="2" t="str">
        <f>IF('December_Tide_2025 (2)'!A49="","",'December_Tide_2025 (2)'!A49)</f>
        <v>2025-12-02 23:00:00</v>
      </c>
      <c r="B49" s="3">
        <f>IF('December_Tide_2025 (2)'!B49="","",'December_Tide_2025 (2)'!B49)</f>
        <v>0.99</v>
      </c>
      <c r="C49" s="3">
        <f>IF($A49="","", INDEX([1]Calc!$E:$E, MATCH("KminusZ_m", [1]Calc!$C:$C, 0)) + $B49 - INDEX([1]Calc!$E:$E, MATCH("L_ramp_m", [1]Calc!$C:$C, 0)) * TAN(RADIANS(INDEX([1]Calc!$E:$E, MATCH("theta_max_deg", [1]Calc!$C:$C, 0)))))</f>
        <v>2.7287491768118826</v>
      </c>
      <c r="D49" s="3"/>
      <c r="E49" s="3">
        <f t="shared" si="0"/>
        <v>2.7287491768118826</v>
      </c>
      <c r="F49" s="3">
        <f t="shared" si="1"/>
        <v>2.7287491768118826</v>
      </c>
      <c r="G49" s="3">
        <f>IF($E49="","", DEGREES(ATAN((INDEX([1]Calc!$E:$E, MATCH("KminusZ_m", [1]Calc!$C:$C, 0)) - $E49 + $B49) / INDEX([1]Calc!$E:$E, MATCH("L_ramp_m", [1]Calc!$C:$C, 0)))))</f>
        <v>6</v>
      </c>
      <c r="H49" s="2" t="str">
        <f>IF($E49="","", IF(AND($E49&gt;=INDEX([1]Calc!$E:$E, MATCH("min_fwd_draft_m", [1]Calc!$C:$C, 0)), $E49&lt;=INDEX([1]Calc!$E:$E, MATCH("max_fwd_draft_m", [1]Calc!$C:$C, 0)), $G49&lt;=INDEX([1]Calc!$E:$E, MATCH("theta_max_deg", [1]Calc!$C:$C, 0))), "OK", "CHECK"))</f>
        <v>OK</v>
      </c>
      <c r="I49" s="3">
        <f>IF($E49="","", INDEX([1]Calc!$E:$E, MATCH("D_vessel_m", [1]Calc!$C:$C, 0)) - $E49 + $B49)</f>
        <v>1.9112508231881173</v>
      </c>
      <c r="J49" s="3">
        <f>IF($F49="","", INDEX([1]Calc!$E:$E, MATCH("D_vessel_m", [1]Calc!$C:$C, 0)) - $F49 + $B49)</f>
        <v>1.9112508231881173</v>
      </c>
      <c r="K49" s="2" t="str">
        <f t="shared" si="2"/>
        <v>Even Keel</v>
      </c>
    </row>
    <row r="50" spans="1:11" x14ac:dyDescent="0.6">
      <c r="A50" s="2" t="str">
        <f>IF('December_Tide_2025 (2)'!A50="","",'December_Tide_2025 (2)'!A50)</f>
        <v>2025-12-03 00:00:00</v>
      </c>
      <c r="B50" s="3">
        <f>IF('December_Tide_2025 (2)'!B50="","",'December_Tide_2025 (2)'!B50)</f>
        <v>1.33</v>
      </c>
      <c r="C50" s="3">
        <f>IF($A50="","", INDEX([1]Calc!$E:$E, MATCH("KminusZ_m", [1]Calc!$C:$C, 0)) + $B50 - INDEX([1]Calc!$E:$E, MATCH("L_ramp_m", [1]Calc!$C:$C, 0)) * TAN(RADIANS(INDEX([1]Calc!$E:$E, MATCH("theta_max_deg", [1]Calc!$C:$C, 0)))))</f>
        <v>3.0687491768118824</v>
      </c>
      <c r="D50" s="3"/>
      <c r="E50" s="3">
        <f t="shared" si="0"/>
        <v>3.0687491768118824</v>
      </c>
      <c r="F50" s="3">
        <f t="shared" si="1"/>
        <v>3.0687491768118824</v>
      </c>
      <c r="G50" s="3">
        <f>IF($E50="","", DEGREES(ATAN((INDEX([1]Calc!$E:$E, MATCH("KminusZ_m", [1]Calc!$C:$C, 0)) - $E50 + $B50) / INDEX([1]Calc!$E:$E, MATCH("L_ramp_m", [1]Calc!$C:$C, 0)))))</f>
        <v>6.0000000000000009</v>
      </c>
      <c r="H50" s="2" t="str">
        <f>IF($E50="","", IF(AND($E50&gt;=INDEX([1]Calc!$E:$E, MATCH("min_fwd_draft_m", [1]Calc!$C:$C, 0)), $E50&lt;=INDEX([1]Calc!$E:$E, MATCH("max_fwd_draft_m", [1]Calc!$C:$C, 0)), $G50&lt;=INDEX([1]Calc!$E:$E, MATCH("theta_max_deg", [1]Calc!$C:$C, 0))), "OK", "CHECK"))</f>
        <v>OK</v>
      </c>
      <c r="I50" s="3">
        <f>IF($E50="","", INDEX([1]Calc!$E:$E, MATCH("D_vessel_m", [1]Calc!$C:$C, 0)) - $E50 + $B50)</f>
        <v>1.9112508231881176</v>
      </c>
      <c r="J50" s="3">
        <f>IF($F50="","", INDEX([1]Calc!$E:$E, MATCH("D_vessel_m", [1]Calc!$C:$C, 0)) - $F50 + $B50)</f>
        <v>1.9112508231881176</v>
      </c>
      <c r="K50" s="2" t="str">
        <f t="shared" si="2"/>
        <v>Even Keel</v>
      </c>
    </row>
    <row r="51" spans="1:11" x14ac:dyDescent="0.6">
      <c r="A51" s="2" t="str">
        <f>IF('December_Tide_2025 (2)'!A51="","",'December_Tide_2025 (2)'!A51)</f>
        <v>2025-12-03 01:00:00</v>
      </c>
      <c r="B51" s="3">
        <f>IF('December_Tide_2025 (2)'!B51="","",'December_Tide_2025 (2)'!B51)</f>
        <v>1.78</v>
      </c>
      <c r="C51" s="3">
        <f>IF($A51="","", INDEX([1]Calc!$E:$E, MATCH("KminusZ_m", [1]Calc!$C:$C, 0)) + $B51 - INDEX([1]Calc!$E:$E, MATCH("L_ramp_m", [1]Calc!$C:$C, 0)) * TAN(RADIANS(INDEX([1]Calc!$E:$E, MATCH("theta_max_deg", [1]Calc!$C:$C, 0)))))</f>
        <v>3.5187491768118826</v>
      </c>
      <c r="D51" s="3"/>
      <c r="E51" s="3">
        <f t="shared" si="0"/>
        <v>3.5187491768118826</v>
      </c>
      <c r="F51" s="3">
        <f t="shared" si="1"/>
        <v>3.5187491768118826</v>
      </c>
      <c r="G51" s="3">
        <f>IF($E51="","", DEGREES(ATAN((INDEX([1]Calc!$E:$E, MATCH("KminusZ_m", [1]Calc!$C:$C, 0)) - $E51 + $B51) / INDEX([1]Calc!$E:$E, MATCH("L_ramp_m", [1]Calc!$C:$C, 0)))))</f>
        <v>6</v>
      </c>
      <c r="H51" s="2" t="str">
        <f>IF($E51="","", IF(AND($E51&gt;=INDEX([1]Calc!$E:$E, MATCH("min_fwd_draft_m", [1]Calc!$C:$C, 0)), $E51&lt;=INDEX([1]Calc!$E:$E, MATCH("max_fwd_draft_m", [1]Calc!$C:$C, 0)), $G51&lt;=INDEX([1]Calc!$E:$E, MATCH("theta_max_deg", [1]Calc!$C:$C, 0))), "OK", "CHECK"))</f>
        <v>CHECK</v>
      </c>
      <c r="I51" s="3">
        <f>IF($E51="","", INDEX([1]Calc!$E:$E, MATCH("D_vessel_m", [1]Calc!$C:$C, 0)) - $E51 + $B51)</f>
        <v>1.9112508231881173</v>
      </c>
      <c r="J51" s="3">
        <f>IF($F51="","", INDEX([1]Calc!$E:$E, MATCH("D_vessel_m", [1]Calc!$C:$C, 0)) - $F51 + $B51)</f>
        <v>1.9112508231881173</v>
      </c>
      <c r="K51" s="2" t="str">
        <f t="shared" si="2"/>
        <v>Even Keel</v>
      </c>
    </row>
    <row r="52" spans="1:11" x14ac:dyDescent="0.6">
      <c r="A52" s="2" t="str">
        <f>IF('December_Tide_2025 (2)'!A52="","",'December_Tide_2025 (2)'!A52)</f>
        <v>2025-12-03 02:00:00</v>
      </c>
      <c r="B52" s="3">
        <f>IF('December_Tide_2025 (2)'!B52="","",'December_Tide_2025 (2)'!B52)</f>
        <v>2.2400000000000002</v>
      </c>
      <c r="C52" s="3">
        <f>IF($A52="","", INDEX([1]Calc!$E:$E, MATCH("KminusZ_m", [1]Calc!$C:$C, 0)) + $B52 - INDEX([1]Calc!$E:$E, MATCH("L_ramp_m", [1]Calc!$C:$C, 0)) * TAN(RADIANS(INDEX([1]Calc!$E:$E, MATCH("theta_max_deg", [1]Calc!$C:$C, 0)))))</f>
        <v>3.9787491768118826</v>
      </c>
      <c r="D52" s="3"/>
      <c r="E52" s="3">
        <f t="shared" si="0"/>
        <v>3.9787491768118826</v>
      </c>
      <c r="F52" s="3">
        <f t="shared" si="1"/>
        <v>3.9787491768118826</v>
      </c>
      <c r="G52" s="3">
        <f>IF($E52="","", DEGREES(ATAN((INDEX([1]Calc!$E:$E, MATCH("KminusZ_m", [1]Calc!$C:$C, 0)) - $E52 + $B52) / INDEX([1]Calc!$E:$E, MATCH("L_ramp_m", [1]Calc!$C:$C, 0)))))</f>
        <v>6.0000000000000009</v>
      </c>
      <c r="H52" s="2" t="str">
        <f>IF($E52="","", IF(AND($E52&gt;=INDEX([1]Calc!$E:$E, MATCH("min_fwd_draft_m", [1]Calc!$C:$C, 0)), $E52&lt;=INDEX([1]Calc!$E:$E, MATCH("max_fwd_draft_m", [1]Calc!$C:$C, 0)), $G52&lt;=INDEX([1]Calc!$E:$E, MATCH("theta_max_deg", [1]Calc!$C:$C, 0))), "OK", "CHECK"))</f>
        <v>CHECK</v>
      </c>
      <c r="I52" s="3">
        <f>IF($E52="","", INDEX([1]Calc!$E:$E, MATCH("D_vessel_m", [1]Calc!$C:$C, 0)) - $E52 + $B52)</f>
        <v>1.9112508231881176</v>
      </c>
      <c r="J52" s="3">
        <f>IF($F52="","", INDEX([1]Calc!$E:$E, MATCH("D_vessel_m", [1]Calc!$C:$C, 0)) - $F52 + $B52)</f>
        <v>1.9112508231881176</v>
      </c>
      <c r="K52" s="2" t="str">
        <f t="shared" si="2"/>
        <v>Even Keel</v>
      </c>
    </row>
    <row r="53" spans="1:11" x14ac:dyDescent="0.6">
      <c r="A53" s="2" t="str">
        <f>IF('December_Tide_2025 (2)'!A53="","",'December_Tide_2025 (2)'!A53)</f>
        <v>2025-12-03 03:00:00</v>
      </c>
      <c r="B53" s="3">
        <f>IF('December_Tide_2025 (2)'!B53="","",'December_Tide_2025 (2)'!B53)</f>
        <v>2.58</v>
      </c>
      <c r="C53" s="3">
        <f>IF($A53="","", INDEX([1]Calc!$E:$E, MATCH("KminusZ_m", [1]Calc!$C:$C, 0)) + $B53 - INDEX([1]Calc!$E:$E, MATCH("L_ramp_m", [1]Calc!$C:$C, 0)) * TAN(RADIANS(INDEX([1]Calc!$E:$E, MATCH("theta_max_deg", [1]Calc!$C:$C, 0)))))</f>
        <v>4.3187491768118829</v>
      </c>
      <c r="D53" s="3"/>
      <c r="E53" s="3">
        <f t="shared" si="0"/>
        <v>4.3187491768118829</v>
      </c>
      <c r="F53" s="3">
        <f t="shared" si="1"/>
        <v>4.3187491768118829</v>
      </c>
      <c r="G53" s="3">
        <f>IF($E53="","", DEGREES(ATAN((INDEX([1]Calc!$E:$E, MATCH("KminusZ_m", [1]Calc!$C:$C, 0)) - $E53 + $B53) / INDEX([1]Calc!$E:$E, MATCH("L_ramp_m", [1]Calc!$C:$C, 0)))))</f>
        <v>5.9999999999999982</v>
      </c>
      <c r="H53" s="2" t="str">
        <f>IF($E53="","", IF(AND($E53&gt;=INDEX([1]Calc!$E:$E, MATCH("min_fwd_draft_m", [1]Calc!$C:$C, 0)), $E53&lt;=INDEX([1]Calc!$E:$E, MATCH("max_fwd_draft_m", [1]Calc!$C:$C, 0)), $G53&lt;=INDEX([1]Calc!$E:$E, MATCH("theta_max_deg", [1]Calc!$C:$C, 0))), "OK", "CHECK"))</f>
        <v>CHECK</v>
      </c>
      <c r="I53" s="3">
        <f>IF($E53="","", INDEX([1]Calc!$E:$E, MATCH("D_vessel_m", [1]Calc!$C:$C, 0)) - $E53 + $B53)</f>
        <v>1.9112508231881171</v>
      </c>
      <c r="J53" s="3">
        <f>IF($F53="","", INDEX([1]Calc!$E:$E, MATCH("D_vessel_m", [1]Calc!$C:$C, 0)) - $F53 + $B53)</f>
        <v>1.9112508231881171</v>
      </c>
      <c r="K53" s="2" t="str">
        <f t="shared" si="2"/>
        <v>Even Keel</v>
      </c>
    </row>
    <row r="54" spans="1:11" x14ac:dyDescent="0.6">
      <c r="A54" s="2" t="str">
        <f>IF('December_Tide_2025 (2)'!A54="","",'December_Tide_2025 (2)'!A54)</f>
        <v>2025-12-03 04:00:00</v>
      </c>
      <c r="B54" s="3">
        <f>IF('December_Tide_2025 (2)'!B54="","",'December_Tide_2025 (2)'!B54)</f>
        <v>2.73</v>
      </c>
      <c r="C54" s="3">
        <f>IF($A54="","", INDEX([1]Calc!$E:$E, MATCH("KminusZ_m", [1]Calc!$C:$C, 0)) + $B54 - INDEX([1]Calc!$E:$E, MATCH("L_ramp_m", [1]Calc!$C:$C, 0)) * TAN(RADIANS(INDEX([1]Calc!$E:$E, MATCH("theta_max_deg", [1]Calc!$C:$C, 0)))))</f>
        <v>4.4687491768118832</v>
      </c>
      <c r="D54" s="3"/>
      <c r="E54" s="3">
        <f t="shared" si="0"/>
        <v>4.4687491768118832</v>
      </c>
      <c r="F54" s="3">
        <f t="shared" si="1"/>
        <v>4.4687491768118832</v>
      </c>
      <c r="G54" s="3">
        <f>IF($E54="","", DEGREES(ATAN((INDEX([1]Calc!$E:$E, MATCH("KminusZ_m", [1]Calc!$C:$C, 0)) - $E54 + $B54) / INDEX([1]Calc!$E:$E, MATCH("L_ramp_m", [1]Calc!$C:$C, 0)))))</f>
        <v>5.9999999999999964</v>
      </c>
      <c r="H54" s="2" t="str">
        <f>IF($E54="","", IF(AND($E54&gt;=INDEX([1]Calc!$E:$E, MATCH("min_fwd_draft_m", [1]Calc!$C:$C, 0)), $E54&lt;=INDEX([1]Calc!$E:$E, MATCH("max_fwd_draft_m", [1]Calc!$C:$C, 0)), $G54&lt;=INDEX([1]Calc!$E:$E, MATCH("theta_max_deg", [1]Calc!$C:$C, 0))), "OK", "CHECK"))</f>
        <v>CHECK</v>
      </c>
      <c r="I54" s="3">
        <f>IF($E54="","", INDEX([1]Calc!$E:$E, MATCH("D_vessel_m", [1]Calc!$C:$C, 0)) - $E54 + $B54)</f>
        <v>1.9112508231881167</v>
      </c>
      <c r="J54" s="3">
        <f>IF($F54="","", INDEX([1]Calc!$E:$E, MATCH("D_vessel_m", [1]Calc!$C:$C, 0)) - $F54 + $B54)</f>
        <v>1.9112508231881167</v>
      </c>
      <c r="K54" s="2" t="str">
        <f t="shared" si="2"/>
        <v>Even Keel</v>
      </c>
    </row>
    <row r="55" spans="1:11" x14ac:dyDescent="0.6">
      <c r="A55" s="2" t="str">
        <f>IF('December_Tide_2025 (2)'!A55="","",'December_Tide_2025 (2)'!A55)</f>
        <v>2025-12-03 05:00:00</v>
      </c>
      <c r="B55" s="3">
        <f>IF('December_Tide_2025 (2)'!B55="","",'December_Tide_2025 (2)'!B55)</f>
        <v>2.65</v>
      </c>
      <c r="C55" s="3">
        <f>IF($A55="","", INDEX([1]Calc!$E:$E, MATCH("KminusZ_m", [1]Calc!$C:$C, 0)) + $B55 - INDEX([1]Calc!$E:$E, MATCH("L_ramp_m", [1]Calc!$C:$C, 0)) * TAN(RADIANS(INDEX([1]Calc!$E:$E, MATCH("theta_max_deg", [1]Calc!$C:$C, 0)))))</f>
        <v>4.3887491768118831</v>
      </c>
      <c r="D55" s="3"/>
      <c r="E55" s="3">
        <f t="shared" si="0"/>
        <v>4.3887491768118831</v>
      </c>
      <c r="F55" s="3">
        <f t="shared" si="1"/>
        <v>4.3887491768118831</v>
      </c>
      <c r="G55" s="3">
        <f>IF($E55="","", DEGREES(ATAN((INDEX([1]Calc!$E:$E, MATCH("KminusZ_m", [1]Calc!$C:$C, 0)) - $E55 + $B55) / INDEX([1]Calc!$E:$E, MATCH("L_ramp_m", [1]Calc!$C:$C, 0)))))</f>
        <v>5.9999999999999964</v>
      </c>
      <c r="H55" s="2" t="str">
        <f>IF($E55="","", IF(AND($E55&gt;=INDEX([1]Calc!$E:$E, MATCH("min_fwd_draft_m", [1]Calc!$C:$C, 0)), $E55&lt;=INDEX([1]Calc!$E:$E, MATCH("max_fwd_draft_m", [1]Calc!$C:$C, 0)), $G55&lt;=INDEX([1]Calc!$E:$E, MATCH("theta_max_deg", [1]Calc!$C:$C, 0))), "OK", "CHECK"))</f>
        <v>CHECK</v>
      </c>
      <c r="I55" s="3">
        <f>IF($E55="","", INDEX([1]Calc!$E:$E, MATCH("D_vessel_m", [1]Calc!$C:$C, 0)) - $E55 + $B55)</f>
        <v>1.9112508231881167</v>
      </c>
      <c r="J55" s="3">
        <f>IF($F55="","", INDEX([1]Calc!$E:$E, MATCH("D_vessel_m", [1]Calc!$C:$C, 0)) - $F55 + $B55)</f>
        <v>1.9112508231881167</v>
      </c>
      <c r="K55" s="2" t="str">
        <f t="shared" si="2"/>
        <v>Even Keel</v>
      </c>
    </row>
    <row r="56" spans="1:11" x14ac:dyDescent="0.6">
      <c r="A56" s="2" t="str">
        <f>IF('December_Tide_2025 (2)'!A56="","",'December_Tide_2025 (2)'!A56)</f>
        <v>2025-12-03 06:00:00</v>
      </c>
      <c r="B56" s="3">
        <f>IF('December_Tide_2025 (2)'!B56="","",'December_Tide_2025 (2)'!B56)</f>
        <v>2.35</v>
      </c>
      <c r="C56" s="3">
        <f>IF($A56="","", INDEX([1]Calc!$E:$E, MATCH("KminusZ_m", [1]Calc!$C:$C, 0)) + $B56 - INDEX([1]Calc!$E:$E, MATCH("L_ramp_m", [1]Calc!$C:$C, 0)) * TAN(RADIANS(INDEX([1]Calc!$E:$E, MATCH("theta_max_deg", [1]Calc!$C:$C, 0)))))</f>
        <v>4.0887491768118824</v>
      </c>
      <c r="D56" s="3"/>
      <c r="E56" s="3">
        <f t="shared" si="0"/>
        <v>4.0887491768118824</v>
      </c>
      <c r="F56" s="3">
        <f t="shared" si="1"/>
        <v>4.0887491768118824</v>
      </c>
      <c r="G56" s="3">
        <f>IF($E56="","", DEGREES(ATAN((INDEX([1]Calc!$E:$E, MATCH("KminusZ_m", [1]Calc!$C:$C, 0)) - $E56 + $B56) / INDEX([1]Calc!$E:$E, MATCH("L_ramp_m", [1]Calc!$C:$C, 0)))))</f>
        <v>6.0000000000000009</v>
      </c>
      <c r="H56" s="2" t="str">
        <f>IF($E56="","", IF(AND($E56&gt;=INDEX([1]Calc!$E:$E, MATCH("min_fwd_draft_m", [1]Calc!$C:$C, 0)), $E56&lt;=INDEX([1]Calc!$E:$E, MATCH("max_fwd_draft_m", [1]Calc!$C:$C, 0)), $G56&lt;=INDEX([1]Calc!$E:$E, MATCH("theta_max_deg", [1]Calc!$C:$C, 0))), "OK", "CHECK"))</f>
        <v>CHECK</v>
      </c>
      <c r="I56" s="3">
        <f>IF($E56="","", INDEX([1]Calc!$E:$E, MATCH("D_vessel_m", [1]Calc!$C:$C, 0)) - $E56 + $B56)</f>
        <v>1.9112508231881176</v>
      </c>
      <c r="J56" s="3">
        <f>IF($F56="","", INDEX([1]Calc!$E:$E, MATCH("D_vessel_m", [1]Calc!$C:$C, 0)) - $F56 + $B56)</f>
        <v>1.9112508231881176</v>
      </c>
      <c r="K56" s="2" t="str">
        <f t="shared" si="2"/>
        <v>Even Keel</v>
      </c>
    </row>
    <row r="57" spans="1:11" x14ac:dyDescent="0.6">
      <c r="A57" s="2" t="str">
        <f>IF('December_Tide_2025 (2)'!A57="","",'December_Tide_2025 (2)'!A57)</f>
        <v>2025-12-03 07:00:00</v>
      </c>
      <c r="B57" s="3">
        <f>IF('December_Tide_2025 (2)'!B57="","",'December_Tide_2025 (2)'!B57)</f>
        <v>1.92</v>
      </c>
      <c r="C57" s="3">
        <f>IF($A57="","", INDEX([1]Calc!$E:$E, MATCH("KminusZ_m", [1]Calc!$C:$C, 0)) + $B57 - INDEX([1]Calc!$E:$E, MATCH("L_ramp_m", [1]Calc!$C:$C, 0)) * TAN(RADIANS(INDEX([1]Calc!$E:$E, MATCH("theta_max_deg", [1]Calc!$C:$C, 0)))))</f>
        <v>3.6587491768118823</v>
      </c>
      <c r="D57" s="3"/>
      <c r="E57" s="3">
        <f t="shared" si="0"/>
        <v>3.6587491768118823</v>
      </c>
      <c r="F57" s="3">
        <f t="shared" si="1"/>
        <v>3.6587491768118823</v>
      </c>
      <c r="G57" s="3">
        <f>IF($E57="","", DEGREES(ATAN((INDEX([1]Calc!$E:$E, MATCH("KminusZ_m", [1]Calc!$C:$C, 0)) - $E57 + $B57) / INDEX([1]Calc!$E:$E, MATCH("L_ramp_m", [1]Calc!$C:$C, 0)))))</f>
        <v>6.0000000000000009</v>
      </c>
      <c r="H57" s="2" t="str">
        <f>IF($E57="","", IF(AND($E57&gt;=INDEX([1]Calc!$E:$E, MATCH("min_fwd_draft_m", [1]Calc!$C:$C, 0)), $E57&lt;=INDEX([1]Calc!$E:$E, MATCH("max_fwd_draft_m", [1]Calc!$C:$C, 0)), $G57&lt;=INDEX([1]Calc!$E:$E, MATCH("theta_max_deg", [1]Calc!$C:$C, 0))), "OK", "CHECK"))</f>
        <v>CHECK</v>
      </c>
      <c r="I57" s="3">
        <f>IF($E57="","", INDEX([1]Calc!$E:$E, MATCH("D_vessel_m", [1]Calc!$C:$C, 0)) - $E57 + $B57)</f>
        <v>1.9112508231881176</v>
      </c>
      <c r="J57" s="3">
        <f>IF($F57="","", INDEX([1]Calc!$E:$E, MATCH("D_vessel_m", [1]Calc!$C:$C, 0)) - $F57 + $B57)</f>
        <v>1.9112508231881176</v>
      </c>
      <c r="K57" s="2" t="str">
        <f t="shared" si="2"/>
        <v>Even Keel</v>
      </c>
    </row>
    <row r="58" spans="1:11" x14ac:dyDescent="0.6">
      <c r="A58" s="2" t="str">
        <f>IF('December_Tide_2025 (2)'!A58="","",'December_Tide_2025 (2)'!A58)</f>
        <v>2025-12-03 08:00:00</v>
      </c>
      <c r="B58" s="3">
        <f>IF('December_Tide_2025 (2)'!B58="","",'December_Tide_2025 (2)'!B58)</f>
        <v>1.45</v>
      </c>
      <c r="C58" s="3">
        <f>IF($A58="","", INDEX([1]Calc!$E:$E, MATCH("KminusZ_m", [1]Calc!$C:$C, 0)) + $B58 - INDEX([1]Calc!$E:$E, MATCH("L_ramp_m", [1]Calc!$C:$C, 0)) * TAN(RADIANS(INDEX([1]Calc!$E:$E, MATCH("theta_max_deg", [1]Calc!$C:$C, 0)))))</f>
        <v>3.1887491768118825</v>
      </c>
      <c r="D58" s="3"/>
      <c r="E58" s="3">
        <f t="shared" si="0"/>
        <v>3.1887491768118825</v>
      </c>
      <c r="F58" s="3">
        <f t="shared" si="1"/>
        <v>3.1887491768118825</v>
      </c>
      <c r="G58" s="3">
        <f>IF($E58="","", DEGREES(ATAN((INDEX([1]Calc!$E:$E, MATCH("KminusZ_m", [1]Calc!$C:$C, 0)) - $E58 + $B58) / INDEX([1]Calc!$E:$E, MATCH("L_ramp_m", [1]Calc!$C:$C, 0)))))</f>
        <v>6</v>
      </c>
      <c r="H58" s="2" t="str">
        <f>IF($E58="","", IF(AND($E58&gt;=INDEX([1]Calc!$E:$E, MATCH("min_fwd_draft_m", [1]Calc!$C:$C, 0)), $E58&lt;=INDEX([1]Calc!$E:$E, MATCH("max_fwd_draft_m", [1]Calc!$C:$C, 0)), $G58&lt;=INDEX([1]Calc!$E:$E, MATCH("theta_max_deg", [1]Calc!$C:$C, 0))), "OK", "CHECK"))</f>
        <v>OK</v>
      </c>
      <c r="I58" s="3">
        <f>IF($E58="","", INDEX([1]Calc!$E:$E, MATCH("D_vessel_m", [1]Calc!$C:$C, 0)) - $E58 + $B58)</f>
        <v>1.9112508231881173</v>
      </c>
      <c r="J58" s="3">
        <f>IF($F58="","", INDEX([1]Calc!$E:$E, MATCH("D_vessel_m", [1]Calc!$C:$C, 0)) - $F58 + $B58)</f>
        <v>1.9112508231881173</v>
      </c>
      <c r="K58" s="2" t="str">
        <f t="shared" si="2"/>
        <v>Even Keel</v>
      </c>
    </row>
    <row r="59" spans="1:11" x14ac:dyDescent="0.6">
      <c r="A59" s="2" t="str">
        <f>IF('December_Tide_2025 (2)'!A59="","",'December_Tide_2025 (2)'!A59)</f>
        <v>2025-12-03 09:00:00</v>
      </c>
      <c r="B59" s="3">
        <f>IF('December_Tide_2025 (2)'!B59="","",'December_Tide_2025 (2)'!B59)</f>
        <v>1.07</v>
      </c>
      <c r="C59" s="3">
        <f>IF($A59="","", INDEX([1]Calc!$E:$E, MATCH("KminusZ_m", [1]Calc!$C:$C, 0)) + $B59 - INDEX([1]Calc!$E:$E, MATCH("L_ramp_m", [1]Calc!$C:$C, 0)) * TAN(RADIANS(INDEX([1]Calc!$E:$E, MATCH("theta_max_deg", [1]Calc!$C:$C, 0)))))</f>
        <v>2.8087491768118826</v>
      </c>
      <c r="D59" s="3"/>
      <c r="E59" s="3">
        <f t="shared" si="0"/>
        <v>2.8087491768118826</v>
      </c>
      <c r="F59" s="3">
        <f t="shared" si="1"/>
        <v>2.8087491768118826</v>
      </c>
      <c r="G59" s="3">
        <f>IF($E59="","", DEGREES(ATAN((INDEX([1]Calc!$E:$E, MATCH("KminusZ_m", [1]Calc!$C:$C, 0)) - $E59 + $B59) / INDEX([1]Calc!$E:$E, MATCH("L_ramp_m", [1]Calc!$C:$C, 0)))))</f>
        <v>6</v>
      </c>
      <c r="H59" s="2" t="str">
        <f>IF($E59="","", IF(AND($E59&gt;=INDEX([1]Calc!$E:$E, MATCH("min_fwd_draft_m", [1]Calc!$C:$C, 0)), $E59&lt;=INDEX([1]Calc!$E:$E, MATCH("max_fwd_draft_m", [1]Calc!$C:$C, 0)), $G59&lt;=INDEX([1]Calc!$E:$E, MATCH("theta_max_deg", [1]Calc!$C:$C, 0))), "OK", "CHECK"))</f>
        <v>OK</v>
      </c>
      <c r="I59" s="3">
        <f>IF($E59="","", INDEX([1]Calc!$E:$E, MATCH("D_vessel_m", [1]Calc!$C:$C, 0)) - $E59 + $B59)</f>
        <v>1.9112508231881173</v>
      </c>
      <c r="J59" s="3">
        <f>IF($F59="","", INDEX([1]Calc!$E:$E, MATCH("D_vessel_m", [1]Calc!$C:$C, 0)) - $F59 + $B59)</f>
        <v>1.9112508231881173</v>
      </c>
      <c r="K59" s="2" t="str">
        <f t="shared" si="2"/>
        <v>Even Keel</v>
      </c>
    </row>
    <row r="60" spans="1:11" x14ac:dyDescent="0.6">
      <c r="A60" s="2" t="str">
        <f>IF('December_Tide_2025 (2)'!A60="","",'December_Tide_2025 (2)'!A60)</f>
        <v>2025-12-03 10:00:00</v>
      </c>
      <c r="B60" s="3">
        <f>IF('December_Tide_2025 (2)'!B60="","",'December_Tide_2025 (2)'!B60)</f>
        <v>0.88</v>
      </c>
      <c r="C60" s="3">
        <f>IF($A60="","", INDEX([1]Calc!$E:$E, MATCH("KminusZ_m", [1]Calc!$C:$C, 0)) + $B60 - INDEX([1]Calc!$E:$E, MATCH("L_ramp_m", [1]Calc!$C:$C, 0)) * TAN(RADIANS(INDEX([1]Calc!$E:$E, MATCH("theta_max_deg", [1]Calc!$C:$C, 0)))))</f>
        <v>2.6187491768118822</v>
      </c>
      <c r="D60" s="3"/>
      <c r="E60" s="3">
        <f t="shared" si="0"/>
        <v>2.6187491768118822</v>
      </c>
      <c r="F60" s="3">
        <f t="shared" si="1"/>
        <v>2.6187491768118822</v>
      </c>
      <c r="G60" s="3">
        <f>IF($E60="","", DEGREES(ATAN((INDEX([1]Calc!$E:$E, MATCH("KminusZ_m", [1]Calc!$C:$C, 0)) - $E60 + $B60) / INDEX([1]Calc!$E:$E, MATCH("L_ramp_m", [1]Calc!$C:$C, 0)))))</f>
        <v>6.0000000000000009</v>
      </c>
      <c r="H60" s="2" t="str">
        <f>IF($E60="","", IF(AND($E60&gt;=INDEX([1]Calc!$E:$E, MATCH("min_fwd_draft_m", [1]Calc!$C:$C, 0)), $E60&lt;=INDEX([1]Calc!$E:$E, MATCH("max_fwd_draft_m", [1]Calc!$C:$C, 0)), $G60&lt;=INDEX([1]Calc!$E:$E, MATCH("theta_max_deg", [1]Calc!$C:$C, 0))), "OK", "CHECK"))</f>
        <v>OK</v>
      </c>
      <c r="I60" s="3">
        <f>IF($E60="","", INDEX([1]Calc!$E:$E, MATCH("D_vessel_m", [1]Calc!$C:$C, 0)) - $E60 + $B60)</f>
        <v>1.9112508231881176</v>
      </c>
      <c r="J60" s="3">
        <f>IF($F60="","", INDEX([1]Calc!$E:$E, MATCH("D_vessel_m", [1]Calc!$C:$C, 0)) - $F60 + $B60)</f>
        <v>1.9112508231881176</v>
      </c>
      <c r="K60" s="2" t="str">
        <f t="shared" si="2"/>
        <v>Even Keel</v>
      </c>
    </row>
    <row r="61" spans="1:11" x14ac:dyDescent="0.6">
      <c r="A61" s="2" t="str">
        <f>IF('December_Tide_2025 (2)'!A61="","",'December_Tide_2025 (2)'!A61)</f>
        <v>2025-12-03 11:00:00</v>
      </c>
      <c r="B61" s="3">
        <f>IF('December_Tide_2025 (2)'!B61="","",'December_Tide_2025 (2)'!B61)</f>
        <v>0.91</v>
      </c>
      <c r="C61" s="3">
        <f>IF($A61="","", INDEX([1]Calc!$E:$E, MATCH("KminusZ_m", [1]Calc!$C:$C, 0)) + $B61 - INDEX([1]Calc!$E:$E, MATCH("L_ramp_m", [1]Calc!$C:$C, 0)) * TAN(RADIANS(INDEX([1]Calc!$E:$E, MATCH("theta_max_deg", [1]Calc!$C:$C, 0)))))</f>
        <v>2.6487491768118825</v>
      </c>
      <c r="D61" s="3"/>
      <c r="E61" s="3">
        <f t="shared" si="0"/>
        <v>2.6487491768118825</v>
      </c>
      <c r="F61" s="3">
        <f t="shared" si="1"/>
        <v>2.6487491768118825</v>
      </c>
      <c r="G61" s="3">
        <f>IF($E61="","", DEGREES(ATAN((INDEX([1]Calc!$E:$E, MATCH("KminusZ_m", [1]Calc!$C:$C, 0)) - $E61 + $B61) / INDEX([1]Calc!$E:$E, MATCH("L_ramp_m", [1]Calc!$C:$C, 0)))))</f>
        <v>6.0000000000000009</v>
      </c>
      <c r="H61" s="2" t="str">
        <f>IF($E61="","", IF(AND($E61&gt;=INDEX([1]Calc!$E:$E, MATCH("min_fwd_draft_m", [1]Calc!$C:$C, 0)), $E61&lt;=INDEX([1]Calc!$E:$E, MATCH("max_fwd_draft_m", [1]Calc!$C:$C, 0)), $G61&lt;=INDEX([1]Calc!$E:$E, MATCH("theta_max_deg", [1]Calc!$C:$C, 0))), "OK", "CHECK"))</f>
        <v>OK</v>
      </c>
      <c r="I61" s="3">
        <f>IF($E61="","", INDEX([1]Calc!$E:$E, MATCH("D_vessel_m", [1]Calc!$C:$C, 0)) - $E61 + $B61)</f>
        <v>1.9112508231881176</v>
      </c>
      <c r="J61" s="3">
        <f>IF($F61="","", INDEX([1]Calc!$E:$E, MATCH("D_vessel_m", [1]Calc!$C:$C, 0)) - $F61 + $B61)</f>
        <v>1.9112508231881176</v>
      </c>
      <c r="K61" s="2" t="str">
        <f t="shared" si="2"/>
        <v>Even Keel</v>
      </c>
    </row>
    <row r="62" spans="1:11" x14ac:dyDescent="0.6">
      <c r="A62" s="2" t="str">
        <f>IF('December_Tide_2025 (2)'!A62="","",'December_Tide_2025 (2)'!A62)</f>
        <v>2025-12-03 12:00:00</v>
      </c>
      <c r="B62" s="3">
        <f>IF('December_Tide_2025 (2)'!B62="","",'December_Tide_2025 (2)'!B62)</f>
        <v>1.17</v>
      </c>
      <c r="C62" s="3">
        <f>IF($A62="","", INDEX([1]Calc!$E:$E, MATCH("KminusZ_m", [1]Calc!$C:$C, 0)) + $B62 - INDEX([1]Calc!$E:$E, MATCH("L_ramp_m", [1]Calc!$C:$C, 0)) * TAN(RADIANS(INDEX([1]Calc!$E:$E, MATCH("theta_max_deg", [1]Calc!$C:$C, 0)))))</f>
        <v>2.9087491768118823</v>
      </c>
      <c r="D62" s="3"/>
      <c r="E62" s="3">
        <f t="shared" si="0"/>
        <v>2.9087491768118823</v>
      </c>
      <c r="F62" s="3">
        <f t="shared" si="1"/>
        <v>2.9087491768118823</v>
      </c>
      <c r="G62" s="3">
        <f>IF($E62="","", DEGREES(ATAN((INDEX([1]Calc!$E:$E, MATCH("KminusZ_m", [1]Calc!$C:$C, 0)) - $E62 + $B62) / INDEX([1]Calc!$E:$E, MATCH("L_ramp_m", [1]Calc!$C:$C, 0)))))</f>
        <v>6.0000000000000009</v>
      </c>
      <c r="H62" s="2" t="str">
        <f>IF($E62="","", IF(AND($E62&gt;=INDEX([1]Calc!$E:$E, MATCH("min_fwd_draft_m", [1]Calc!$C:$C, 0)), $E62&lt;=INDEX([1]Calc!$E:$E, MATCH("max_fwd_draft_m", [1]Calc!$C:$C, 0)), $G62&lt;=INDEX([1]Calc!$E:$E, MATCH("theta_max_deg", [1]Calc!$C:$C, 0))), "OK", "CHECK"))</f>
        <v>OK</v>
      </c>
      <c r="I62" s="3">
        <f>IF($E62="","", INDEX([1]Calc!$E:$E, MATCH("D_vessel_m", [1]Calc!$C:$C, 0)) - $E62 + $B62)</f>
        <v>1.9112508231881176</v>
      </c>
      <c r="J62" s="3">
        <f>IF($F62="","", INDEX([1]Calc!$E:$E, MATCH("D_vessel_m", [1]Calc!$C:$C, 0)) - $F62 + $B62)</f>
        <v>1.9112508231881176</v>
      </c>
      <c r="K62" s="2" t="str">
        <f t="shared" si="2"/>
        <v>Even Keel</v>
      </c>
    </row>
    <row r="63" spans="1:11" x14ac:dyDescent="0.6">
      <c r="A63" s="2" t="str">
        <f>IF('December_Tide_2025 (2)'!A63="","",'December_Tide_2025 (2)'!A63)</f>
        <v>2025-12-03 13:00:00</v>
      </c>
      <c r="B63" s="3">
        <f>IF('December_Tide_2025 (2)'!B63="","",'December_Tide_2025 (2)'!B63)</f>
        <v>1.59</v>
      </c>
      <c r="C63" s="3">
        <f>IF($A63="","", INDEX([1]Calc!$E:$E, MATCH("KminusZ_m", [1]Calc!$C:$C, 0)) + $B63 - INDEX([1]Calc!$E:$E, MATCH("L_ramp_m", [1]Calc!$C:$C, 0)) * TAN(RADIANS(INDEX([1]Calc!$E:$E, MATCH("theta_max_deg", [1]Calc!$C:$C, 0)))))</f>
        <v>3.3287491768118822</v>
      </c>
      <c r="D63" s="3"/>
      <c r="E63" s="3">
        <f t="shared" si="0"/>
        <v>3.3287491768118822</v>
      </c>
      <c r="F63" s="3">
        <f t="shared" si="1"/>
        <v>3.3287491768118822</v>
      </c>
      <c r="G63" s="3">
        <f>IF($E63="","", DEGREES(ATAN((INDEX([1]Calc!$E:$E, MATCH("KminusZ_m", [1]Calc!$C:$C, 0)) - $E63 + $B63) / INDEX([1]Calc!$E:$E, MATCH("L_ramp_m", [1]Calc!$C:$C, 0)))))</f>
        <v>6.0000000000000009</v>
      </c>
      <c r="H63" s="2" t="str">
        <f>IF($E63="","", IF(AND($E63&gt;=INDEX([1]Calc!$E:$E, MATCH("min_fwd_draft_m", [1]Calc!$C:$C, 0)), $E63&lt;=INDEX([1]Calc!$E:$E, MATCH("max_fwd_draft_m", [1]Calc!$C:$C, 0)), $G63&lt;=INDEX([1]Calc!$E:$E, MATCH("theta_max_deg", [1]Calc!$C:$C, 0))), "OK", "CHECK"))</f>
        <v>OK</v>
      </c>
      <c r="I63" s="3">
        <f>IF($E63="","", INDEX([1]Calc!$E:$E, MATCH("D_vessel_m", [1]Calc!$C:$C, 0)) - $E63 + $B63)</f>
        <v>1.9112508231881178</v>
      </c>
      <c r="J63" s="3">
        <f>IF($F63="","", INDEX([1]Calc!$E:$E, MATCH("D_vessel_m", [1]Calc!$C:$C, 0)) - $F63 + $B63)</f>
        <v>1.9112508231881178</v>
      </c>
      <c r="K63" s="2" t="str">
        <f t="shared" si="2"/>
        <v>Even Keel</v>
      </c>
    </row>
    <row r="64" spans="1:11" x14ac:dyDescent="0.6">
      <c r="A64" s="2" t="str">
        <f>IF('December_Tide_2025 (2)'!A64="","",'December_Tide_2025 (2)'!A64)</f>
        <v>2025-12-03 14:00:00</v>
      </c>
      <c r="B64" s="3">
        <f>IF('December_Tide_2025 (2)'!B64="","",'December_Tide_2025 (2)'!B64)</f>
        <v>2.06</v>
      </c>
      <c r="C64" s="3">
        <f>IF($A64="","", INDEX([1]Calc!$E:$E, MATCH("KminusZ_m", [1]Calc!$C:$C, 0)) + $B64 - INDEX([1]Calc!$E:$E, MATCH("L_ramp_m", [1]Calc!$C:$C, 0)) * TAN(RADIANS(INDEX([1]Calc!$E:$E, MATCH("theta_max_deg", [1]Calc!$C:$C, 0)))))</f>
        <v>3.7987491768118828</v>
      </c>
      <c r="D64" s="3"/>
      <c r="E64" s="3">
        <f t="shared" si="0"/>
        <v>3.7987491768118828</v>
      </c>
      <c r="F64" s="3">
        <f t="shared" si="1"/>
        <v>3.7987491768118828</v>
      </c>
      <c r="G64" s="3">
        <f>IF($E64="","", DEGREES(ATAN((INDEX([1]Calc!$E:$E, MATCH("KminusZ_m", [1]Calc!$C:$C, 0)) - $E64 + $B64) / INDEX([1]Calc!$E:$E, MATCH("L_ramp_m", [1]Calc!$C:$C, 0)))))</f>
        <v>5.9999999999999982</v>
      </c>
      <c r="H64" s="2" t="str">
        <f>IF($E64="","", IF(AND($E64&gt;=INDEX([1]Calc!$E:$E, MATCH("min_fwd_draft_m", [1]Calc!$C:$C, 0)), $E64&lt;=INDEX([1]Calc!$E:$E, MATCH("max_fwd_draft_m", [1]Calc!$C:$C, 0)), $G64&lt;=INDEX([1]Calc!$E:$E, MATCH("theta_max_deg", [1]Calc!$C:$C, 0))), "OK", "CHECK"))</f>
        <v>CHECK</v>
      </c>
      <c r="I64" s="3">
        <f>IF($E64="","", INDEX([1]Calc!$E:$E, MATCH("D_vessel_m", [1]Calc!$C:$C, 0)) - $E64 + $B64)</f>
        <v>1.9112508231881171</v>
      </c>
      <c r="J64" s="3">
        <f>IF($F64="","", INDEX([1]Calc!$E:$E, MATCH("D_vessel_m", [1]Calc!$C:$C, 0)) - $F64 + $B64)</f>
        <v>1.9112508231881171</v>
      </c>
      <c r="K64" s="2" t="str">
        <f t="shared" si="2"/>
        <v>Even Keel</v>
      </c>
    </row>
    <row r="65" spans="1:11" x14ac:dyDescent="0.6">
      <c r="A65" s="2" t="str">
        <f>IF('December_Tide_2025 (2)'!A65="","",'December_Tide_2025 (2)'!A65)</f>
        <v>2025-12-03 15:00:00</v>
      </c>
      <c r="B65" s="3">
        <f>IF('December_Tide_2025 (2)'!B65="","",'December_Tide_2025 (2)'!B65)</f>
        <v>2.46</v>
      </c>
      <c r="C65" s="3">
        <f>IF($A65="","", INDEX([1]Calc!$E:$E, MATCH("KminusZ_m", [1]Calc!$C:$C, 0)) + $B65 - INDEX([1]Calc!$E:$E, MATCH("L_ramp_m", [1]Calc!$C:$C, 0)) * TAN(RADIANS(INDEX([1]Calc!$E:$E, MATCH("theta_max_deg", [1]Calc!$C:$C, 0)))))</f>
        <v>4.1987491768118819</v>
      </c>
      <c r="D65" s="3"/>
      <c r="E65" s="3">
        <f t="shared" si="0"/>
        <v>4.1987491768118819</v>
      </c>
      <c r="F65" s="3">
        <f t="shared" si="1"/>
        <v>4.1987491768118819</v>
      </c>
      <c r="G65" s="3">
        <f>IF($E65="","", DEGREES(ATAN((INDEX([1]Calc!$E:$E, MATCH("KminusZ_m", [1]Calc!$C:$C, 0)) - $E65 + $B65) / INDEX([1]Calc!$E:$E, MATCH("L_ramp_m", [1]Calc!$C:$C, 0)))))</f>
        <v>6.0000000000000027</v>
      </c>
      <c r="H65" s="2" t="str">
        <f>IF($E65="","", IF(AND($E65&gt;=INDEX([1]Calc!$E:$E, MATCH("min_fwd_draft_m", [1]Calc!$C:$C, 0)), $E65&lt;=INDEX([1]Calc!$E:$E, MATCH("max_fwd_draft_m", [1]Calc!$C:$C, 0)), $G65&lt;=INDEX([1]Calc!$E:$E, MATCH("theta_max_deg", [1]Calc!$C:$C, 0))), "OK", "CHECK"))</f>
        <v>CHECK</v>
      </c>
      <c r="I65" s="3">
        <f>IF($E65="","", INDEX([1]Calc!$E:$E, MATCH("D_vessel_m", [1]Calc!$C:$C, 0)) - $E65 + $B65)</f>
        <v>1.911250823188118</v>
      </c>
      <c r="J65" s="3">
        <f>IF($F65="","", INDEX([1]Calc!$E:$E, MATCH("D_vessel_m", [1]Calc!$C:$C, 0)) - $F65 + $B65)</f>
        <v>1.911250823188118</v>
      </c>
      <c r="K65" s="2" t="str">
        <f t="shared" si="2"/>
        <v>Even Keel</v>
      </c>
    </row>
    <row r="66" spans="1:11" x14ac:dyDescent="0.6">
      <c r="A66" s="2" t="str">
        <f>IF('December_Tide_2025 (2)'!A66="","",'December_Tide_2025 (2)'!A66)</f>
        <v>2025-12-03 16:00:00</v>
      </c>
      <c r="B66" s="3">
        <f>IF('December_Tide_2025 (2)'!B66="","",'December_Tide_2025 (2)'!B66)</f>
        <v>2.7</v>
      </c>
      <c r="C66" s="3">
        <f>IF($A66="","", INDEX([1]Calc!$E:$E, MATCH("KminusZ_m", [1]Calc!$C:$C, 0)) + $B66 - INDEX([1]Calc!$E:$E, MATCH("L_ramp_m", [1]Calc!$C:$C, 0)) * TAN(RADIANS(INDEX([1]Calc!$E:$E, MATCH("theta_max_deg", [1]Calc!$C:$C, 0)))))</f>
        <v>4.4387491768118821</v>
      </c>
      <c r="D66" s="3"/>
      <c r="E66" s="3">
        <f t="shared" ref="E66:E129" si="3">IF($C66="","", IF($D66="", $C66, $C66 - $D66/2))</f>
        <v>4.4387491768118821</v>
      </c>
      <c r="F66" s="3">
        <f t="shared" ref="F66:F129" si="4">IF($C66="","", IF($D66="", $C66, $C66 + $D66/2))</f>
        <v>4.4387491768118821</v>
      </c>
      <c r="G66" s="3">
        <f>IF($E66="","", DEGREES(ATAN((INDEX([1]Calc!$E:$E, MATCH("KminusZ_m", [1]Calc!$C:$C, 0)) - $E66 + $B66) / INDEX([1]Calc!$E:$E, MATCH("L_ramp_m", [1]Calc!$C:$C, 0)))))</f>
        <v>6.0000000000000027</v>
      </c>
      <c r="H66" s="2" t="str">
        <f>IF($E66="","", IF(AND($E66&gt;=INDEX([1]Calc!$E:$E, MATCH("min_fwd_draft_m", [1]Calc!$C:$C, 0)), $E66&lt;=INDEX([1]Calc!$E:$E, MATCH("max_fwd_draft_m", [1]Calc!$C:$C, 0)), $G66&lt;=INDEX([1]Calc!$E:$E, MATCH("theta_max_deg", [1]Calc!$C:$C, 0))), "OK", "CHECK"))</f>
        <v>CHECK</v>
      </c>
      <c r="I66" s="3">
        <f>IF($E66="","", INDEX([1]Calc!$E:$E, MATCH("D_vessel_m", [1]Calc!$C:$C, 0)) - $E66 + $B66)</f>
        <v>1.911250823188118</v>
      </c>
      <c r="J66" s="3">
        <f>IF($F66="","", INDEX([1]Calc!$E:$E, MATCH("D_vessel_m", [1]Calc!$C:$C, 0)) - $F66 + $B66)</f>
        <v>1.911250823188118</v>
      </c>
      <c r="K66" s="2" t="str">
        <f t="shared" ref="K66:K129" si="5">IF(D66=0, "Even Keel", "")</f>
        <v>Even Keel</v>
      </c>
    </row>
    <row r="67" spans="1:11" x14ac:dyDescent="0.6">
      <c r="A67" s="2" t="str">
        <f>IF('December_Tide_2025 (2)'!A67="","",'December_Tide_2025 (2)'!A67)</f>
        <v>2025-12-03 17:00:00</v>
      </c>
      <c r="B67" s="3">
        <f>IF('December_Tide_2025 (2)'!B67="","",'December_Tide_2025 (2)'!B67)</f>
        <v>2.71</v>
      </c>
      <c r="C67" s="3">
        <f>IF($A67="","", INDEX([1]Calc!$E:$E, MATCH("KminusZ_m", [1]Calc!$C:$C, 0)) + $B67 - INDEX([1]Calc!$E:$E, MATCH("L_ramp_m", [1]Calc!$C:$C, 0)) * TAN(RADIANS(INDEX([1]Calc!$E:$E, MATCH("theta_max_deg", [1]Calc!$C:$C, 0)))))</f>
        <v>4.4487491768118819</v>
      </c>
      <c r="D67" s="3"/>
      <c r="E67" s="3">
        <f t="shared" si="3"/>
        <v>4.4487491768118819</v>
      </c>
      <c r="F67" s="3">
        <f t="shared" si="4"/>
        <v>4.4487491768118819</v>
      </c>
      <c r="G67" s="3">
        <f>IF($E67="","", DEGREES(ATAN((INDEX([1]Calc!$E:$E, MATCH("KminusZ_m", [1]Calc!$C:$C, 0)) - $E67 + $B67) / INDEX([1]Calc!$E:$E, MATCH("L_ramp_m", [1]Calc!$C:$C, 0)))))</f>
        <v>6.0000000000000027</v>
      </c>
      <c r="H67" s="2" t="str">
        <f>IF($E67="","", IF(AND($E67&gt;=INDEX([1]Calc!$E:$E, MATCH("min_fwd_draft_m", [1]Calc!$C:$C, 0)), $E67&lt;=INDEX([1]Calc!$E:$E, MATCH("max_fwd_draft_m", [1]Calc!$C:$C, 0)), $G67&lt;=INDEX([1]Calc!$E:$E, MATCH("theta_max_deg", [1]Calc!$C:$C, 0))), "OK", "CHECK"))</f>
        <v>CHECK</v>
      </c>
      <c r="I67" s="3">
        <f>IF($E67="","", INDEX([1]Calc!$E:$E, MATCH("D_vessel_m", [1]Calc!$C:$C, 0)) - $E67 + $B67)</f>
        <v>1.911250823188118</v>
      </c>
      <c r="J67" s="3">
        <f>IF($F67="","", INDEX([1]Calc!$E:$E, MATCH("D_vessel_m", [1]Calc!$C:$C, 0)) - $F67 + $B67)</f>
        <v>1.911250823188118</v>
      </c>
      <c r="K67" s="2" t="str">
        <f t="shared" si="5"/>
        <v>Even Keel</v>
      </c>
    </row>
    <row r="68" spans="1:11" x14ac:dyDescent="0.6">
      <c r="A68" s="2" t="str">
        <f>IF('December_Tide_2025 (2)'!A68="","",'December_Tide_2025 (2)'!A68)</f>
        <v>2025-12-03 18:00:00</v>
      </c>
      <c r="B68" s="3">
        <f>IF('December_Tide_2025 (2)'!B68="","",'December_Tide_2025 (2)'!B68)</f>
        <v>2.4900000000000002</v>
      </c>
      <c r="C68" s="3">
        <f>IF($A68="","", INDEX([1]Calc!$E:$E, MATCH("KminusZ_m", [1]Calc!$C:$C, 0)) + $B68 - INDEX([1]Calc!$E:$E, MATCH("L_ramp_m", [1]Calc!$C:$C, 0)) * TAN(RADIANS(INDEX([1]Calc!$E:$E, MATCH("theta_max_deg", [1]Calc!$C:$C, 0)))))</f>
        <v>4.228749176811883</v>
      </c>
      <c r="D68" s="3"/>
      <c r="E68" s="3">
        <f t="shared" si="3"/>
        <v>4.228749176811883</v>
      </c>
      <c r="F68" s="3">
        <f t="shared" si="4"/>
        <v>4.228749176811883</v>
      </c>
      <c r="G68" s="3">
        <f>IF($E68="","", DEGREES(ATAN((INDEX([1]Calc!$E:$E, MATCH("KminusZ_m", [1]Calc!$C:$C, 0)) - $E68 + $B68) / INDEX([1]Calc!$E:$E, MATCH("L_ramp_m", [1]Calc!$C:$C, 0)))))</f>
        <v>5.9999999999999982</v>
      </c>
      <c r="H68" s="2" t="str">
        <f>IF($E68="","", IF(AND($E68&gt;=INDEX([1]Calc!$E:$E, MATCH("min_fwd_draft_m", [1]Calc!$C:$C, 0)), $E68&lt;=INDEX([1]Calc!$E:$E, MATCH("max_fwd_draft_m", [1]Calc!$C:$C, 0)), $G68&lt;=INDEX([1]Calc!$E:$E, MATCH("theta_max_deg", [1]Calc!$C:$C, 0))), "OK", "CHECK"))</f>
        <v>CHECK</v>
      </c>
      <c r="I68" s="3">
        <f>IF($E68="","", INDEX([1]Calc!$E:$E, MATCH("D_vessel_m", [1]Calc!$C:$C, 0)) - $E68 + $B68)</f>
        <v>1.9112508231881171</v>
      </c>
      <c r="J68" s="3">
        <f>IF($F68="","", INDEX([1]Calc!$E:$E, MATCH("D_vessel_m", [1]Calc!$C:$C, 0)) - $F68 + $B68)</f>
        <v>1.9112508231881171</v>
      </c>
      <c r="K68" s="2" t="str">
        <f t="shared" si="5"/>
        <v>Even Keel</v>
      </c>
    </row>
    <row r="69" spans="1:11" x14ac:dyDescent="0.6">
      <c r="A69" s="2" t="str">
        <f>IF('December_Tide_2025 (2)'!A69="","",'December_Tide_2025 (2)'!A69)</f>
        <v>2025-12-03 19:00:00</v>
      </c>
      <c r="B69" s="3">
        <f>IF('December_Tide_2025 (2)'!B69="","",'December_Tide_2025 (2)'!B69)</f>
        <v>2.1</v>
      </c>
      <c r="C69" s="3">
        <f>IF($A69="","", INDEX([1]Calc!$E:$E, MATCH("KminusZ_m", [1]Calc!$C:$C, 0)) + $B69 - INDEX([1]Calc!$E:$E, MATCH("L_ramp_m", [1]Calc!$C:$C, 0)) * TAN(RADIANS(INDEX([1]Calc!$E:$E, MATCH("theta_max_deg", [1]Calc!$C:$C, 0)))))</f>
        <v>3.838749176811882</v>
      </c>
      <c r="D69" s="3"/>
      <c r="E69" s="3">
        <f t="shared" si="3"/>
        <v>3.838749176811882</v>
      </c>
      <c r="F69" s="3">
        <f t="shared" si="4"/>
        <v>3.838749176811882</v>
      </c>
      <c r="G69" s="3">
        <f>IF($E69="","", DEGREES(ATAN((INDEX([1]Calc!$E:$E, MATCH("KminusZ_m", [1]Calc!$C:$C, 0)) - $E69 + $B69) / INDEX([1]Calc!$E:$E, MATCH("L_ramp_m", [1]Calc!$C:$C, 0)))))</f>
        <v>6.0000000000000027</v>
      </c>
      <c r="H69" s="2" t="str">
        <f>IF($E69="","", IF(AND($E69&gt;=INDEX([1]Calc!$E:$E, MATCH("min_fwd_draft_m", [1]Calc!$C:$C, 0)), $E69&lt;=INDEX([1]Calc!$E:$E, MATCH("max_fwd_draft_m", [1]Calc!$C:$C, 0)), $G69&lt;=INDEX([1]Calc!$E:$E, MATCH("theta_max_deg", [1]Calc!$C:$C, 0))), "OK", "CHECK"))</f>
        <v>CHECK</v>
      </c>
      <c r="I69" s="3">
        <f>IF($E69="","", INDEX([1]Calc!$E:$E, MATCH("D_vessel_m", [1]Calc!$C:$C, 0)) - $E69 + $B69)</f>
        <v>1.911250823188118</v>
      </c>
      <c r="J69" s="3">
        <f>IF($F69="","", INDEX([1]Calc!$E:$E, MATCH("D_vessel_m", [1]Calc!$C:$C, 0)) - $F69 + $B69)</f>
        <v>1.911250823188118</v>
      </c>
      <c r="K69" s="2" t="str">
        <f t="shared" si="5"/>
        <v>Even Keel</v>
      </c>
    </row>
    <row r="70" spans="1:11" x14ac:dyDescent="0.6">
      <c r="A70" s="2" t="str">
        <f>IF('December_Tide_2025 (2)'!A70="","",'December_Tide_2025 (2)'!A70)</f>
        <v>2025-12-03 20:00:00</v>
      </c>
      <c r="B70" s="3">
        <f>IF('December_Tide_2025 (2)'!B70="","",'December_Tide_2025 (2)'!B70)</f>
        <v>1.63</v>
      </c>
      <c r="C70" s="3">
        <f>IF($A70="","", INDEX([1]Calc!$E:$E, MATCH("KminusZ_m", [1]Calc!$C:$C, 0)) + $B70 - INDEX([1]Calc!$E:$E, MATCH("L_ramp_m", [1]Calc!$C:$C, 0)) * TAN(RADIANS(INDEX([1]Calc!$E:$E, MATCH("theta_max_deg", [1]Calc!$C:$C, 0)))))</f>
        <v>3.3687491768118822</v>
      </c>
      <c r="D70" s="3"/>
      <c r="E70" s="3">
        <f t="shared" si="3"/>
        <v>3.3687491768118822</v>
      </c>
      <c r="F70" s="3">
        <f t="shared" si="4"/>
        <v>3.3687491768118822</v>
      </c>
      <c r="G70" s="3">
        <f>IF($E70="","", DEGREES(ATAN((INDEX([1]Calc!$E:$E, MATCH("KminusZ_m", [1]Calc!$C:$C, 0)) - $E70 + $B70) / INDEX([1]Calc!$E:$E, MATCH("L_ramp_m", [1]Calc!$C:$C, 0)))))</f>
        <v>6.0000000000000009</v>
      </c>
      <c r="H70" s="2" t="str">
        <f>IF($E70="","", IF(AND($E70&gt;=INDEX([1]Calc!$E:$E, MATCH("min_fwd_draft_m", [1]Calc!$C:$C, 0)), $E70&lt;=INDEX([1]Calc!$E:$E, MATCH("max_fwd_draft_m", [1]Calc!$C:$C, 0)), $G70&lt;=INDEX([1]Calc!$E:$E, MATCH("theta_max_deg", [1]Calc!$C:$C, 0))), "OK", "CHECK"))</f>
        <v>OK</v>
      </c>
      <c r="I70" s="3">
        <f>IF($E70="","", INDEX([1]Calc!$E:$E, MATCH("D_vessel_m", [1]Calc!$C:$C, 0)) - $E70 + $B70)</f>
        <v>1.9112508231881176</v>
      </c>
      <c r="J70" s="3">
        <f>IF($F70="","", INDEX([1]Calc!$E:$E, MATCH("D_vessel_m", [1]Calc!$C:$C, 0)) - $F70 + $B70)</f>
        <v>1.9112508231881176</v>
      </c>
      <c r="K70" s="2" t="str">
        <f t="shared" si="5"/>
        <v>Even Keel</v>
      </c>
    </row>
    <row r="71" spans="1:11" x14ac:dyDescent="0.6">
      <c r="A71" s="2" t="str">
        <f>IF('December_Tide_2025 (2)'!A71="","",'December_Tide_2025 (2)'!A71)</f>
        <v>2025-12-03 21:00:00</v>
      </c>
      <c r="B71" s="3">
        <f>IF('December_Tide_2025 (2)'!B71="","",'December_Tide_2025 (2)'!B71)</f>
        <v>1.21</v>
      </c>
      <c r="C71" s="3">
        <f>IF($A71="","", INDEX([1]Calc!$E:$E, MATCH("KminusZ_m", [1]Calc!$C:$C, 0)) + $B71 - INDEX([1]Calc!$E:$E, MATCH("L_ramp_m", [1]Calc!$C:$C, 0)) * TAN(RADIANS(INDEX([1]Calc!$E:$E, MATCH("theta_max_deg", [1]Calc!$C:$C, 0)))))</f>
        <v>2.9487491768118823</v>
      </c>
      <c r="D71" s="3"/>
      <c r="E71" s="3">
        <f t="shared" si="3"/>
        <v>2.9487491768118823</v>
      </c>
      <c r="F71" s="3">
        <f t="shared" si="4"/>
        <v>2.9487491768118823</v>
      </c>
      <c r="G71" s="3">
        <f>IF($E71="","", DEGREES(ATAN((INDEX([1]Calc!$E:$E, MATCH("KminusZ_m", [1]Calc!$C:$C, 0)) - $E71 + $B71) / INDEX([1]Calc!$E:$E, MATCH("L_ramp_m", [1]Calc!$C:$C, 0)))))</f>
        <v>6.0000000000000009</v>
      </c>
      <c r="H71" s="2" t="str">
        <f>IF($E71="","", IF(AND($E71&gt;=INDEX([1]Calc!$E:$E, MATCH("min_fwd_draft_m", [1]Calc!$C:$C, 0)), $E71&lt;=INDEX([1]Calc!$E:$E, MATCH("max_fwd_draft_m", [1]Calc!$C:$C, 0)), $G71&lt;=INDEX([1]Calc!$E:$E, MATCH("theta_max_deg", [1]Calc!$C:$C, 0))), "OK", "CHECK"))</f>
        <v>OK</v>
      </c>
      <c r="I71" s="3">
        <f>IF($E71="","", INDEX([1]Calc!$E:$E, MATCH("D_vessel_m", [1]Calc!$C:$C, 0)) - $E71 + $B71)</f>
        <v>1.9112508231881176</v>
      </c>
      <c r="J71" s="3">
        <f>IF($F71="","", INDEX([1]Calc!$E:$E, MATCH("D_vessel_m", [1]Calc!$C:$C, 0)) - $F71 + $B71)</f>
        <v>1.9112508231881176</v>
      </c>
      <c r="K71" s="2" t="str">
        <f t="shared" si="5"/>
        <v>Even Keel</v>
      </c>
    </row>
    <row r="72" spans="1:11" x14ac:dyDescent="0.6">
      <c r="A72" s="2" t="str">
        <f>IF('December_Tide_2025 (2)'!A72="","",'December_Tide_2025 (2)'!A72)</f>
        <v>2025-12-03 22:00:00</v>
      </c>
      <c r="B72" s="3">
        <f>IF('December_Tide_2025 (2)'!B72="","",'December_Tide_2025 (2)'!B72)</f>
        <v>0.93</v>
      </c>
      <c r="C72" s="3">
        <f>IF($A72="","", INDEX([1]Calc!$E:$E, MATCH("KminusZ_m", [1]Calc!$C:$C, 0)) + $B72 - INDEX([1]Calc!$E:$E, MATCH("L_ramp_m", [1]Calc!$C:$C, 0)) * TAN(RADIANS(INDEX([1]Calc!$E:$E, MATCH("theta_max_deg", [1]Calc!$C:$C, 0)))))</f>
        <v>2.6687491768118825</v>
      </c>
      <c r="D72" s="3"/>
      <c r="E72" s="3">
        <f t="shared" si="3"/>
        <v>2.6687491768118825</v>
      </c>
      <c r="F72" s="3">
        <f t="shared" si="4"/>
        <v>2.6687491768118825</v>
      </c>
      <c r="G72" s="3">
        <f>IF($E72="","", DEGREES(ATAN((INDEX([1]Calc!$E:$E, MATCH("KminusZ_m", [1]Calc!$C:$C, 0)) - $E72 + $B72) / INDEX([1]Calc!$E:$E, MATCH("L_ramp_m", [1]Calc!$C:$C, 0)))))</f>
        <v>6.0000000000000009</v>
      </c>
      <c r="H72" s="2" t="str">
        <f>IF($E72="","", IF(AND($E72&gt;=INDEX([1]Calc!$E:$E, MATCH("min_fwd_draft_m", [1]Calc!$C:$C, 0)), $E72&lt;=INDEX([1]Calc!$E:$E, MATCH("max_fwd_draft_m", [1]Calc!$C:$C, 0)), $G72&lt;=INDEX([1]Calc!$E:$E, MATCH("theta_max_deg", [1]Calc!$C:$C, 0))), "OK", "CHECK"))</f>
        <v>OK</v>
      </c>
      <c r="I72" s="3">
        <f>IF($E72="","", INDEX([1]Calc!$E:$E, MATCH("D_vessel_m", [1]Calc!$C:$C, 0)) - $E72 + $B72)</f>
        <v>1.9112508231881176</v>
      </c>
      <c r="J72" s="3">
        <f>IF($F72="","", INDEX([1]Calc!$E:$E, MATCH("D_vessel_m", [1]Calc!$C:$C, 0)) - $F72 + $B72)</f>
        <v>1.9112508231881176</v>
      </c>
      <c r="K72" s="2" t="str">
        <f t="shared" si="5"/>
        <v>Even Keel</v>
      </c>
    </row>
    <row r="73" spans="1:11" x14ac:dyDescent="0.6">
      <c r="A73" s="2" t="str">
        <f>IF('December_Tide_2025 (2)'!A73="","",'December_Tide_2025 (2)'!A73)</f>
        <v>2025-12-03 23:00:00</v>
      </c>
      <c r="B73" s="3">
        <f>IF('December_Tide_2025 (2)'!B73="","",'December_Tide_2025 (2)'!B73)</f>
        <v>0.87</v>
      </c>
      <c r="C73" s="3">
        <f>IF($A73="","", INDEX([1]Calc!$E:$E, MATCH("KminusZ_m", [1]Calc!$C:$C, 0)) + $B73 - INDEX([1]Calc!$E:$E, MATCH("L_ramp_m", [1]Calc!$C:$C, 0)) * TAN(RADIANS(INDEX([1]Calc!$E:$E, MATCH("theta_max_deg", [1]Calc!$C:$C, 0)))))</f>
        <v>2.6087491768118825</v>
      </c>
      <c r="D73" s="3"/>
      <c r="E73" s="3">
        <f t="shared" si="3"/>
        <v>2.6087491768118825</v>
      </c>
      <c r="F73" s="3">
        <f t="shared" si="4"/>
        <v>2.6087491768118825</v>
      </c>
      <c r="G73" s="3">
        <f>IF($E73="","", DEGREES(ATAN((INDEX([1]Calc!$E:$E, MATCH("KminusZ_m", [1]Calc!$C:$C, 0)) - $E73 + $B73) / INDEX([1]Calc!$E:$E, MATCH("L_ramp_m", [1]Calc!$C:$C, 0)))))</f>
        <v>6.0000000000000009</v>
      </c>
      <c r="H73" s="2" t="str">
        <f>IF($E73="","", IF(AND($E73&gt;=INDEX([1]Calc!$E:$E, MATCH("min_fwd_draft_m", [1]Calc!$C:$C, 0)), $E73&lt;=INDEX([1]Calc!$E:$E, MATCH("max_fwd_draft_m", [1]Calc!$C:$C, 0)), $G73&lt;=INDEX([1]Calc!$E:$E, MATCH("theta_max_deg", [1]Calc!$C:$C, 0))), "OK", "CHECK"))</f>
        <v>OK</v>
      </c>
      <c r="I73" s="3">
        <f>IF($E73="","", INDEX([1]Calc!$E:$E, MATCH("D_vessel_m", [1]Calc!$C:$C, 0)) - $E73 + $B73)</f>
        <v>1.9112508231881176</v>
      </c>
      <c r="J73" s="3">
        <f>IF($F73="","", INDEX([1]Calc!$E:$E, MATCH("D_vessel_m", [1]Calc!$C:$C, 0)) - $F73 + $B73)</f>
        <v>1.9112508231881176</v>
      </c>
      <c r="K73" s="2" t="str">
        <f t="shared" si="5"/>
        <v>Even Keel</v>
      </c>
    </row>
    <row r="74" spans="1:11" x14ac:dyDescent="0.6">
      <c r="A74" s="2" t="str">
        <f>IF('December_Tide_2025 (2)'!A74="","",'December_Tide_2025 (2)'!A74)</f>
        <v>2025-12-04 00:00:00</v>
      </c>
      <c r="B74" s="3">
        <f>IF('December_Tide_2025 (2)'!B74="","",'December_Tide_2025 (2)'!B74)</f>
        <v>1.05</v>
      </c>
      <c r="C74" s="3">
        <f>IF($A74="","", INDEX([1]Calc!$E:$E, MATCH("KminusZ_m", [1]Calc!$C:$C, 0)) + $B74 - INDEX([1]Calc!$E:$E, MATCH("L_ramp_m", [1]Calc!$C:$C, 0)) * TAN(RADIANS(INDEX([1]Calc!$E:$E, MATCH("theta_max_deg", [1]Calc!$C:$C, 0)))))</f>
        <v>2.7887491768118822</v>
      </c>
      <c r="D74" s="3"/>
      <c r="E74" s="3">
        <f t="shared" si="3"/>
        <v>2.7887491768118822</v>
      </c>
      <c r="F74" s="3">
        <f t="shared" si="4"/>
        <v>2.7887491768118822</v>
      </c>
      <c r="G74" s="3">
        <f>IF($E74="","", DEGREES(ATAN((INDEX([1]Calc!$E:$E, MATCH("KminusZ_m", [1]Calc!$C:$C, 0)) - $E74 + $B74) / INDEX([1]Calc!$E:$E, MATCH("L_ramp_m", [1]Calc!$C:$C, 0)))))</f>
        <v>6.0000000000000009</v>
      </c>
      <c r="H74" s="2" t="str">
        <f>IF($E74="","", IF(AND($E74&gt;=INDEX([1]Calc!$E:$E, MATCH("min_fwd_draft_m", [1]Calc!$C:$C, 0)), $E74&lt;=INDEX([1]Calc!$E:$E, MATCH("max_fwd_draft_m", [1]Calc!$C:$C, 0)), $G74&lt;=INDEX([1]Calc!$E:$E, MATCH("theta_max_deg", [1]Calc!$C:$C, 0))), "OK", "CHECK"))</f>
        <v>OK</v>
      </c>
      <c r="I74" s="3">
        <f>IF($E74="","", INDEX([1]Calc!$E:$E, MATCH("D_vessel_m", [1]Calc!$C:$C, 0)) - $E74 + $B74)</f>
        <v>1.9112508231881178</v>
      </c>
      <c r="J74" s="3">
        <f>IF($F74="","", INDEX([1]Calc!$E:$E, MATCH("D_vessel_m", [1]Calc!$C:$C, 0)) - $F74 + $B74)</f>
        <v>1.9112508231881178</v>
      </c>
      <c r="K74" s="2" t="str">
        <f t="shared" si="5"/>
        <v>Even Keel</v>
      </c>
    </row>
    <row r="75" spans="1:11" x14ac:dyDescent="0.6">
      <c r="A75" s="2" t="str">
        <f>IF('December_Tide_2025 (2)'!A75="","",'December_Tide_2025 (2)'!A75)</f>
        <v>2025-12-04 01:00:00</v>
      </c>
      <c r="B75" s="3">
        <f>IF('December_Tide_2025 (2)'!B75="","",'December_Tide_2025 (2)'!B75)</f>
        <v>1.41</v>
      </c>
      <c r="C75" s="3">
        <f>IF($A75="","", INDEX([1]Calc!$E:$E, MATCH("KminusZ_m", [1]Calc!$C:$C, 0)) + $B75 - INDEX([1]Calc!$E:$E, MATCH("L_ramp_m", [1]Calc!$C:$C, 0)) * TAN(RADIANS(INDEX([1]Calc!$E:$E, MATCH("theta_max_deg", [1]Calc!$C:$C, 0)))))</f>
        <v>3.1487491768118825</v>
      </c>
      <c r="D75" s="3"/>
      <c r="E75" s="3">
        <f t="shared" si="3"/>
        <v>3.1487491768118825</v>
      </c>
      <c r="F75" s="3">
        <f t="shared" si="4"/>
        <v>3.1487491768118825</v>
      </c>
      <c r="G75" s="3">
        <f>IF($E75="","", DEGREES(ATAN((INDEX([1]Calc!$E:$E, MATCH("KminusZ_m", [1]Calc!$C:$C, 0)) - $E75 + $B75) / INDEX([1]Calc!$E:$E, MATCH("L_ramp_m", [1]Calc!$C:$C, 0)))))</f>
        <v>6</v>
      </c>
      <c r="H75" s="2" t="str">
        <f>IF($E75="","", IF(AND($E75&gt;=INDEX([1]Calc!$E:$E, MATCH("min_fwd_draft_m", [1]Calc!$C:$C, 0)), $E75&lt;=INDEX([1]Calc!$E:$E, MATCH("max_fwd_draft_m", [1]Calc!$C:$C, 0)), $G75&lt;=INDEX([1]Calc!$E:$E, MATCH("theta_max_deg", [1]Calc!$C:$C, 0))), "OK", "CHECK"))</f>
        <v>OK</v>
      </c>
      <c r="I75" s="3">
        <f>IF($E75="","", INDEX([1]Calc!$E:$E, MATCH("D_vessel_m", [1]Calc!$C:$C, 0)) - $E75 + $B75)</f>
        <v>1.9112508231881173</v>
      </c>
      <c r="J75" s="3">
        <f>IF($F75="","", INDEX([1]Calc!$E:$E, MATCH("D_vessel_m", [1]Calc!$C:$C, 0)) - $F75 + $B75)</f>
        <v>1.9112508231881173</v>
      </c>
      <c r="K75" s="2" t="str">
        <f t="shared" si="5"/>
        <v>Even Keel</v>
      </c>
    </row>
    <row r="76" spans="1:11" x14ac:dyDescent="0.6">
      <c r="A76" s="2" t="str">
        <f>IF('December_Tide_2025 (2)'!A76="","",'December_Tide_2025 (2)'!A76)</f>
        <v>2025-12-04 02:00:00</v>
      </c>
      <c r="B76" s="3">
        <f>IF('December_Tide_2025 (2)'!B76="","",'December_Tide_2025 (2)'!B76)</f>
        <v>1.87</v>
      </c>
      <c r="C76" s="3">
        <f>IF($A76="","", INDEX([1]Calc!$E:$E, MATCH("KminusZ_m", [1]Calc!$C:$C, 0)) + $B76 - INDEX([1]Calc!$E:$E, MATCH("L_ramp_m", [1]Calc!$C:$C, 0)) * TAN(RADIANS(INDEX([1]Calc!$E:$E, MATCH("theta_max_deg", [1]Calc!$C:$C, 0)))))</f>
        <v>3.6087491768118825</v>
      </c>
      <c r="D76" s="3"/>
      <c r="E76" s="3">
        <f t="shared" si="3"/>
        <v>3.6087491768118825</v>
      </c>
      <c r="F76" s="3">
        <f t="shared" si="4"/>
        <v>3.6087491768118825</v>
      </c>
      <c r="G76" s="3">
        <f>IF($E76="","", DEGREES(ATAN((INDEX([1]Calc!$E:$E, MATCH("KminusZ_m", [1]Calc!$C:$C, 0)) - $E76 + $B76) / INDEX([1]Calc!$E:$E, MATCH("L_ramp_m", [1]Calc!$C:$C, 0)))))</f>
        <v>6.0000000000000009</v>
      </c>
      <c r="H76" s="2" t="str">
        <f>IF($E76="","", IF(AND($E76&gt;=INDEX([1]Calc!$E:$E, MATCH("min_fwd_draft_m", [1]Calc!$C:$C, 0)), $E76&lt;=INDEX([1]Calc!$E:$E, MATCH("max_fwd_draft_m", [1]Calc!$C:$C, 0)), $G76&lt;=INDEX([1]Calc!$E:$E, MATCH("theta_max_deg", [1]Calc!$C:$C, 0))), "OK", "CHECK"))</f>
        <v>CHECK</v>
      </c>
      <c r="I76" s="3">
        <f>IF($E76="","", INDEX([1]Calc!$E:$E, MATCH("D_vessel_m", [1]Calc!$C:$C, 0)) - $E76 + $B76)</f>
        <v>1.9112508231881176</v>
      </c>
      <c r="J76" s="3">
        <f>IF($F76="","", INDEX([1]Calc!$E:$E, MATCH("D_vessel_m", [1]Calc!$C:$C, 0)) - $F76 + $B76)</f>
        <v>1.9112508231881176</v>
      </c>
      <c r="K76" s="2" t="str">
        <f t="shared" si="5"/>
        <v>Even Keel</v>
      </c>
    </row>
    <row r="77" spans="1:11" x14ac:dyDescent="0.6">
      <c r="A77" s="2" t="str">
        <f>IF('December_Tide_2025 (2)'!A77="","",'December_Tide_2025 (2)'!A77)</f>
        <v>2025-12-04 03:00:00</v>
      </c>
      <c r="B77" s="3">
        <f>IF('December_Tide_2025 (2)'!B77="","",'December_Tide_2025 (2)'!B77)</f>
        <v>2.3199999999999998</v>
      </c>
      <c r="C77" s="3">
        <f>IF($A77="","", INDEX([1]Calc!$E:$E, MATCH("KminusZ_m", [1]Calc!$C:$C, 0)) + $B77 - INDEX([1]Calc!$E:$E, MATCH("L_ramp_m", [1]Calc!$C:$C, 0)) * TAN(RADIANS(INDEX([1]Calc!$E:$E, MATCH("theta_max_deg", [1]Calc!$C:$C, 0)))))</f>
        <v>4.0587491768118831</v>
      </c>
      <c r="D77" s="3"/>
      <c r="E77" s="3">
        <f t="shared" si="3"/>
        <v>4.0587491768118831</v>
      </c>
      <c r="F77" s="3">
        <f t="shared" si="4"/>
        <v>4.0587491768118831</v>
      </c>
      <c r="G77" s="3">
        <f>IF($E77="","", DEGREES(ATAN((INDEX([1]Calc!$E:$E, MATCH("KminusZ_m", [1]Calc!$C:$C, 0)) - $E77 + $B77) / INDEX([1]Calc!$E:$E, MATCH("L_ramp_m", [1]Calc!$C:$C, 0)))))</f>
        <v>5.9999999999999964</v>
      </c>
      <c r="H77" s="2" t="str">
        <f>IF($E77="","", IF(AND($E77&gt;=INDEX([1]Calc!$E:$E, MATCH("min_fwd_draft_m", [1]Calc!$C:$C, 0)), $E77&lt;=INDEX([1]Calc!$E:$E, MATCH("max_fwd_draft_m", [1]Calc!$C:$C, 0)), $G77&lt;=INDEX([1]Calc!$E:$E, MATCH("theta_max_deg", [1]Calc!$C:$C, 0))), "OK", "CHECK"))</f>
        <v>CHECK</v>
      </c>
      <c r="I77" s="3">
        <f>IF($E77="","", INDEX([1]Calc!$E:$E, MATCH("D_vessel_m", [1]Calc!$C:$C, 0)) - $E77 + $B77)</f>
        <v>1.9112508231881167</v>
      </c>
      <c r="J77" s="3">
        <f>IF($F77="","", INDEX([1]Calc!$E:$E, MATCH("D_vessel_m", [1]Calc!$C:$C, 0)) - $F77 + $B77)</f>
        <v>1.9112508231881167</v>
      </c>
      <c r="K77" s="2" t="str">
        <f t="shared" si="5"/>
        <v>Even Keel</v>
      </c>
    </row>
    <row r="78" spans="1:11" x14ac:dyDescent="0.6">
      <c r="A78" s="2" t="str">
        <f>IF('December_Tide_2025 (2)'!A78="","",'December_Tide_2025 (2)'!A78)</f>
        <v>2025-12-04 04:00:00</v>
      </c>
      <c r="B78" s="3">
        <f>IF('December_Tide_2025 (2)'!B78="","",'December_Tide_2025 (2)'!B78)</f>
        <v>2.63</v>
      </c>
      <c r="C78" s="3">
        <f>IF($A78="","", INDEX([1]Calc!$E:$E, MATCH("KminusZ_m", [1]Calc!$C:$C, 0)) + $B78 - INDEX([1]Calc!$E:$E, MATCH("L_ramp_m", [1]Calc!$C:$C, 0)) * TAN(RADIANS(INDEX([1]Calc!$E:$E, MATCH("theta_max_deg", [1]Calc!$C:$C, 0)))))</f>
        <v>4.3687491768118818</v>
      </c>
      <c r="D78" s="3"/>
      <c r="E78" s="3">
        <f t="shared" si="3"/>
        <v>4.3687491768118818</v>
      </c>
      <c r="F78" s="3">
        <f t="shared" si="4"/>
        <v>4.3687491768118818</v>
      </c>
      <c r="G78" s="3">
        <f>IF($E78="","", DEGREES(ATAN((INDEX([1]Calc!$E:$E, MATCH("KminusZ_m", [1]Calc!$C:$C, 0)) - $E78 + $B78) / INDEX([1]Calc!$E:$E, MATCH("L_ramp_m", [1]Calc!$C:$C, 0)))))</f>
        <v>6.0000000000000027</v>
      </c>
      <c r="H78" s="2" t="str">
        <f>IF($E78="","", IF(AND($E78&gt;=INDEX([1]Calc!$E:$E, MATCH("min_fwd_draft_m", [1]Calc!$C:$C, 0)), $E78&lt;=INDEX([1]Calc!$E:$E, MATCH("max_fwd_draft_m", [1]Calc!$C:$C, 0)), $G78&lt;=INDEX([1]Calc!$E:$E, MATCH("theta_max_deg", [1]Calc!$C:$C, 0))), "OK", "CHECK"))</f>
        <v>CHECK</v>
      </c>
      <c r="I78" s="3">
        <f>IF($E78="","", INDEX([1]Calc!$E:$E, MATCH("D_vessel_m", [1]Calc!$C:$C, 0)) - $E78 + $B78)</f>
        <v>1.911250823188118</v>
      </c>
      <c r="J78" s="3">
        <f>IF($F78="","", INDEX([1]Calc!$E:$E, MATCH("D_vessel_m", [1]Calc!$C:$C, 0)) - $F78 + $B78)</f>
        <v>1.911250823188118</v>
      </c>
      <c r="K78" s="2" t="str">
        <f t="shared" si="5"/>
        <v>Even Keel</v>
      </c>
    </row>
    <row r="79" spans="1:11" x14ac:dyDescent="0.6">
      <c r="A79" s="2" t="str">
        <f>IF('December_Tide_2025 (2)'!A79="","",'December_Tide_2025 (2)'!A79)</f>
        <v>2025-12-04 05:00:00</v>
      </c>
      <c r="B79" s="3">
        <f>IF('December_Tide_2025 (2)'!B79="","",'December_Tide_2025 (2)'!B79)</f>
        <v>2.74</v>
      </c>
      <c r="C79" s="3">
        <f>IF($A79="","", INDEX([1]Calc!$E:$E, MATCH("KminusZ_m", [1]Calc!$C:$C, 0)) + $B79 - INDEX([1]Calc!$E:$E, MATCH("L_ramp_m", [1]Calc!$C:$C, 0)) * TAN(RADIANS(INDEX([1]Calc!$E:$E, MATCH("theta_max_deg", [1]Calc!$C:$C, 0)))))</f>
        <v>4.478749176811883</v>
      </c>
      <c r="D79" s="3"/>
      <c r="E79" s="3">
        <f t="shared" si="3"/>
        <v>4.478749176811883</v>
      </c>
      <c r="F79" s="3">
        <f t="shared" si="4"/>
        <v>4.478749176811883</v>
      </c>
      <c r="G79" s="3">
        <f>IF($E79="","", DEGREES(ATAN((INDEX([1]Calc!$E:$E, MATCH("KminusZ_m", [1]Calc!$C:$C, 0)) - $E79 + $B79) / INDEX([1]Calc!$E:$E, MATCH("L_ramp_m", [1]Calc!$C:$C, 0)))))</f>
        <v>5.9999999999999982</v>
      </c>
      <c r="H79" s="2" t="str">
        <f>IF($E79="","", IF(AND($E79&gt;=INDEX([1]Calc!$E:$E, MATCH("min_fwd_draft_m", [1]Calc!$C:$C, 0)), $E79&lt;=INDEX([1]Calc!$E:$E, MATCH("max_fwd_draft_m", [1]Calc!$C:$C, 0)), $G79&lt;=INDEX([1]Calc!$E:$E, MATCH("theta_max_deg", [1]Calc!$C:$C, 0))), "OK", "CHECK"))</f>
        <v>CHECK</v>
      </c>
      <c r="I79" s="3">
        <f>IF($E79="","", INDEX([1]Calc!$E:$E, MATCH("D_vessel_m", [1]Calc!$C:$C, 0)) - $E79 + $B79)</f>
        <v>1.9112508231881171</v>
      </c>
      <c r="J79" s="3">
        <f>IF($F79="","", INDEX([1]Calc!$E:$E, MATCH("D_vessel_m", [1]Calc!$C:$C, 0)) - $F79 + $B79)</f>
        <v>1.9112508231881171</v>
      </c>
      <c r="K79" s="2" t="str">
        <f t="shared" si="5"/>
        <v>Even Keel</v>
      </c>
    </row>
    <row r="80" spans="1:11" x14ac:dyDescent="0.6">
      <c r="A80" s="2" t="str">
        <f>IF('December_Tide_2025 (2)'!A80="","",'December_Tide_2025 (2)'!A80)</f>
        <v>2025-12-04 06:00:00</v>
      </c>
      <c r="B80" s="3">
        <f>IF('December_Tide_2025 (2)'!B80="","",'December_Tide_2025 (2)'!B80)</f>
        <v>2.61</v>
      </c>
      <c r="C80" s="3">
        <f>IF($A80="","", INDEX([1]Calc!$E:$E, MATCH("KminusZ_m", [1]Calc!$C:$C, 0)) + $B80 - INDEX([1]Calc!$E:$E, MATCH("L_ramp_m", [1]Calc!$C:$C, 0)) * TAN(RADIANS(INDEX([1]Calc!$E:$E, MATCH("theta_max_deg", [1]Calc!$C:$C, 0)))))</f>
        <v>4.3487491768118822</v>
      </c>
      <c r="D80" s="3"/>
      <c r="E80" s="3">
        <f t="shared" si="3"/>
        <v>4.3487491768118822</v>
      </c>
      <c r="F80" s="3">
        <f t="shared" si="4"/>
        <v>4.3487491768118822</v>
      </c>
      <c r="G80" s="3">
        <f>IF($E80="","", DEGREES(ATAN((INDEX([1]Calc!$E:$E, MATCH("KminusZ_m", [1]Calc!$C:$C, 0)) - $E80 + $B80) / INDEX([1]Calc!$E:$E, MATCH("L_ramp_m", [1]Calc!$C:$C, 0)))))</f>
        <v>6.0000000000000009</v>
      </c>
      <c r="H80" s="2" t="str">
        <f>IF($E80="","", IF(AND($E80&gt;=INDEX([1]Calc!$E:$E, MATCH("min_fwd_draft_m", [1]Calc!$C:$C, 0)), $E80&lt;=INDEX([1]Calc!$E:$E, MATCH("max_fwd_draft_m", [1]Calc!$C:$C, 0)), $G80&lt;=INDEX([1]Calc!$E:$E, MATCH("theta_max_deg", [1]Calc!$C:$C, 0))), "OK", "CHECK"))</f>
        <v>CHECK</v>
      </c>
      <c r="I80" s="3">
        <f>IF($E80="","", INDEX([1]Calc!$E:$E, MATCH("D_vessel_m", [1]Calc!$C:$C, 0)) - $E80 + $B80)</f>
        <v>1.9112508231881176</v>
      </c>
      <c r="J80" s="3">
        <f>IF($F80="","", INDEX([1]Calc!$E:$E, MATCH("D_vessel_m", [1]Calc!$C:$C, 0)) - $F80 + $B80)</f>
        <v>1.9112508231881176</v>
      </c>
      <c r="K80" s="2" t="str">
        <f t="shared" si="5"/>
        <v>Even Keel</v>
      </c>
    </row>
    <row r="81" spans="1:11" x14ac:dyDescent="0.6">
      <c r="A81" s="2" t="str">
        <f>IF('December_Tide_2025 (2)'!A81="","",'December_Tide_2025 (2)'!A81)</f>
        <v>2025-12-04 07:00:00</v>
      </c>
      <c r="B81" s="3">
        <f>IF('December_Tide_2025 (2)'!B81="","",'December_Tide_2025 (2)'!B81)</f>
        <v>2.27</v>
      </c>
      <c r="C81" s="3">
        <f>IF($A81="","", INDEX([1]Calc!$E:$E, MATCH("KminusZ_m", [1]Calc!$C:$C, 0)) + $B81 - INDEX([1]Calc!$E:$E, MATCH("L_ramp_m", [1]Calc!$C:$C, 0)) * TAN(RADIANS(INDEX([1]Calc!$E:$E, MATCH("theta_max_deg", [1]Calc!$C:$C, 0)))))</f>
        <v>4.0087491768118824</v>
      </c>
      <c r="D81" s="3"/>
      <c r="E81" s="3">
        <f t="shared" si="3"/>
        <v>4.0087491768118824</v>
      </c>
      <c r="F81" s="3">
        <f t="shared" si="4"/>
        <v>4.0087491768118824</v>
      </c>
      <c r="G81" s="3">
        <f>IF($E81="","", DEGREES(ATAN((INDEX([1]Calc!$E:$E, MATCH("KminusZ_m", [1]Calc!$C:$C, 0)) - $E81 + $B81) / INDEX([1]Calc!$E:$E, MATCH("L_ramp_m", [1]Calc!$C:$C, 0)))))</f>
        <v>6.0000000000000009</v>
      </c>
      <c r="H81" s="2" t="str">
        <f>IF($E81="","", IF(AND($E81&gt;=INDEX([1]Calc!$E:$E, MATCH("min_fwd_draft_m", [1]Calc!$C:$C, 0)), $E81&lt;=INDEX([1]Calc!$E:$E, MATCH("max_fwd_draft_m", [1]Calc!$C:$C, 0)), $G81&lt;=INDEX([1]Calc!$E:$E, MATCH("theta_max_deg", [1]Calc!$C:$C, 0))), "OK", "CHECK"))</f>
        <v>CHECK</v>
      </c>
      <c r="I81" s="3">
        <f>IF($E81="","", INDEX([1]Calc!$E:$E, MATCH("D_vessel_m", [1]Calc!$C:$C, 0)) - $E81 + $B81)</f>
        <v>1.9112508231881176</v>
      </c>
      <c r="J81" s="3">
        <f>IF($F81="","", INDEX([1]Calc!$E:$E, MATCH("D_vessel_m", [1]Calc!$C:$C, 0)) - $F81 + $B81)</f>
        <v>1.9112508231881176</v>
      </c>
      <c r="K81" s="2" t="str">
        <f t="shared" si="5"/>
        <v>Even Keel</v>
      </c>
    </row>
    <row r="82" spans="1:11" x14ac:dyDescent="0.6">
      <c r="A82" s="2" t="str">
        <f>IF('December_Tide_2025 (2)'!A82="","",'December_Tide_2025 (2)'!A82)</f>
        <v>2025-12-04 08:00:00</v>
      </c>
      <c r="B82" s="3">
        <f>IF('December_Tide_2025 (2)'!B82="","",'December_Tide_2025 (2)'!B82)</f>
        <v>1.82</v>
      </c>
      <c r="C82" s="3">
        <f>IF($A82="","", INDEX([1]Calc!$E:$E, MATCH("KminusZ_m", [1]Calc!$C:$C, 0)) + $B82 - INDEX([1]Calc!$E:$E, MATCH("L_ramp_m", [1]Calc!$C:$C, 0)) * TAN(RADIANS(INDEX([1]Calc!$E:$E, MATCH("theta_max_deg", [1]Calc!$C:$C, 0)))))</f>
        <v>3.5587491768118826</v>
      </c>
      <c r="D82" s="3"/>
      <c r="E82" s="3">
        <f t="shared" si="3"/>
        <v>3.5587491768118826</v>
      </c>
      <c r="F82" s="3">
        <f t="shared" si="4"/>
        <v>3.5587491768118826</v>
      </c>
      <c r="G82" s="3">
        <f>IF($E82="","", DEGREES(ATAN((INDEX([1]Calc!$E:$E, MATCH("KminusZ_m", [1]Calc!$C:$C, 0)) - $E82 + $B82) / INDEX([1]Calc!$E:$E, MATCH("L_ramp_m", [1]Calc!$C:$C, 0)))))</f>
        <v>6</v>
      </c>
      <c r="H82" s="2" t="str">
        <f>IF($E82="","", IF(AND($E82&gt;=INDEX([1]Calc!$E:$E, MATCH("min_fwd_draft_m", [1]Calc!$C:$C, 0)), $E82&lt;=INDEX([1]Calc!$E:$E, MATCH("max_fwd_draft_m", [1]Calc!$C:$C, 0)), $G82&lt;=INDEX([1]Calc!$E:$E, MATCH("theta_max_deg", [1]Calc!$C:$C, 0))), "OK", "CHECK"))</f>
        <v>CHECK</v>
      </c>
      <c r="I82" s="3">
        <f>IF($E82="","", INDEX([1]Calc!$E:$E, MATCH("D_vessel_m", [1]Calc!$C:$C, 0)) - $E82 + $B82)</f>
        <v>1.9112508231881173</v>
      </c>
      <c r="J82" s="3">
        <f>IF($F82="","", INDEX([1]Calc!$E:$E, MATCH("D_vessel_m", [1]Calc!$C:$C, 0)) - $F82 + $B82)</f>
        <v>1.9112508231881173</v>
      </c>
      <c r="K82" s="2" t="str">
        <f t="shared" si="5"/>
        <v>Even Keel</v>
      </c>
    </row>
    <row r="83" spans="1:11" x14ac:dyDescent="0.6">
      <c r="A83" s="2" t="str">
        <f>IF('December_Tide_2025 (2)'!A83="","",'December_Tide_2025 (2)'!A83)</f>
        <v>2025-12-04 09:00:00</v>
      </c>
      <c r="B83" s="3">
        <f>IF('December_Tide_2025 (2)'!B83="","",'December_Tide_2025 (2)'!B83)</f>
        <v>1.36</v>
      </c>
      <c r="C83" s="3">
        <f>IF($A83="","", INDEX([1]Calc!$E:$E, MATCH("KminusZ_m", [1]Calc!$C:$C, 0)) + $B83 - INDEX([1]Calc!$E:$E, MATCH("L_ramp_m", [1]Calc!$C:$C, 0)) * TAN(RADIANS(INDEX([1]Calc!$E:$E, MATCH("theta_max_deg", [1]Calc!$C:$C, 0)))))</f>
        <v>3.0987491768118827</v>
      </c>
      <c r="D83" s="3"/>
      <c r="E83" s="3">
        <f t="shared" si="3"/>
        <v>3.0987491768118827</v>
      </c>
      <c r="F83" s="3">
        <f t="shared" si="4"/>
        <v>3.0987491768118827</v>
      </c>
      <c r="G83" s="3">
        <f>IF($E83="","", DEGREES(ATAN((INDEX([1]Calc!$E:$E, MATCH("KminusZ_m", [1]Calc!$C:$C, 0)) - $E83 + $B83) / INDEX([1]Calc!$E:$E, MATCH("L_ramp_m", [1]Calc!$C:$C, 0)))))</f>
        <v>6</v>
      </c>
      <c r="H83" s="2" t="str">
        <f>IF($E83="","", IF(AND($E83&gt;=INDEX([1]Calc!$E:$E, MATCH("min_fwd_draft_m", [1]Calc!$C:$C, 0)), $E83&lt;=INDEX([1]Calc!$E:$E, MATCH("max_fwd_draft_m", [1]Calc!$C:$C, 0)), $G83&lt;=INDEX([1]Calc!$E:$E, MATCH("theta_max_deg", [1]Calc!$C:$C, 0))), "OK", "CHECK"))</f>
        <v>OK</v>
      </c>
      <c r="I83" s="3">
        <f>IF($E83="","", INDEX([1]Calc!$E:$E, MATCH("D_vessel_m", [1]Calc!$C:$C, 0)) - $E83 + $B83)</f>
        <v>1.9112508231881173</v>
      </c>
      <c r="J83" s="3">
        <f>IF($F83="","", INDEX([1]Calc!$E:$E, MATCH("D_vessel_m", [1]Calc!$C:$C, 0)) - $F83 + $B83)</f>
        <v>1.9112508231881173</v>
      </c>
      <c r="K83" s="2" t="str">
        <f t="shared" si="5"/>
        <v>Even Keel</v>
      </c>
    </row>
    <row r="84" spans="1:11" x14ac:dyDescent="0.6">
      <c r="A84" s="2" t="str">
        <f>IF('December_Tide_2025 (2)'!A84="","",'December_Tide_2025 (2)'!A84)</f>
        <v>2025-12-04 10:00:00</v>
      </c>
      <c r="B84" s="3">
        <f>IF('December_Tide_2025 (2)'!B84="","",'December_Tide_2025 (2)'!B84)</f>
        <v>1.02</v>
      </c>
      <c r="C84" s="3">
        <f>IF($A84="","", INDEX([1]Calc!$E:$E, MATCH("KminusZ_m", [1]Calc!$C:$C, 0)) + $B84 - INDEX([1]Calc!$E:$E, MATCH("L_ramp_m", [1]Calc!$C:$C, 0)) * TAN(RADIANS(INDEX([1]Calc!$E:$E, MATCH("theta_max_deg", [1]Calc!$C:$C, 0)))))</f>
        <v>2.7587491768118819</v>
      </c>
      <c r="D84" s="3"/>
      <c r="E84" s="3">
        <f t="shared" si="3"/>
        <v>2.7587491768118819</v>
      </c>
      <c r="F84" s="3">
        <f t="shared" si="4"/>
        <v>2.7587491768118819</v>
      </c>
      <c r="G84" s="3">
        <f>IF($E84="","", DEGREES(ATAN((INDEX([1]Calc!$E:$E, MATCH("KminusZ_m", [1]Calc!$C:$C, 0)) - $E84 + $B84) / INDEX([1]Calc!$E:$E, MATCH("L_ramp_m", [1]Calc!$C:$C, 0)))))</f>
        <v>6.0000000000000027</v>
      </c>
      <c r="H84" s="2" t="str">
        <f>IF($E84="","", IF(AND($E84&gt;=INDEX([1]Calc!$E:$E, MATCH("min_fwd_draft_m", [1]Calc!$C:$C, 0)), $E84&lt;=INDEX([1]Calc!$E:$E, MATCH("max_fwd_draft_m", [1]Calc!$C:$C, 0)), $G84&lt;=INDEX([1]Calc!$E:$E, MATCH("theta_max_deg", [1]Calc!$C:$C, 0))), "OK", "CHECK"))</f>
        <v>OK</v>
      </c>
      <c r="I84" s="3">
        <f>IF($E84="","", INDEX([1]Calc!$E:$E, MATCH("D_vessel_m", [1]Calc!$C:$C, 0)) - $E84 + $B84)</f>
        <v>1.911250823188118</v>
      </c>
      <c r="J84" s="3">
        <f>IF($F84="","", INDEX([1]Calc!$E:$E, MATCH("D_vessel_m", [1]Calc!$C:$C, 0)) - $F84 + $B84)</f>
        <v>1.911250823188118</v>
      </c>
      <c r="K84" s="2" t="str">
        <f t="shared" si="5"/>
        <v>Even Keel</v>
      </c>
    </row>
    <row r="85" spans="1:11" x14ac:dyDescent="0.6">
      <c r="A85" s="2" t="str">
        <f>IF('December_Tide_2025 (2)'!A85="","",'December_Tide_2025 (2)'!A85)</f>
        <v>2025-12-04 11:00:00</v>
      </c>
      <c r="B85" s="3">
        <f>IF('December_Tide_2025 (2)'!B85="","",'December_Tide_2025 (2)'!B85)</f>
        <v>0.87</v>
      </c>
      <c r="C85" s="3">
        <f>IF($A85="","", INDEX([1]Calc!$E:$E, MATCH("KminusZ_m", [1]Calc!$C:$C, 0)) + $B85 - INDEX([1]Calc!$E:$E, MATCH("L_ramp_m", [1]Calc!$C:$C, 0)) * TAN(RADIANS(INDEX([1]Calc!$E:$E, MATCH("theta_max_deg", [1]Calc!$C:$C, 0)))))</f>
        <v>2.6087491768118825</v>
      </c>
      <c r="D85" s="3"/>
      <c r="E85" s="3">
        <f t="shared" si="3"/>
        <v>2.6087491768118825</v>
      </c>
      <c r="F85" s="3">
        <f t="shared" si="4"/>
        <v>2.6087491768118825</v>
      </c>
      <c r="G85" s="3">
        <f>IF($E85="","", DEGREES(ATAN((INDEX([1]Calc!$E:$E, MATCH("KminusZ_m", [1]Calc!$C:$C, 0)) - $E85 + $B85) / INDEX([1]Calc!$E:$E, MATCH("L_ramp_m", [1]Calc!$C:$C, 0)))))</f>
        <v>6.0000000000000009</v>
      </c>
      <c r="H85" s="2" t="str">
        <f>IF($E85="","", IF(AND($E85&gt;=INDEX([1]Calc!$E:$E, MATCH("min_fwd_draft_m", [1]Calc!$C:$C, 0)), $E85&lt;=INDEX([1]Calc!$E:$E, MATCH("max_fwd_draft_m", [1]Calc!$C:$C, 0)), $G85&lt;=INDEX([1]Calc!$E:$E, MATCH("theta_max_deg", [1]Calc!$C:$C, 0))), "OK", "CHECK"))</f>
        <v>OK</v>
      </c>
      <c r="I85" s="3">
        <f>IF($E85="","", INDEX([1]Calc!$E:$E, MATCH("D_vessel_m", [1]Calc!$C:$C, 0)) - $E85 + $B85)</f>
        <v>1.9112508231881176</v>
      </c>
      <c r="J85" s="3">
        <f>IF($F85="","", INDEX([1]Calc!$E:$E, MATCH("D_vessel_m", [1]Calc!$C:$C, 0)) - $F85 + $B85)</f>
        <v>1.9112508231881176</v>
      </c>
      <c r="K85" s="2" t="str">
        <f t="shared" si="5"/>
        <v>Even Keel</v>
      </c>
    </row>
    <row r="86" spans="1:11" x14ac:dyDescent="0.6">
      <c r="A86" s="2" t="str">
        <f>IF('December_Tide_2025 (2)'!A86="","",'December_Tide_2025 (2)'!A86)</f>
        <v>2025-12-04 12:00:00</v>
      </c>
      <c r="B86" s="3">
        <f>IF('December_Tide_2025 (2)'!B86="","",'December_Tide_2025 (2)'!B86)</f>
        <v>0.95</v>
      </c>
      <c r="C86" s="3">
        <f>IF($A86="","", INDEX([1]Calc!$E:$E, MATCH("KminusZ_m", [1]Calc!$C:$C, 0)) + $B86 - INDEX([1]Calc!$E:$E, MATCH("L_ramp_m", [1]Calc!$C:$C, 0)) * TAN(RADIANS(INDEX([1]Calc!$E:$E, MATCH("theta_max_deg", [1]Calc!$C:$C, 0)))))</f>
        <v>2.6887491768118825</v>
      </c>
      <c r="D86" s="3"/>
      <c r="E86" s="3">
        <f t="shared" si="3"/>
        <v>2.6887491768118825</v>
      </c>
      <c r="F86" s="3">
        <f t="shared" si="4"/>
        <v>2.6887491768118825</v>
      </c>
      <c r="G86" s="3">
        <f>IF($E86="","", DEGREES(ATAN((INDEX([1]Calc!$E:$E, MATCH("KminusZ_m", [1]Calc!$C:$C, 0)) - $E86 + $B86) / INDEX([1]Calc!$E:$E, MATCH("L_ramp_m", [1]Calc!$C:$C, 0)))))</f>
        <v>6</v>
      </c>
      <c r="H86" s="2" t="str">
        <f>IF($E86="","", IF(AND($E86&gt;=INDEX([1]Calc!$E:$E, MATCH("min_fwd_draft_m", [1]Calc!$C:$C, 0)), $E86&lt;=INDEX([1]Calc!$E:$E, MATCH("max_fwd_draft_m", [1]Calc!$C:$C, 0)), $G86&lt;=INDEX([1]Calc!$E:$E, MATCH("theta_max_deg", [1]Calc!$C:$C, 0))), "OK", "CHECK"))</f>
        <v>OK</v>
      </c>
      <c r="I86" s="3">
        <f>IF($E86="","", INDEX([1]Calc!$E:$E, MATCH("D_vessel_m", [1]Calc!$C:$C, 0)) - $E86 + $B86)</f>
        <v>1.9112508231881173</v>
      </c>
      <c r="J86" s="3">
        <f>IF($F86="","", INDEX([1]Calc!$E:$E, MATCH("D_vessel_m", [1]Calc!$C:$C, 0)) - $F86 + $B86)</f>
        <v>1.9112508231881173</v>
      </c>
      <c r="K86" s="2" t="str">
        <f t="shared" si="5"/>
        <v>Even Keel</v>
      </c>
    </row>
    <row r="87" spans="1:11" x14ac:dyDescent="0.6">
      <c r="A87" s="2" t="str">
        <f>IF('December_Tide_2025 (2)'!A87="","",'December_Tide_2025 (2)'!A87)</f>
        <v>2025-12-04 13:00:00</v>
      </c>
      <c r="B87" s="3">
        <f>IF('December_Tide_2025 (2)'!B87="","",'December_Tide_2025 (2)'!B87)</f>
        <v>1.25</v>
      </c>
      <c r="C87" s="3">
        <f>IF($A87="","", INDEX([1]Calc!$E:$E, MATCH("KminusZ_m", [1]Calc!$C:$C, 0)) + $B87 - INDEX([1]Calc!$E:$E, MATCH("L_ramp_m", [1]Calc!$C:$C, 0)) * TAN(RADIANS(INDEX([1]Calc!$E:$E, MATCH("theta_max_deg", [1]Calc!$C:$C, 0)))))</f>
        <v>2.9887491768118823</v>
      </c>
      <c r="D87" s="3"/>
      <c r="E87" s="3">
        <f t="shared" si="3"/>
        <v>2.9887491768118823</v>
      </c>
      <c r="F87" s="3">
        <f t="shared" si="4"/>
        <v>2.9887491768118823</v>
      </c>
      <c r="G87" s="3">
        <f>IF($E87="","", DEGREES(ATAN((INDEX([1]Calc!$E:$E, MATCH("KminusZ_m", [1]Calc!$C:$C, 0)) - $E87 + $B87) / INDEX([1]Calc!$E:$E, MATCH("L_ramp_m", [1]Calc!$C:$C, 0)))))</f>
        <v>6.0000000000000009</v>
      </c>
      <c r="H87" s="2" t="str">
        <f>IF($E87="","", IF(AND($E87&gt;=INDEX([1]Calc!$E:$E, MATCH("min_fwd_draft_m", [1]Calc!$C:$C, 0)), $E87&lt;=INDEX([1]Calc!$E:$E, MATCH("max_fwd_draft_m", [1]Calc!$C:$C, 0)), $G87&lt;=INDEX([1]Calc!$E:$E, MATCH("theta_max_deg", [1]Calc!$C:$C, 0))), "OK", "CHECK"))</f>
        <v>OK</v>
      </c>
      <c r="I87" s="3">
        <f>IF($E87="","", INDEX([1]Calc!$E:$E, MATCH("D_vessel_m", [1]Calc!$C:$C, 0)) - $E87 + $B87)</f>
        <v>1.9112508231881176</v>
      </c>
      <c r="J87" s="3">
        <f>IF($F87="","", INDEX([1]Calc!$E:$E, MATCH("D_vessel_m", [1]Calc!$C:$C, 0)) - $F87 + $B87)</f>
        <v>1.9112508231881176</v>
      </c>
      <c r="K87" s="2" t="str">
        <f t="shared" si="5"/>
        <v>Even Keel</v>
      </c>
    </row>
    <row r="88" spans="1:11" x14ac:dyDescent="0.6">
      <c r="A88" s="2" t="str">
        <f>IF('December_Tide_2025 (2)'!A88="","",'December_Tide_2025 (2)'!A88)</f>
        <v>2025-12-04 14:00:00</v>
      </c>
      <c r="B88" s="3">
        <f>IF('December_Tide_2025 (2)'!B88="","",'December_Tide_2025 (2)'!B88)</f>
        <v>1.68</v>
      </c>
      <c r="C88" s="3">
        <f>IF($A88="","", INDEX([1]Calc!$E:$E, MATCH("KminusZ_m", [1]Calc!$C:$C, 0)) + $B88 - INDEX([1]Calc!$E:$E, MATCH("L_ramp_m", [1]Calc!$C:$C, 0)) * TAN(RADIANS(INDEX([1]Calc!$E:$E, MATCH("theta_max_deg", [1]Calc!$C:$C, 0)))))</f>
        <v>3.4187491768118821</v>
      </c>
      <c r="D88" s="3"/>
      <c r="E88" s="3">
        <f t="shared" si="3"/>
        <v>3.4187491768118821</v>
      </c>
      <c r="F88" s="3">
        <f t="shared" si="4"/>
        <v>3.4187491768118821</v>
      </c>
      <c r="G88" s="3">
        <f>IF($E88="","", DEGREES(ATAN((INDEX([1]Calc!$E:$E, MATCH("KminusZ_m", [1]Calc!$C:$C, 0)) - $E88 + $B88) / INDEX([1]Calc!$E:$E, MATCH("L_ramp_m", [1]Calc!$C:$C, 0)))))</f>
        <v>6.0000000000000009</v>
      </c>
      <c r="H88" s="2" t="str">
        <f>IF($E88="","", IF(AND($E88&gt;=INDEX([1]Calc!$E:$E, MATCH("min_fwd_draft_m", [1]Calc!$C:$C, 0)), $E88&lt;=INDEX([1]Calc!$E:$E, MATCH("max_fwd_draft_m", [1]Calc!$C:$C, 0)), $G88&lt;=INDEX([1]Calc!$E:$E, MATCH("theta_max_deg", [1]Calc!$C:$C, 0))), "OK", "CHECK"))</f>
        <v>OK</v>
      </c>
      <c r="I88" s="3">
        <f>IF($E88="","", INDEX([1]Calc!$E:$E, MATCH("D_vessel_m", [1]Calc!$C:$C, 0)) - $E88 + $B88)</f>
        <v>1.9112508231881178</v>
      </c>
      <c r="J88" s="3">
        <f>IF($F88="","", INDEX([1]Calc!$E:$E, MATCH("D_vessel_m", [1]Calc!$C:$C, 0)) - $F88 + $B88)</f>
        <v>1.9112508231881178</v>
      </c>
      <c r="K88" s="2" t="str">
        <f t="shared" si="5"/>
        <v>Even Keel</v>
      </c>
    </row>
    <row r="89" spans="1:11" x14ac:dyDescent="0.6">
      <c r="A89" s="2" t="str">
        <f>IF('December_Tide_2025 (2)'!A89="","",'December_Tide_2025 (2)'!A89)</f>
        <v>2025-12-04 15:00:00</v>
      </c>
      <c r="B89" s="3">
        <f>IF('December_Tide_2025 (2)'!B89="","",'December_Tide_2025 (2)'!B89)</f>
        <v>2.15</v>
      </c>
      <c r="C89" s="3">
        <f>IF($A89="","", INDEX([1]Calc!$E:$E, MATCH("KminusZ_m", [1]Calc!$C:$C, 0)) + $B89 - INDEX([1]Calc!$E:$E, MATCH("L_ramp_m", [1]Calc!$C:$C, 0)) * TAN(RADIANS(INDEX([1]Calc!$E:$E, MATCH("theta_max_deg", [1]Calc!$C:$C, 0)))))</f>
        <v>3.8887491768118827</v>
      </c>
      <c r="D89" s="3"/>
      <c r="E89" s="3">
        <f t="shared" si="3"/>
        <v>3.8887491768118827</v>
      </c>
      <c r="F89" s="3">
        <f t="shared" si="4"/>
        <v>3.8887491768118827</v>
      </c>
      <c r="G89" s="3">
        <f>IF($E89="","", DEGREES(ATAN((INDEX([1]Calc!$E:$E, MATCH("KminusZ_m", [1]Calc!$C:$C, 0)) - $E89 + $B89) / INDEX([1]Calc!$E:$E, MATCH("L_ramp_m", [1]Calc!$C:$C, 0)))))</f>
        <v>5.9999999999999982</v>
      </c>
      <c r="H89" s="2" t="str">
        <f>IF($E89="","", IF(AND($E89&gt;=INDEX([1]Calc!$E:$E, MATCH("min_fwd_draft_m", [1]Calc!$C:$C, 0)), $E89&lt;=INDEX([1]Calc!$E:$E, MATCH("max_fwd_draft_m", [1]Calc!$C:$C, 0)), $G89&lt;=INDEX([1]Calc!$E:$E, MATCH("theta_max_deg", [1]Calc!$C:$C, 0))), "OK", "CHECK"))</f>
        <v>CHECK</v>
      </c>
      <c r="I89" s="3">
        <f>IF($E89="","", INDEX([1]Calc!$E:$E, MATCH("D_vessel_m", [1]Calc!$C:$C, 0)) - $E89 + $B89)</f>
        <v>1.9112508231881171</v>
      </c>
      <c r="J89" s="3">
        <f>IF($F89="","", INDEX([1]Calc!$E:$E, MATCH("D_vessel_m", [1]Calc!$C:$C, 0)) - $F89 + $B89)</f>
        <v>1.9112508231881171</v>
      </c>
      <c r="K89" s="2" t="str">
        <f t="shared" si="5"/>
        <v>Even Keel</v>
      </c>
    </row>
    <row r="90" spans="1:11" x14ac:dyDescent="0.6">
      <c r="A90" s="2" t="str">
        <f>IF('December_Tide_2025 (2)'!A90="","",'December_Tide_2025 (2)'!A90)</f>
        <v>2025-12-04 16:00:00</v>
      </c>
      <c r="B90" s="3">
        <f>IF('December_Tide_2025 (2)'!B90="","",'December_Tide_2025 (2)'!B90)</f>
        <v>2.5299999999999998</v>
      </c>
      <c r="C90" s="3">
        <f>IF($A90="","", INDEX([1]Calc!$E:$E, MATCH("KminusZ_m", [1]Calc!$C:$C, 0)) + $B90 - INDEX([1]Calc!$E:$E, MATCH("L_ramp_m", [1]Calc!$C:$C, 0)) * TAN(RADIANS(INDEX([1]Calc!$E:$E, MATCH("theta_max_deg", [1]Calc!$C:$C, 0)))))</f>
        <v>4.2687491768118822</v>
      </c>
      <c r="D90" s="3"/>
      <c r="E90" s="3">
        <f t="shared" si="3"/>
        <v>4.2687491768118822</v>
      </c>
      <c r="F90" s="3">
        <f t="shared" si="4"/>
        <v>4.2687491768118822</v>
      </c>
      <c r="G90" s="3">
        <f>IF($E90="","", DEGREES(ATAN((INDEX([1]Calc!$E:$E, MATCH("KminusZ_m", [1]Calc!$C:$C, 0)) - $E90 + $B90) / INDEX([1]Calc!$E:$E, MATCH("L_ramp_m", [1]Calc!$C:$C, 0)))))</f>
        <v>6.0000000000000009</v>
      </c>
      <c r="H90" s="2" t="str">
        <f>IF($E90="","", IF(AND($E90&gt;=INDEX([1]Calc!$E:$E, MATCH("min_fwd_draft_m", [1]Calc!$C:$C, 0)), $E90&lt;=INDEX([1]Calc!$E:$E, MATCH("max_fwd_draft_m", [1]Calc!$C:$C, 0)), $G90&lt;=INDEX([1]Calc!$E:$E, MATCH("theta_max_deg", [1]Calc!$C:$C, 0))), "OK", "CHECK"))</f>
        <v>CHECK</v>
      </c>
      <c r="I90" s="3">
        <f>IF($E90="","", INDEX([1]Calc!$E:$E, MATCH("D_vessel_m", [1]Calc!$C:$C, 0)) - $E90 + $B90)</f>
        <v>1.9112508231881176</v>
      </c>
      <c r="J90" s="3">
        <f>IF($F90="","", INDEX([1]Calc!$E:$E, MATCH("D_vessel_m", [1]Calc!$C:$C, 0)) - $F90 + $B90)</f>
        <v>1.9112508231881176</v>
      </c>
      <c r="K90" s="2" t="str">
        <f t="shared" si="5"/>
        <v>Even Keel</v>
      </c>
    </row>
    <row r="91" spans="1:11" x14ac:dyDescent="0.6">
      <c r="A91" s="2" t="str">
        <f>IF('December_Tide_2025 (2)'!A91="","",'December_Tide_2025 (2)'!A91)</f>
        <v>2025-12-04 17:00:00</v>
      </c>
      <c r="B91" s="3">
        <f>IF('December_Tide_2025 (2)'!B91="","",'December_Tide_2025 (2)'!B91)</f>
        <v>2.72</v>
      </c>
      <c r="C91" s="3">
        <f>IF($A91="","", INDEX([1]Calc!$E:$E, MATCH("KminusZ_m", [1]Calc!$C:$C, 0)) + $B91 - INDEX([1]Calc!$E:$E, MATCH("L_ramp_m", [1]Calc!$C:$C, 0)) * TAN(RADIANS(INDEX([1]Calc!$E:$E, MATCH("theta_max_deg", [1]Calc!$C:$C, 0)))))</f>
        <v>4.4587491768118834</v>
      </c>
      <c r="D91" s="3"/>
      <c r="E91" s="3">
        <f t="shared" si="3"/>
        <v>4.4587491768118834</v>
      </c>
      <c r="F91" s="3">
        <f t="shared" si="4"/>
        <v>4.4587491768118834</v>
      </c>
      <c r="G91" s="3">
        <f>IF($E91="","", DEGREES(ATAN((INDEX([1]Calc!$E:$E, MATCH("KminusZ_m", [1]Calc!$C:$C, 0)) - $E91 + $B91) / INDEX([1]Calc!$E:$E, MATCH("L_ramp_m", [1]Calc!$C:$C, 0)))))</f>
        <v>5.9999999999999964</v>
      </c>
      <c r="H91" s="2" t="str">
        <f>IF($E91="","", IF(AND($E91&gt;=INDEX([1]Calc!$E:$E, MATCH("min_fwd_draft_m", [1]Calc!$C:$C, 0)), $E91&lt;=INDEX([1]Calc!$E:$E, MATCH("max_fwd_draft_m", [1]Calc!$C:$C, 0)), $G91&lt;=INDEX([1]Calc!$E:$E, MATCH("theta_max_deg", [1]Calc!$C:$C, 0))), "OK", "CHECK"))</f>
        <v>CHECK</v>
      </c>
      <c r="I91" s="3">
        <f>IF($E91="","", INDEX([1]Calc!$E:$E, MATCH("D_vessel_m", [1]Calc!$C:$C, 0)) - $E91 + $B91)</f>
        <v>1.9112508231881167</v>
      </c>
      <c r="J91" s="3">
        <f>IF($F91="","", INDEX([1]Calc!$E:$E, MATCH("D_vessel_m", [1]Calc!$C:$C, 0)) - $F91 + $B91)</f>
        <v>1.9112508231881167</v>
      </c>
      <c r="K91" s="2" t="str">
        <f t="shared" si="5"/>
        <v>Even Keel</v>
      </c>
    </row>
    <row r="92" spans="1:11" x14ac:dyDescent="0.6">
      <c r="A92" s="2" t="str">
        <f>IF('December_Tide_2025 (2)'!A92="","",'December_Tide_2025 (2)'!A92)</f>
        <v>2025-12-04 18:00:00</v>
      </c>
      <c r="B92" s="3">
        <f>IF('December_Tide_2025 (2)'!B92="","",'December_Tide_2025 (2)'!B92)</f>
        <v>2.69</v>
      </c>
      <c r="C92" s="3">
        <f>IF($A92="","", INDEX([1]Calc!$E:$E, MATCH("KminusZ_m", [1]Calc!$C:$C, 0)) + $B92 - INDEX([1]Calc!$E:$E, MATCH("L_ramp_m", [1]Calc!$C:$C, 0)) * TAN(RADIANS(INDEX([1]Calc!$E:$E, MATCH("theta_max_deg", [1]Calc!$C:$C, 0)))))</f>
        <v>4.4287491768118823</v>
      </c>
      <c r="D92" s="3"/>
      <c r="E92" s="3">
        <f t="shared" si="3"/>
        <v>4.4287491768118823</v>
      </c>
      <c r="F92" s="3">
        <f t="shared" si="4"/>
        <v>4.4287491768118823</v>
      </c>
      <c r="G92" s="3">
        <f>IF($E92="","", DEGREES(ATAN((INDEX([1]Calc!$E:$E, MATCH("KminusZ_m", [1]Calc!$C:$C, 0)) - $E92 + $B92) / INDEX([1]Calc!$E:$E, MATCH("L_ramp_m", [1]Calc!$C:$C, 0)))))</f>
        <v>6.0000000000000009</v>
      </c>
      <c r="H92" s="2" t="str">
        <f>IF($E92="","", IF(AND($E92&gt;=INDEX([1]Calc!$E:$E, MATCH("min_fwd_draft_m", [1]Calc!$C:$C, 0)), $E92&lt;=INDEX([1]Calc!$E:$E, MATCH("max_fwd_draft_m", [1]Calc!$C:$C, 0)), $G92&lt;=INDEX([1]Calc!$E:$E, MATCH("theta_max_deg", [1]Calc!$C:$C, 0))), "OK", "CHECK"))</f>
        <v>CHECK</v>
      </c>
      <c r="I92" s="3">
        <f>IF($E92="","", INDEX([1]Calc!$E:$E, MATCH("D_vessel_m", [1]Calc!$C:$C, 0)) - $E92 + $B92)</f>
        <v>1.9112508231881176</v>
      </c>
      <c r="J92" s="3">
        <f>IF($F92="","", INDEX([1]Calc!$E:$E, MATCH("D_vessel_m", [1]Calc!$C:$C, 0)) - $F92 + $B92)</f>
        <v>1.9112508231881176</v>
      </c>
      <c r="K92" s="2" t="str">
        <f t="shared" si="5"/>
        <v>Even Keel</v>
      </c>
    </row>
    <row r="93" spans="1:11" x14ac:dyDescent="0.6">
      <c r="A93" s="2" t="str">
        <f>IF('December_Tide_2025 (2)'!A93="","",'December_Tide_2025 (2)'!A93)</f>
        <v>2025-12-04 19:00:00</v>
      </c>
      <c r="B93" s="3">
        <f>IF('December_Tide_2025 (2)'!B93="","",'December_Tide_2025 (2)'!B93)</f>
        <v>2.4300000000000002</v>
      </c>
      <c r="C93" s="3">
        <f>IF($A93="","", INDEX([1]Calc!$E:$E, MATCH("KminusZ_m", [1]Calc!$C:$C, 0)) + $B93 - INDEX([1]Calc!$E:$E, MATCH("L_ramp_m", [1]Calc!$C:$C, 0)) * TAN(RADIANS(INDEX([1]Calc!$E:$E, MATCH("theta_max_deg", [1]Calc!$C:$C, 0)))))</f>
        <v>4.1687491768118825</v>
      </c>
      <c r="D93" s="3"/>
      <c r="E93" s="3">
        <f t="shared" si="3"/>
        <v>4.1687491768118825</v>
      </c>
      <c r="F93" s="3">
        <f t="shared" si="4"/>
        <v>4.1687491768118825</v>
      </c>
      <c r="G93" s="3">
        <f>IF($E93="","", DEGREES(ATAN((INDEX([1]Calc!$E:$E, MATCH("KminusZ_m", [1]Calc!$C:$C, 0)) - $E93 + $B93) / INDEX([1]Calc!$E:$E, MATCH("L_ramp_m", [1]Calc!$C:$C, 0)))))</f>
        <v>6.0000000000000009</v>
      </c>
      <c r="H93" s="2" t="str">
        <f>IF($E93="","", IF(AND($E93&gt;=INDEX([1]Calc!$E:$E, MATCH("min_fwd_draft_m", [1]Calc!$C:$C, 0)), $E93&lt;=INDEX([1]Calc!$E:$E, MATCH("max_fwd_draft_m", [1]Calc!$C:$C, 0)), $G93&lt;=INDEX([1]Calc!$E:$E, MATCH("theta_max_deg", [1]Calc!$C:$C, 0))), "OK", "CHECK"))</f>
        <v>CHECK</v>
      </c>
      <c r="I93" s="3">
        <f>IF($E93="","", INDEX([1]Calc!$E:$E, MATCH("D_vessel_m", [1]Calc!$C:$C, 0)) - $E93 + $B93)</f>
        <v>1.9112508231881176</v>
      </c>
      <c r="J93" s="3">
        <f>IF($F93="","", INDEX([1]Calc!$E:$E, MATCH("D_vessel_m", [1]Calc!$C:$C, 0)) - $F93 + $B93)</f>
        <v>1.9112508231881176</v>
      </c>
      <c r="K93" s="2" t="str">
        <f t="shared" si="5"/>
        <v>Even Keel</v>
      </c>
    </row>
    <row r="94" spans="1:11" x14ac:dyDescent="0.6">
      <c r="A94" s="2" t="str">
        <f>IF('December_Tide_2025 (2)'!A94="","",'December_Tide_2025 (2)'!A94)</f>
        <v>2025-12-04 20:00:00</v>
      </c>
      <c r="B94" s="3">
        <f>IF('December_Tide_2025 (2)'!B94="","",'December_Tide_2025 (2)'!B94)</f>
        <v>2.0099999999999998</v>
      </c>
      <c r="C94" s="3">
        <f>IF($A94="","", INDEX([1]Calc!$E:$E, MATCH("KminusZ_m", [1]Calc!$C:$C, 0)) + $B94 - INDEX([1]Calc!$E:$E, MATCH("L_ramp_m", [1]Calc!$C:$C, 0)) * TAN(RADIANS(INDEX([1]Calc!$E:$E, MATCH("theta_max_deg", [1]Calc!$C:$C, 0)))))</f>
        <v>3.7487491768118821</v>
      </c>
      <c r="D94" s="3"/>
      <c r="E94" s="3">
        <f t="shared" si="3"/>
        <v>3.7487491768118821</v>
      </c>
      <c r="F94" s="3">
        <f t="shared" si="4"/>
        <v>3.7487491768118821</v>
      </c>
      <c r="G94" s="3">
        <f>IF($E94="","", DEGREES(ATAN((INDEX([1]Calc!$E:$E, MATCH("KminusZ_m", [1]Calc!$C:$C, 0)) - $E94 + $B94) / INDEX([1]Calc!$E:$E, MATCH("L_ramp_m", [1]Calc!$C:$C, 0)))))</f>
        <v>6.0000000000000009</v>
      </c>
      <c r="H94" s="2" t="str">
        <f>IF($E94="","", IF(AND($E94&gt;=INDEX([1]Calc!$E:$E, MATCH("min_fwd_draft_m", [1]Calc!$C:$C, 0)), $E94&lt;=INDEX([1]Calc!$E:$E, MATCH("max_fwd_draft_m", [1]Calc!$C:$C, 0)), $G94&lt;=INDEX([1]Calc!$E:$E, MATCH("theta_max_deg", [1]Calc!$C:$C, 0))), "OK", "CHECK"))</f>
        <v>CHECK</v>
      </c>
      <c r="I94" s="3">
        <f>IF($E94="","", INDEX([1]Calc!$E:$E, MATCH("D_vessel_m", [1]Calc!$C:$C, 0)) - $E94 + $B94)</f>
        <v>1.9112508231881176</v>
      </c>
      <c r="J94" s="3">
        <f>IF($F94="","", INDEX([1]Calc!$E:$E, MATCH("D_vessel_m", [1]Calc!$C:$C, 0)) - $F94 + $B94)</f>
        <v>1.9112508231881176</v>
      </c>
      <c r="K94" s="2" t="str">
        <f t="shared" si="5"/>
        <v>Even Keel</v>
      </c>
    </row>
    <row r="95" spans="1:11" x14ac:dyDescent="0.6">
      <c r="A95" s="2" t="str">
        <f>IF('December_Tide_2025 (2)'!A95="","",'December_Tide_2025 (2)'!A95)</f>
        <v>2025-12-04 21:00:00</v>
      </c>
      <c r="B95" s="3">
        <f>IF('December_Tide_2025 (2)'!B95="","",'December_Tide_2025 (2)'!B95)</f>
        <v>1.54</v>
      </c>
      <c r="C95" s="3">
        <f>IF($A95="","", INDEX([1]Calc!$E:$E, MATCH("KminusZ_m", [1]Calc!$C:$C, 0)) + $B95 - INDEX([1]Calc!$E:$E, MATCH("L_ramp_m", [1]Calc!$C:$C, 0)) * TAN(RADIANS(INDEX([1]Calc!$E:$E, MATCH("theta_max_deg", [1]Calc!$C:$C, 0)))))</f>
        <v>3.2787491768118824</v>
      </c>
      <c r="D95" s="3"/>
      <c r="E95" s="3">
        <f t="shared" si="3"/>
        <v>3.2787491768118824</v>
      </c>
      <c r="F95" s="3">
        <f t="shared" si="4"/>
        <v>3.2787491768118824</v>
      </c>
      <c r="G95" s="3">
        <f>IF($E95="","", DEGREES(ATAN((INDEX([1]Calc!$E:$E, MATCH("KminusZ_m", [1]Calc!$C:$C, 0)) - $E95 + $B95) / INDEX([1]Calc!$E:$E, MATCH("L_ramp_m", [1]Calc!$C:$C, 0)))))</f>
        <v>6.0000000000000009</v>
      </c>
      <c r="H95" s="2" t="str">
        <f>IF($E95="","", IF(AND($E95&gt;=INDEX([1]Calc!$E:$E, MATCH("min_fwd_draft_m", [1]Calc!$C:$C, 0)), $E95&lt;=INDEX([1]Calc!$E:$E, MATCH("max_fwd_draft_m", [1]Calc!$C:$C, 0)), $G95&lt;=INDEX([1]Calc!$E:$E, MATCH("theta_max_deg", [1]Calc!$C:$C, 0))), "OK", "CHECK"))</f>
        <v>OK</v>
      </c>
      <c r="I95" s="3">
        <f>IF($E95="","", INDEX([1]Calc!$E:$E, MATCH("D_vessel_m", [1]Calc!$C:$C, 0)) - $E95 + $B95)</f>
        <v>1.9112508231881176</v>
      </c>
      <c r="J95" s="3">
        <f>IF($F95="","", INDEX([1]Calc!$E:$E, MATCH("D_vessel_m", [1]Calc!$C:$C, 0)) - $F95 + $B95)</f>
        <v>1.9112508231881176</v>
      </c>
      <c r="K95" s="2" t="str">
        <f t="shared" si="5"/>
        <v>Even Keel</v>
      </c>
    </row>
    <row r="96" spans="1:11" x14ac:dyDescent="0.6">
      <c r="A96" s="2" t="str">
        <f>IF('December_Tide_2025 (2)'!A96="","",'December_Tide_2025 (2)'!A96)</f>
        <v>2025-12-04 22:00:00</v>
      </c>
      <c r="B96" s="3">
        <f>IF('December_Tide_2025 (2)'!B96="","",'December_Tide_2025 (2)'!B96)</f>
        <v>1.1399999999999999</v>
      </c>
      <c r="C96" s="3">
        <f>IF($A96="","", INDEX([1]Calc!$E:$E, MATCH("KminusZ_m", [1]Calc!$C:$C, 0)) + $B96 - INDEX([1]Calc!$E:$E, MATCH("L_ramp_m", [1]Calc!$C:$C, 0)) * TAN(RADIANS(INDEX([1]Calc!$E:$E, MATCH("theta_max_deg", [1]Calc!$C:$C, 0)))))</f>
        <v>2.878749176811882</v>
      </c>
      <c r="D96" s="3"/>
      <c r="E96" s="3">
        <f t="shared" si="3"/>
        <v>2.878749176811882</v>
      </c>
      <c r="F96" s="3">
        <f t="shared" si="4"/>
        <v>2.878749176811882</v>
      </c>
      <c r="G96" s="3">
        <f>IF($E96="","", DEGREES(ATAN((INDEX([1]Calc!$E:$E, MATCH("KminusZ_m", [1]Calc!$C:$C, 0)) - $E96 + $B96) / INDEX([1]Calc!$E:$E, MATCH("L_ramp_m", [1]Calc!$C:$C, 0)))))</f>
        <v>6.0000000000000009</v>
      </c>
      <c r="H96" s="2" t="str">
        <f>IF($E96="","", IF(AND($E96&gt;=INDEX([1]Calc!$E:$E, MATCH("min_fwd_draft_m", [1]Calc!$C:$C, 0)), $E96&lt;=INDEX([1]Calc!$E:$E, MATCH("max_fwd_draft_m", [1]Calc!$C:$C, 0)), $G96&lt;=INDEX([1]Calc!$E:$E, MATCH("theta_max_deg", [1]Calc!$C:$C, 0))), "OK", "CHECK"))</f>
        <v>OK</v>
      </c>
      <c r="I96" s="3">
        <f>IF($E96="","", INDEX([1]Calc!$E:$E, MATCH("D_vessel_m", [1]Calc!$C:$C, 0)) - $E96 + $B96)</f>
        <v>1.9112508231881178</v>
      </c>
      <c r="J96" s="3">
        <f>IF($F96="","", INDEX([1]Calc!$E:$E, MATCH("D_vessel_m", [1]Calc!$C:$C, 0)) - $F96 + $B96)</f>
        <v>1.9112508231881178</v>
      </c>
      <c r="K96" s="2" t="str">
        <f t="shared" si="5"/>
        <v>Even Keel</v>
      </c>
    </row>
    <row r="97" spans="1:11" x14ac:dyDescent="0.6">
      <c r="A97" s="2" t="str">
        <f>IF('December_Tide_2025 (2)'!A97="","",'December_Tide_2025 (2)'!A97)</f>
        <v>2025-12-04 23:00:00</v>
      </c>
      <c r="B97" s="3">
        <f>IF('December_Tide_2025 (2)'!B97="","",'December_Tide_2025 (2)'!B97)</f>
        <v>0.9</v>
      </c>
      <c r="C97" s="3">
        <f>IF($A97="","", INDEX([1]Calc!$E:$E, MATCH("KminusZ_m", [1]Calc!$C:$C, 0)) + $B97 - INDEX([1]Calc!$E:$E, MATCH("L_ramp_m", [1]Calc!$C:$C, 0)) * TAN(RADIANS(INDEX([1]Calc!$E:$E, MATCH("theta_max_deg", [1]Calc!$C:$C, 0)))))</f>
        <v>2.6387491768118823</v>
      </c>
      <c r="D97" s="3"/>
      <c r="E97" s="3">
        <f t="shared" si="3"/>
        <v>2.6387491768118823</v>
      </c>
      <c r="F97" s="3">
        <f t="shared" si="4"/>
        <v>2.6387491768118823</v>
      </c>
      <c r="G97" s="3">
        <f>IF($E97="","", DEGREES(ATAN((INDEX([1]Calc!$E:$E, MATCH("KminusZ_m", [1]Calc!$C:$C, 0)) - $E97 + $B97) / INDEX([1]Calc!$E:$E, MATCH("L_ramp_m", [1]Calc!$C:$C, 0)))))</f>
        <v>6.0000000000000009</v>
      </c>
      <c r="H97" s="2" t="str">
        <f>IF($E97="","", IF(AND($E97&gt;=INDEX([1]Calc!$E:$E, MATCH("min_fwd_draft_m", [1]Calc!$C:$C, 0)), $E97&lt;=INDEX([1]Calc!$E:$E, MATCH("max_fwd_draft_m", [1]Calc!$C:$C, 0)), $G97&lt;=INDEX([1]Calc!$E:$E, MATCH("theta_max_deg", [1]Calc!$C:$C, 0))), "OK", "CHECK"))</f>
        <v>OK</v>
      </c>
      <c r="I97" s="3">
        <f>IF($E97="","", INDEX([1]Calc!$E:$E, MATCH("D_vessel_m", [1]Calc!$C:$C, 0)) - $E97 + $B97)</f>
        <v>1.9112508231881176</v>
      </c>
      <c r="J97" s="3">
        <f>IF($F97="","", INDEX([1]Calc!$E:$E, MATCH("D_vessel_m", [1]Calc!$C:$C, 0)) - $F97 + $B97)</f>
        <v>1.9112508231881176</v>
      </c>
      <c r="K97" s="2" t="str">
        <f t="shared" si="5"/>
        <v>Even Keel</v>
      </c>
    </row>
    <row r="98" spans="1:11" x14ac:dyDescent="0.6">
      <c r="A98" s="2" t="str">
        <f>IF('December_Tide_2025 (2)'!A98="","",'December_Tide_2025 (2)'!A98)</f>
        <v>2025-12-05 00:00:00</v>
      </c>
      <c r="B98" s="3">
        <f>IF('December_Tide_2025 (2)'!B98="","",'December_Tide_2025 (2)'!B98)</f>
        <v>0.89</v>
      </c>
      <c r="C98" s="3">
        <f>IF($A98="","", INDEX([1]Calc!$E:$E, MATCH("KminusZ_m", [1]Calc!$C:$C, 0)) + $B98 - INDEX([1]Calc!$E:$E, MATCH("L_ramp_m", [1]Calc!$C:$C, 0)) * TAN(RADIANS(INDEX([1]Calc!$E:$E, MATCH("theta_max_deg", [1]Calc!$C:$C, 0)))))</f>
        <v>2.6287491768118825</v>
      </c>
      <c r="D98" s="3"/>
      <c r="E98" s="3">
        <f t="shared" si="3"/>
        <v>2.6287491768118825</v>
      </c>
      <c r="F98" s="3">
        <f t="shared" si="4"/>
        <v>2.6287491768118825</v>
      </c>
      <c r="G98" s="3">
        <f>IF($E98="","", DEGREES(ATAN((INDEX([1]Calc!$E:$E, MATCH("KminusZ_m", [1]Calc!$C:$C, 0)) - $E98 + $B98) / INDEX([1]Calc!$E:$E, MATCH("L_ramp_m", [1]Calc!$C:$C, 0)))))</f>
        <v>6.0000000000000009</v>
      </c>
      <c r="H98" s="2" t="str">
        <f>IF($E98="","", IF(AND($E98&gt;=INDEX([1]Calc!$E:$E, MATCH("min_fwd_draft_m", [1]Calc!$C:$C, 0)), $E98&lt;=INDEX([1]Calc!$E:$E, MATCH("max_fwd_draft_m", [1]Calc!$C:$C, 0)), $G98&lt;=INDEX([1]Calc!$E:$E, MATCH("theta_max_deg", [1]Calc!$C:$C, 0))), "OK", "CHECK"))</f>
        <v>OK</v>
      </c>
      <c r="I98" s="3">
        <f>IF($E98="","", INDEX([1]Calc!$E:$E, MATCH("D_vessel_m", [1]Calc!$C:$C, 0)) - $E98 + $B98)</f>
        <v>1.9112508231881176</v>
      </c>
      <c r="J98" s="3">
        <f>IF($F98="","", INDEX([1]Calc!$E:$E, MATCH("D_vessel_m", [1]Calc!$C:$C, 0)) - $F98 + $B98)</f>
        <v>1.9112508231881176</v>
      </c>
      <c r="K98" s="2" t="str">
        <f t="shared" si="5"/>
        <v>Even Keel</v>
      </c>
    </row>
    <row r="99" spans="1:11" x14ac:dyDescent="0.6">
      <c r="A99" s="2" t="str">
        <f>IF('December_Tide_2025 (2)'!A99="","",'December_Tide_2025 (2)'!A99)</f>
        <v>2025-12-05 01:00:00</v>
      </c>
      <c r="B99" s="3">
        <f>IF('December_Tide_2025 (2)'!B99="","",'December_Tide_2025 (2)'!B99)</f>
        <v>1.1100000000000001</v>
      </c>
      <c r="C99" s="3">
        <f>IF($A99="","", INDEX([1]Calc!$E:$E, MATCH("KminusZ_m", [1]Calc!$C:$C, 0)) + $B99 - INDEX([1]Calc!$E:$E, MATCH("L_ramp_m", [1]Calc!$C:$C, 0)) * TAN(RADIANS(INDEX([1]Calc!$E:$E, MATCH("theta_max_deg", [1]Calc!$C:$C, 0)))))</f>
        <v>2.8487491768118827</v>
      </c>
      <c r="D99" s="3"/>
      <c r="E99" s="3">
        <f t="shared" si="3"/>
        <v>2.8487491768118827</v>
      </c>
      <c r="F99" s="3">
        <f t="shared" si="4"/>
        <v>2.8487491768118827</v>
      </c>
      <c r="G99" s="3">
        <f>IF($E99="","", DEGREES(ATAN((INDEX([1]Calc!$E:$E, MATCH("KminusZ_m", [1]Calc!$C:$C, 0)) - $E99 + $B99) / INDEX([1]Calc!$E:$E, MATCH("L_ramp_m", [1]Calc!$C:$C, 0)))))</f>
        <v>6</v>
      </c>
      <c r="H99" s="2" t="str">
        <f>IF($E99="","", IF(AND($E99&gt;=INDEX([1]Calc!$E:$E, MATCH("min_fwd_draft_m", [1]Calc!$C:$C, 0)), $E99&lt;=INDEX([1]Calc!$E:$E, MATCH("max_fwd_draft_m", [1]Calc!$C:$C, 0)), $G99&lt;=INDEX([1]Calc!$E:$E, MATCH("theta_max_deg", [1]Calc!$C:$C, 0))), "OK", "CHECK"))</f>
        <v>OK</v>
      </c>
      <c r="I99" s="3">
        <f>IF($E99="","", INDEX([1]Calc!$E:$E, MATCH("D_vessel_m", [1]Calc!$C:$C, 0)) - $E99 + $B99)</f>
        <v>1.9112508231881173</v>
      </c>
      <c r="J99" s="3">
        <f>IF($F99="","", INDEX([1]Calc!$E:$E, MATCH("D_vessel_m", [1]Calc!$C:$C, 0)) - $F99 + $B99)</f>
        <v>1.9112508231881173</v>
      </c>
      <c r="K99" s="2" t="str">
        <f t="shared" si="5"/>
        <v>Even Keel</v>
      </c>
    </row>
    <row r="100" spans="1:11" x14ac:dyDescent="0.6">
      <c r="A100" s="2" t="str">
        <f>IF('December_Tide_2025 (2)'!A100="","",'December_Tide_2025 (2)'!A100)</f>
        <v>2025-12-05 02:00:00</v>
      </c>
      <c r="B100" s="3">
        <f>IF('December_Tide_2025 (2)'!B100="","",'December_Tide_2025 (2)'!B100)</f>
        <v>1.5</v>
      </c>
      <c r="C100" s="3">
        <f>IF($A100="","", INDEX([1]Calc!$E:$E, MATCH("KminusZ_m", [1]Calc!$C:$C, 0)) + $B100 - INDEX([1]Calc!$E:$E, MATCH("L_ramp_m", [1]Calc!$C:$C, 0)) * TAN(RADIANS(INDEX([1]Calc!$E:$E, MATCH("theta_max_deg", [1]Calc!$C:$C, 0)))))</f>
        <v>3.2387491768118823</v>
      </c>
      <c r="D100" s="3"/>
      <c r="E100" s="3">
        <f t="shared" si="3"/>
        <v>3.2387491768118823</v>
      </c>
      <c r="F100" s="3">
        <f t="shared" si="4"/>
        <v>3.2387491768118823</v>
      </c>
      <c r="G100" s="3">
        <f>IF($E100="","", DEGREES(ATAN((INDEX([1]Calc!$E:$E, MATCH("KminusZ_m", [1]Calc!$C:$C, 0)) - $E100 + $B100) / INDEX([1]Calc!$E:$E, MATCH("L_ramp_m", [1]Calc!$C:$C, 0)))))</f>
        <v>6.0000000000000009</v>
      </c>
      <c r="H100" s="2" t="str">
        <f>IF($E100="","", IF(AND($E100&gt;=INDEX([1]Calc!$E:$E, MATCH("min_fwd_draft_m", [1]Calc!$C:$C, 0)), $E100&lt;=INDEX([1]Calc!$E:$E, MATCH("max_fwd_draft_m", [1]Calc!$C:$C, 0)), $G100&lt;=INDEX([1]Calc!$E:$E, MATCH("theta_max_deg", [1]Calc!$C:$C, 0))), "OK", "CHECK"))</f>
        <v>OK</v>
      </c>
      <c r="I100" s="3">
        <f>IF($E100="","", INDEX([1]Calc!$E:$E, MATCH("D_vessel_m", [1]Calc!$C:$C, 0)) - $E100 + $B100)</f>
        <v>1.9112508231881176</v>
      </c>
      <c r="J100" s="3">
        <f>IF($F100="","", INDEX([1]Calc!$E:$E, MATCH("D_vessel_m", [1]Calc!$C:$C, 0)) - $F100 + $B100)</f>
        <v>1.9112508231881176</v>
      </c>
      <c r="K100" s="2" t="str">
        <f t="shared" si="5"/>
        <v>Even Keel</v>
      </c>
    </row>
    <row r="101" spans="1:11" x14ac:dyDescent="0.6">
      <c r="A101" s="2" t="str">
        <f>IF('December_Tide_2025 (2)'!A101="","",'December_Tide_2025 (2)'!A101)</f>
        <v>2025-12-05 03:00:00</v>
      </c>
      <c r="B101" s="3">
        <f>IF('December_Tide_2025 (2)'!B101="","",'December_Tide_2025 (2)'!B101)</f>
        <v>1.97</v>
      </c>
      <c r="C101" s="3">
        <f>IF($A101="","", INDEX([1]Calc!$E:$E, MATCH("KminusZ_m", [1]Calc!$C:$C, 0)) + $B101 - INDEX([1]Calc!$E:$E, MATCH("L_ramp_m", [1]Calc!$C:$C, 0)) * TAN(RADIANS(INDEX([1]Calc!$E:$E, MATCH("theta_max_deg", [1]Calc!$C:$C, 0)))))</f>
        <v>3.7087491768118821</v>
      </c>
      <c r="D101" s="3"/>
      <c r="E101" s="3">
        <f t="shared" si="3"/>
        <v>3.7087491768118821</v>
      </c>
      <c r="F101" s="3">
        <f t="shared" si="4"/>
        <v>3.7087491768118821</v>
      </c>
      <c r="G101" s="3">
        <f>IF($E101="","", DEGREES(ATAN((INDEX([1]Calc!$E:$E, MATCH("KminusZ_m", [1]Calc!$C:$C, 0)) - $E101 + $B101) / INDEX([1]Calc!$E:$E, MATCH("L_ramp_m", [1]Calc!$C:$C, 0)))))</f>
        <v>6.0000000000000009</v>
      </c>
      <c r="H101" s="2" t="str">
        <f>IF($E101="","", IF(AND($E101&gt;=INDEX([1]Calc!$E:$E, MATCH("min_fwd_draft_m", [1]Calc!$C:$C, 0)), $E101&lt;=INDEX([1]Calc!$E:$E, MATCH("max_fwd_draft_m", [1]Calc!$C:$C, 0)), $G101&lt;=INDEX([1]Calc!$E:$E, MATCH("theta_max_deg", [1]Calc!$C:$C, 0))), "OK", "CHECK"))</f>
        <v>CHECK</v>
      </c>
      <c r="I101" s="3">
        <f>IF($E101="","", INDEX([1]Calc!$E:$E, MATCH("D_vessel_m", [1]Calc!$C:$C, 0)) - $E101 + $B101)</f>
        <v>1.9112508231881178</v>
      </c>
      <c r="J101" s="3">
        <f>IF($F101="","", INDEX([1]Calc!$E:$E, MATCH("D_vessel_m", [1]Calc!$C:$C, 0)) - $F101 + $B101)</f>
        <v>1.9112508231881178</v>
      </c>
      <c r="K101" s="2" t="str">
        <f t="shared" si="5"/>
        <v>Even Keel</v>
      </c>
    </row>
    <row r="102" spans="1:11" x14ac:dyDescent="0.6">
      <c r="A102" s="2" t="str">
        <f>IF('December_Tide_2025 (2)'!A102="","",'December_Tide_2025 (2)'!A102)</f>
        <v>2025-12-05 04:00:00</v>
      </c>
      <c r="B102" s="3">
        <f>IF('December_Tide_2025 (2)'!B102="","",'December_Tide_2025 (2)'!B102)</f>
        <v>2.39</v>
      </c>
      <c r="C102" s="3">
        <f>IF($A102="","", INDEX([1]Calc!$E:$E, MATCH("KminusZ_m", [1]Calc!$C:$C, 0)) + $B102 - INDEX([1]Calc!$E:$E, MATCH("L_ramp_m", [1]Calc!$C:$C, 0)) * TAN(RADIANS(INDEX([1]Calc!$E:$E, MATCH("theta_max_deg", [1]Calc!$C:$C, 0)))))</f>
        <v>4.1287491768118834</v>
      </c>
      <c r="D102" s="3"/>
      <c r="E102" s="3">
        <f t="shared" si="3"/>
        <v>4.1287491768118834</v>
      </c>
      <c r="F102" s="3">
        <f t="shared" si="4"/>
        <v>4.1287491768118834</v>
      </c>
      <c r="G102" s="3">
        <f>IF($E102="","", DEGREES(ATAN((INDEX([1]Calc!$E:$E, MATCH("KminusZ_m", [1]Calc!$C:$C, 0)) - $E102 + $B102) / INDEX([1]Calc!$E:$E, MATCH("L_ramp_m", [1]Calc!$C:$C, 0)))))</f>
        <v>5.9999999999999964</v>
      </c>
      <c r="H102" s="2" t="str">
        <f>IF($E102="","", IF(AND($E102&gt;=INDEX([1]Calc!$E:$E, MATCH("min_fwd_draft_m", [1]Calc!$C:$C, 0)), $E102&lt;=INDEX([1]Calc!$E:$E, MATCH("max_fwd_draft_m", [1]Calc!$C:$C, 0)), $G102&lt;=INDEX([1]Calc!$E:$E, MATCH("theta_max_deg", [1]Calc!$C:$C, 0))), "OK", "CHECK"))</f>
        <v>CHECK</v>
      </c>
      <c r="I102" s="3">
        <f>IF($E102="","", INDEX([1]Calc!$E:$E, MATCH("D_vessel_m", [1]Calc!$C:$C, 0)) - $E102 + $B102)</f>
        <v>1.9112508231881167</v>
      </c>
      <c r="J102" s="3">
        <f>IF($F102="","", INDEX([1]Calc!$E:$E, MATCH("D_vessel_m", [1]Calc!$C:$C, 0)) - $F102 + $B102)</f>
        <v>1.9112508231881167</v>
      </c>
      <c r="K102" s="2" t="str">
        <f t="shared" si="5"/>
        <v>Even Keel</v>
      </c>
    </row>
    <row r="103" spans="1:11" x14ac:dyDescent="0.6">
      <c r="A103" s="2" t="str">
        <f>IF('December_Tide_2025 (2)'!A103="","",'December_Tide_2025 (2)'!A103)</f>
        <v>2025-12-05 05:00:00</v>
      </c>
      <c r="B103" s="3">
        <f>IF('December_Tide_2025 (2)'!B103="","",'December_Tide_2025 (2)'!B103)</f>
        <v>2.67</v>
      </c>
      <c r="C103" s="3">
        <f>IF($A103="","", INDEX([1]Calc!$E:$E, MATCH("KminusZ_m", [1]Calc!$C:$C, 0)) + $B103 - INDEX([1]Calc!$E:$E, MATCH("L_ramp_m", [1]Calc!$C:$C, 0)) * TAN(RADIANS(INDEX([1]Calc!$E:$E, MATCH("theta_max_deg", [1]Calc!$C:$C, 0)))))</f>
        <v>4.4087491768118827</v>
      </c>
      <c r="D103" s="3"/>
      <c r="E103" s="3">
        <f t="shared" si="3"/>
        <v>4.4087491768118827</v>
      </c>
      <c r="F103" s="3">
        <f t="shared" si="4"/>
        <v>4.4087491768118827</v>
      </c>
      <c r="G103" s="3">
        <f>IF($E103="","", DEGREES(ATAN((INDEX([1]Calc!$E:$E, MATCH("KminusZ_m", [1]Calc!$C:$C, 0)) - $E103 + $B103) / INDEX([1]Calc!$E:$E, MATCH("L_ramp_m", [1]Calc!$C:$C, 0)))))</f>
        <v>5.9999999999999982</v>
      </c>
      <c r="H103" s="2" t="str">
        <f>IF($E103="","", IF(AND($E103&gt;=INDEX([1]Calc!$E:$E, MATCH("min_fwd_draft_m", [1]Calc!$C:$C, 0)), $E103&lt;=INDEX([1]Calc!$E:$E, MATCH("max_fwd_draft_m", [1]Calc!$C:$C, 0)), $G103&lt;=INDEX([1]Calc!$E:$E, MATCH("theta_max_deg", [1]Calc!$C:$C, 0))), "OK", "CHECK"))</f>
        <v>CHECK</v>
      </c>
      <c r="I103" s="3">
        <f>IF($E103="","", INDEX([1]Calc!$E:$E, MATCH("D_vessel_m", [1]Calc!$C:$C, 0)) - $E103 + $B103)</f>
        <v>1.9112508231881171</v>
      </c>
      <c r="J103" s="3">
        <f>IF($F103="","", INDEX([1]Calc!$E:$E, MATCH("D_vessel_m", [1]Calc!$C:$C, 0)) - $F103 + $B103)</f>
        <v>1.9112508231881171</v>
      </c>
      <c r="K103" s="2" t="str">
        <f t="shared" si="5"/>
        <v>Even Keel</v>
      </c>
    </row>
    <row r="104" spans="1:11" x14ac:dyDescent="0.6">
      <c r="A104" s="2" t="str">
        <f>IF('December_Tide_2025 (2)'!A104="","",'December_Tide_2025 (2)'!A104)</f>
        <v>2025-12-05 06:00:00</v>
      </c>
      <c r="B104" s="3">
        <f>IF('December_Tide_2025 (2)'!B104="","",'December_Tide_2025 (2)'!B104)</f>
        <v>2.73</v>
      </c>
      <c r="C104" s="3">
        <f>IF($A104="","", INDEX([1]Calc!$E:$E, MATCH("KminusZ_m", [1]Calc!$C:$C, 0)) + $B104 - INDEX([1]Calc!$E:$E, MATCH("L_ramp_m", [1]Calc!$C:$C, 0)) * TAN(RADIANS(INDEX([1]Calc!$E:$E, MATCH("theta_max_deg", [1]Calc!$C:$C, 0)))))</f>
        <v>4.4687491768118832</v>
      </c>
      <c r="D104" s="3"/>
      <c r="E104" s="3">
        <f t="shared" si="3"/>
        <v>4.4687491768118832</v>
      </c>
      <c r="F104" s="3">
        <f t="shared" si="4"/>
        <v>4.4687491768118832</v>
      </c>
      <c r="G104" s="3">
        <f>IF($E104="","", DEGREES(ATAN((INDEX([1]Calc!$E:$E, MATCH("KminusZ_m", [1]Calc!$C:$C, 0)) - $E104 + $B104) / INDEX([1]Calc!$E:$E, MATCH("L_ramp_m", [1]Calc!$C:$C, 0)))))</f>
        <v>5.9999999999999964</v>
      </c>
      <c r="H104" s="2" t="str">
        <f>IF($E104="","", IF(AND($E104&gt;=INDEX([1]Calc!$E:$E, MATCH("min_fwd_draft_m", [1]Calc!$C:$C, 0)), $E104&lt;=INDEX([1]Calc!$E:$E, MATCH("max_fwd_draft_m", [1]Calc!$C:$C, 0)), $G104&lt;=INDEX([1]Calc!$E:$E, MATCH("theta_max_deg", [1]Calc!$C:$C, 0))), "OK", "CHECK"))</f>
        <v>CHECK</v>
      </c>
      <c r="I104" s="3">
        <f>IF($E104="","", INDEX([1]Calc!$E:$E, MATCH("D_vessel_m", [1]Calc!$C:$C, 0)) - $E104 + $B104)</f>
        <v>1.9112508231881167</v>
      </c>
      <c r="J104" s="3">
        <f>IF($F104="","", INDEX([1]Calc!$E:$E, MATCH("D_vessel_m", [1]Calc!$C:$C, 0)) - $F104 + $B104)</f>
        <v>1.9112508231881167</v>
      </c>
      <c r="K104" s="2" t="str">
        <f t="shared" si="5"/>
        <v>Even Keel</v>
      </c>
    </row>
    <row r="105" spans="1:11" x14ac:dyDescent="0.6">
      <c r="A105" s="2" t="str">
        <f>IF('December_Tide_2025 (2)'!A105="","",'December_Tide_2025 (2)'!A105)</f>
        <v>2025-12-05 07:00:00</v>
      </c>
      <c r="B105" s="3">
        <f>IF('December_Tide_2025 (2)'!B105="","",'December_Tide_2025 (2)'!B105)</f>
        <v>2.5499999999999998</v>
      </c>
      <c r="C105" s="3">
        <f>IF($A105="","", INDEX([1]Calc!$E:$E, MATCH("KminusZ_m", [1]Calc!$C:$C, 0)) + $B105 - INDEX([1]Calc!$E:$E, MATCH("L_ramp_m", [1]Calc!$C:$C, 0)) * TAN(RADIANS(INDEX([1]Calc!$E:$E, MATCH("theta_max_deg", [1]Calc!$C:$C, 0)))))</f>
        <v>4.2887491768118817</v>
      </c>
      <c r="D105" s="3"/>
      <c r="E105" s="3">
        <f t="shared" si="3"/>
        <v>4.2887491768118817</v>
      </c>
      <c r="F105" s="3">
        <f t="shared" si="4"/>
        <v>4.2887491768118817</v>
      </c>
      <c r="G105" s="3">
        <f>IF($E105="","", DEGREES(ATAN((INDEX([1]Calc!$E:$E, MATCH("KminusZ_m", [1]Calc!$C:$C, 0)) - $E105 + $B105) / INDEX([1]Calc!$E:$E, MATCH("L_ramp_m", [1]Calc!$C:$C, 0)))))</f>
        <v>6.0000000000000027</v>
      </c>
      <c r="H105" s="2" t="str">
        <f>IF($E105="","", IF(AND($E105&gt;=INDEX([1]Calc!$E:$E, MATCH("min_fwd_draft_m", [1]Calc!$C:$C, 0)), $E105&lt;=INDEX([1]Calc!$E:$E, MATCH("max_fwd_draft_m", [1]Calc!$C:$C, 0)), $G105&lt;=INDEX([1]Calc!$E:$E, MATCH("theta_max_deg", [1]Calc!$C:$C, 0))), "OK", "CHECK"))</f>
        <v>CHECK</v>
      </c>
      <c r="I105" s="3">
        <f>IF($E105="","", INDEX([1]Calc!$E:$E, MATCH("D_vessel_m", [1]Calc!$C:$C, 0)) - $E105 + $B105)</f>
        <v>1.911250823188118</v>
      </c>
      <c r="J105" s="3">
        <f>IF($F105="","", INDEX([1]Calc!$E:$E, MATCH("D_vessel_m", [1]Calc!$C:$C, 0)) - $F105 + $B105)</f>
        <v>1.911250823188118</v>
      </c>
      <c r="K105" s="2" t="str">
        <f t="shared" si="5"/>
        <v>Even Keel</v>
      </c>
    </row>
    <row r="106" spans="1:11" x14ac:dyDescent="0.6">
      <c r="A106" s="2" t="str">
        <f>IF('December_Tide_2025 (2)'!A106="","",'December_Tide_2025 (2)'!A106)</f>
        <v>2025-12-05 08:00:00</v>
      </c>
      <c r="B106" s="3">
        <f>IF('December_Tide_2025 (2)'!B106="","",'December_Tide_2025 (2)'!B106)</f>
        <v>2.19</v>
      </c>
      <c r="C106" s="3">
        <f>IF($A106="","", INDEX([1]Calc!$E:$E, MATCH("KminusZ_m", [1]Calc!$C:$C, 0)) + $B106 - INDEX([1]Calc!$E:$E, MATCH("L_ramp_m", [1]Calc!$C:$C, 0)) * TAN(RADIANS(INDEX([1]Calc!$E:$E, MATCH("theta_max_deg", [1]Calc!$C:$C, 0)))))</f>
        <v>3.9287491768118818</v>
      </c>
      <c r="D106" s="3"/>
      <c r="E106" s="3">
        <f t="shared" si="3"/>
        <v>3.9287491768118818</v>
      </c>
      <c r="F106" s="3">
        <f t="shared" si="4"/>
        <v>3.9287491768118818</v>
      </c>
      <c r="G106" s="3">
        <f>IF($E106="","", DEGREES(ATAN((INDEX([1]Calc!$E:$E, MATCH("KminusZ_m", [1]Calc!$C:$C, 0)) - $E106 + $B106) / INDEX([1]Calc!$E:$E, MATCH("L_ramp_m", [1]Calc!$C:$C, 0)))))</f>
        <v>6.0000000000000027</v>
      </c>
      <c r="H106" s="2" t="str">
        <f>IF($E106="","", IF(AND($E106&gt;=INDEX([1]Calc!$E:$E, MATCH("min_fwd_draft_m", [1]Calc!$C:$C, 0)), $E106&lt;=INDEX([1]Calc!$E:$E, MATCH("max_fwd_draft_m", [1]Calc!$C:$C, 0)), $G106&lt;=INDEX([1]Calc!$E:$E, MATCH("theta_max_deg", [1]Calc!$C:$C, 0))), "OK", "CHECK"))</f>
        <v>CHECK</v>
      </c>
      <c r="I106" s="3">
        <f>IF($E106="","", INDEX([1]Calc!$E:$E, MATCH("D_vessel_m", [1]Calc!$C:$C, 0)) - $E106 + $B106)</f>
        <v>1.911250823188118</v>
      </c>
      <c r="J106" s="3">
        <f>IF($F106="","", INDEX([1]Calc!$E:$E, MATCH("D_vessel_m", [1]Calc!$C:$C, 0)) - $F106 + $B106)</f>
        <v>1.911250823188118</v>
      </c>
      <c r="K106" s="2" t="str">
        <f t="shared" si="5"/>
        <v>Even Keel</v>
      </c>
    </row>
    <row r="107" spans="1:11" x14ac:dyDescent="0.6">
      <c r="A107" s="2" t="str">
        <f>IF('December_Tide_2025 (2)'!A107="","",'December_Tide_2025 (2)'!A107)</f>
        <v>2025-12-05 09:00:00</v>
      </c>
      <c r="B107" s="3">
        <f>IF('December_Tide_2025 (2)'!B107="","",'December_Tide_2025 (2)'!B107)</f>
        <v>1.73</v>
      </c>
      <c r="C107" s="3">
        <f>IF($A107="","", INDEX([1]Calc!$E:$E, MATCH("KminusZ_m", [1]Calc!$C:$C, 0)) + $B107 - INDEX([1]Calc!$E:$E, MATCH("L_ramp_m", [1]Calc!$C:$C, 0)) * TAN(RADIANS(INDEX([1]Calc!$E:$E, MATCH("theta_max_deg", [1]Calc!$C:$C, 0)))))</f>
        <v>3.4687491768118828</v>
      </c>
      <c r="D107" s="3"/>
      <c r="E107" s="3">
        <f t="shared" si="3"/>
        <v>3.4687491768118828</v>
      </c>
      <c r="F107" s="3">
        <f t="shared" si="4"/>
        <v>3.4687491768118828</v>
      </c>
      <c r="G107" s="3">
        <f>IF($E107="","", DEGREES(ATAN((INDEX([1]Calc!$E:$E, MATCH("KminusZ_m", [1]Calc!$C:$C, 0)) - $E107 + $B107) / INDEX([1]Calc!$E:$E, MATCH("L_ramp_m", [1]Calc!$C:$C, 0)))))</f>
        <v>5.9999999999999982</v>
      </c>
      <c r="H107" s="2" t="str">
        <f>IF($E107="","", IF(AND($E107&gt;=INDEX([1]Calc!$E:$E, MATCH("min_fwd_draft_m", [1]Calc!$C:$C, 0)), $E107&lt;=INDEX([1]Calc!$E:$E, MATCH("max_fwd_draft_m", [1]Calc!$C:$C, 0)), $G107&lt;=INDEX([1]Calc!$E:$E, MATCH("theta_max_deg", [1]Calc!$C:$C, 0))), "OK", "CHECK"))</f>
        <v>OK</v>
      </c>
      <c r="I107" s="3">
        <f>IF($E107="","", INDEX([1]Calc!$E:$E, MATCH("D_vessel_m", [1]Calc!$C:$C, 0)) - $E107 + $B107)</f>
        <v>1.9112508231881171</v>
      </c>
      <c r="J107" s="3">
        <f>IF($F107="","", INDEX([1]Calc!$E:$E, MATCH("D_vessel_m", [1]Calc!$C:$C, 0)) - $F107 + $B107)</f>
        <v>1.9112508231881171</v>
      </c>
      <c r="K107" s="2" t="str">
        <f t="shared" si="5"/>
        <v>Even Keel</v>
      </c>
    </row>
    <row r="108" spans="1:11" x14ac:dyDescent="0.6">
      <c r="A108" s="2" t="str">
        <f>IF('December_Tide_2025 (2)'!A108="","",'December_Tide_2025 (2)'!A108)</f>
        <v>2025-12-05 10:00:00</v>
      </c>
      <c r="B108" s="3">
        <f>IF('December_Tide_2025 (2)'!B108="","",'December_Tide_2025 (2)'!B108)</f>
        <v>1.28</v>
      </c>
      <c r="C108" s="3">
        <f>IF($A108="","", INDEX([1]Calc!$E:$E, MATCH("KminusZ_m", [1]Calc!$C:$C, 0)) + $B108 - INDEX([1]Calc!$E:$E, MATCH("L_ramp_m", [1]Calc!$C:$C, 0)) * TAN(RADIANS(INDEX([1]Calc!$E:$E, MATCH("theta_max_deg", [1]Calc!$C:$C, 0)))))</f>
        <v>3.0187491768118826</v>
      </c>
      <c r="D108" s="3"/>
      <c r="E108" s="3">
        <f t="shared" si="3"/>
        <v>3.0187491768118826</v>
      </c>
      <c r="F108" s="3">
        <f t="shared" si="4"/>
        <v>3.0187491768118826</v>
      </c>
      <c r="G108" s="3">
        <f>IF($E108="","", DEGREES(ATAN((INDEX([1]Calc!$E:$E, MATCH("KminusZ_m", [1]Calc!$C:$C, 0)) - $E108 + $B108) / INDEX([1]Calc!$E:$E, MATCH("L_ramp_m", [1]Calc!$C:$C, 0)))))</f>
        <v>6</v>
      </c>
      <c r="H108" s="2" t="str">
        <f>IF($E108="","", IF(AND($E108&gt;=INDEX([1]Calc!$E:$E, MATCH("min_fwd_draft_m", [1]Calc!$C:$C, 0)), $E108&lt;=INDEX([1]Calc!$E:$E, MATCH("max_fwd_draft_m", [1]Calc!$C:$C, 0)), $G108&lt;=INDEX([1]Calc!$E:$E, MATCH("theta_max_deg", [1]Calc!$C:$C, 0))), "OK", "CHECK"))</f>
        <v>OK</v>
      </c>
      <c r="I108" s="3">
        <f>IF($E108="","", INDEX([1]Calc!$E:$E, MATCH("D_vessel_m", [1]Calc!$C:$C, 0)) - $E108 + $B108)</f>
        <v>1.9112508231881173</v>
      </c>
      <c r="J108" s="3">
        <f>IF($F108="","", INDEX([1]Calc!$E:$E, MATCH("D_vessel_m", [1]Calc!$C:$C, 0)) - $F108 + $B108)</f>
        <v>1.9112508231881173</v>
      </c>
      <c r="K108" s="2" t="str">
        <f t="shared" si="5"/>
        <v>Even Keel</v>
      </c>
    </row>
    <row r="109" spans="1:11" x14ac:dyDescent="0.6">
      <c r="A109" s="2" t="str">
        <f>IF('December_Tide_2025 (2)'!A109="","",'December_Tide_2025 (2)'!A109)</f>
        <v>2025-12-05 11:00:00</v>
      </c>
      <c r="B109" s="3">
        <f>IF('December_Tide_2025 (2)'!B109="","",'December_Tide_2025 (2)'!B109)</f>
        <v>0.97</v>
      </c>
      <c r="C109" s="3">
        <f>IF($A109="","", INDEX([1]Calc!$E:$E, MATCH("KminusZ_m", [1]Calc!$C:$C, 0)) + $B109 - INDEX([1]Calc!$E:$E, MATCH("L_ramp_m", [1]Calc!$C:$C, 0)) * TAN(RADIANS(INDEX([1]Calc!$E:$E, MATCH("theta_max_deg", [1]Calc!$C:$C, 0)))))</f>
        <v>2.7087491768118821</v>
      </c>
      <c r="D109" s="3"/>
      <c r="E109" s="3">
        <f t="shared" si="3"/>
        <v>2.7087491768118821</v>
      </c>
      <c r="F109" s="3">
        <f t="shared" si="4"/>
        <v>2.7087491768118821</v>
      </c>
      <c r="G109" s="3">
        <f>IF($E109="","", DEGREES(ATAN((INDEX([1]Calc!$E:$E, MATCH("KminusZ_m", [1]Calc!$C:$C, 0)) - $E109 + $B109) / INDEX([1]Calc!$E:$E, MATCH("L_ramp_m", [1]Calc!$C:$C, 0)))))</f>
        <v>6.0000000000000009</v>
      </c>
      <c r="H109" s="2" t="str">
        <f>IF($E109="","", IF(AND($E109&gt;=INDEX([1]Calc!$E:$E, MATCH("min_fwd_draft_m", [1]Calc!$C:$C, 0)), $E109&lt;=INDEX([1]Calc!$E:$E, MATCH("max_fwd_draft_m", [1]Calc!$C:$C, 0)), $G109&lt;=INDEX([1]Calc!$E:$E, MATCH("theta_max_deg", [1]Calc!$C:$C, 0))), "OK", "CHECK"))</f>
        <v>OK</v>
      </c>
      <c r="I109" s="3">
        <f>IF($E109="","", INDEX([1]Calc!$E:$E, MATCH("D_vessel_m", [1]Calc!$C:$C, 0)) - $E109 + $B109)</f>
        <v>1.9112508231881178</v>
      </c>
      <c r="J109" s="3">
        <f>IF($F109="","", INDEX([1]Calc!$E:$E, MATCH("D_vessel_m", [1]Calc!$C:$C, 0)) - $F109 + $B109)</f>
        <v>1.9112508231881178</v>
      </c>
      <c r="K109" s="2" t="str">
        <f t="shared" si="5"/>
        <v>Even Keel</v>
      </c>
    </row>
    <row r="110" spans="1:11" x14ac:dyDescent="0.6">
      <c r="A110" s="2" t="str">
        <f>IF('December_Tide_2025 (2)'!A110="","",'December_Tide_2025 (2)'!A110)</f>
        <v>2025-12-05 12:00:00</v>
      </c>
      <c r="B110" s="3">
        <f>IF('December_Tide_2025 (2)'!B110="","",'December_Tide_2025 (2)'!B110)</f>
        <v>0.86</v>
      </c>
      <c r="C110" s="3">
        <f>IF($A110="","", INDEX([1]Calc!$E:$E, MATCH("KminusZ_m", [1]Calc!$C:$C, 0)) + $B110 - INDEX([1]Calc!$E:$E, MATCH("L_ramp_m", [1]Calc!$C:$C, 0)) * TAN(RADIANS(INDEX([1]Calc!$E:$E, MATCH("theta_max_deg", [1]Calc!$C:$C, 0)))))</f>
        <v>2.5987491768118822</v>
      </c>
      <c r="D110" s="3"/>
      <c r="E110" s="3">
        <f t="shared" si="3"/>
        <v>2.5987491768118822</v>
      </c>
      <c r="F110" s="3">
        <f t="shared" si="4"/>
        <v>2.5987491768118822</v>
      </c>
      <c r="G110" s="3">
        <f>IF($E110="","", DEGREES(ATAN((INDEX([1]Calc!$E:$E, MATCH("KminusZ_m", [1]Calc!$C:$C, 0)) - $E110 + $B110) / INDEX([1]Calc!$E:$E, MATCH("L_ramp_m", [1]Calc!$C:$C, 0)))))</f>
        <v>6.0000000000000009</v>
      </c>
      <c r="H110" s="2" t="str">
        <f>IF($E110="","", IF(AND($E110&gt;=INDEX([1]Calc!$E:$E, MATCH("min_fwd_draft_m", [1]Calc!$C:$C, 0)), $E110&lt;=INDEX([1]Calc!$E:$E, MATCH("max_fwd_draft_m", [1]Calc!$C:$C, 0)), $G110&lt;=INDEX([1]Calc!$E:$E, MATCH("theta_max_deg", [1]Calc!$C:$C, 0))), "OK", "CHECK"))</f>
        <v>OK</v>
      </c>
      <c r="I110" s="3">
        <f>IF($E110="","", INDEX([1]Calc!$E:$E, MATCH("D_vessel_m", [1]Calc!$C:$C, 0)) - $E110 + $B110)</f>
        <v>1.9112508231881176</v>
      </c>
      <c r="J110" s="3">
        <f>IF($F110="","", INDEX([1]Calc!$E:$E, MATCH("D_vessel_m", [1]Calc!$C:$C, 0)) - $F110 + $B110)</f>
        <v>1.9112508231881176</v>
      </c>
      <c r="K110" s="2" t="str">
        <f t="shared" si="5"/>
        <v>Even Keel</v>
      </c>
    </row>
    <row r="111" spans="1:11" x14ac:dyDescent="0.6">
      <c r="A111" s="2" t="str">
        <f>IF('December_Tide_2025 (2)'!A111="","",'December_Tide_2025 (2)'!A111)</f>
        <v>2025-12-05 13:00:00</v>
      </c>
      <c r="B111" s="3">
        <f>IF('December_Tide_2025 (2)'!B111="","",'December_Tide_2025 (2)'!B111)</f>
        <v>0.99</v>
      </c>
      <c r="C111" s="3">
        <f>IF($A111="","", INDEX([1]Calc!$E:$E, MATCH("KminusZ_m", [1]Calc!$C:$C, 0)) + $B111 - INDEX([1]Calc!$E:$E, MATCH("L_ramp_m", [1]Calc!$C:$C, 0)) * TAN(RADIANS(INDEX([1]Calc!$E:$E, MATCH("theta_max_deg", [1]Calc!$C:$C, 0)))))</f>
        <v>2.7287491768118826</v>
      </c>
      <c r="D111" s="3"/>
      <c r="E111" s="3">
        <f t="shared" si="3"/>
        <v>2.7287491768118826</v>
      </c>
      <c r="F111" s="3">
        <f t="shared" si="4"/>
        <v>2.7287491768118826</v>
      </c>
      <c r="G111" s="3">
        <f>IF($E111="","", DEGREES(ATAN((INDEX([1]Calc!$E:$E, MATCH("KminusZ_m", [1]Calc!$C:$C, 0)) - $E111 + $B111) / INDEX([1]Calc!$E:$E, MATCH("L_ramp_m", [1]Calc!$C:$C, 0)))))</f>
        <v>6</v>
      </c>
      <c r="H111" s="2" t="str">
        <f>IF($E111="","", IF(AND($E111&gt;=INDEX([1]Calc!$E:$E, MATCH("min_fwd_draft_m", [1]Calc!$C:$C, 0)), $E111&lt;=INDEX([1]Calc!$E:$E, MATCH("max_fwd_draft_m", [1]Calc!$C:$C, 0)), $G111&lt;=INDEX([1]Calc!$E:$E, MATCH("theta_max_deg", [1]Calc!$C:$C, 0))), "OK", "CHECK"))</f>
        <v>OK</v>
      </c>
      <c r="I111" s="3">
        <f>IF($E111="","", INDEX([1]Calc!$E:$E, MATCH("D_vessel_m", [1]Calc!$C:$C, 0)) - $E111 + $B111)</f>
        <v>1.9112508231881173</v>
      </c>
      <c r="J111" s="3">
        <f>IF($F111="","", INDEX([1]Calc!$E:$E, MATCH("D_vessel_m", [1]Calc!$C:$C, 0)) - $F111 + $B111)</f>
        <v>1.9112508231881173</v>
      </c>
      <c r="K111" s="2" t="str">
        <f t="shared" si="5"/>
        <v>Even Keel</v>
      </c>
    </row>
    <row r="112" spans="1:11" x14ac:dyDescent="0.6">
      <c r="A112" s="2" t="str">
        <f>IF('December_Tide_2025 (2)'!A112="","",'December_Tide_2025 (2)'!A112)</f>
        <v>2025-12-05 14:00:00</v>
      </c>
      <c r="B112" s="3">
        <f>IF('December_Tide_2025 (2)'!B112="","",'December_Tide_2025 (2)'!B112)</f>
        <v>1.33</v>
      </c>
      <c r="C112" s="3">
        <f>IF($A112="","", INDEX([1]Calc!$E:$E, MATCH("KminusZ_m", [1]Calc!$C:$C, 0)) + $B112 - INDEX([1]Calc!$E:$E, MATCH("L_ramp_m", [1]Calc!$C:$C, 0)) * TAN(RADIANS(INDEX([1]Calc!$E:$E, MATCH("theta_max_deg", [1]Calc!$C:$C, 0)))))</f>
        <v>3.0687491768118824</v>
      </c>
      <c r="D112" s="3"/>
      <c r="E112" s="3">
        <f t="shared" si="3"/>
        <v>3.0687491768118824</v>
      </c>
      <c r="F112" s="3">
        <f t="shared" si="4"/>
        <v>3.0687491768118824</v>
      </c>
      <c r="G112" s="3">
        <f>IF($E112="","", DEGREES(ATAN((INDEX([1]Calc!$E:$E, MATCH("KminusZ_m", [1]Calc!$C:$C, 0)) - $E112 + $B112) / INDEX([1]Calc!$E:$E, MATCH("L_ramp_m", [1]Calc!$C:$C, 0)))))</f>
        <v>6.0000000000000009</v>
      </c>
      <c r="H112" s="2" t="str">
        <f>IF($E112="","", IF(AND($E112&gt;=INDEX([1]Calc!$E:$E, MATCH("min_fwd_draft_m", [1]Calc!$C:$C, 0)), $E112&lt;=INDEX([1]Calc!$E:$E, MATCH("max_fwd_draft_m", [1]Calc!$C:$C, 0)), $G112&lt;=INDEX([1]Calc!$E:$E, MATCH("theta_max_deg", [1]Calc!$C:$C, 0))), "OK", "CHECK"))</f>
        <v>OK</v>
      </c>
      <c r="I112" s="3">
        <f>IF($E112="","", INDEX([1]Calc!$E:$E, MATCH("D_vessel_m", [1]Calc!$C:$C, 0)) - $E112 + $B112)</f>
        <v>1.9112508231881176</v>
      </c>
      <c r="J112" s="3">
        <f>IF($F112="","", INDEX([1]Calc!$E:$E, MATCH("D_vessel_m", [1]Calc!$C:$C, 0)) - $F112 + $B112)</f>
        <v>1.9112508231881176</v>
      </c>
      <c r="K112" s="2" t="str">
        <f t="shared" si="5"/>
        <v>Even Keel</v>
      </c>
    </row>
    <row r="113" spans="1:11" x14ac:dyDescent="0.6">
      <c r="A113" s="2" t="str">
        <f>IF('December_Tide_2025 (2)'!A113="","",'December_Tide_2025 (2)'!A113)</f>
        <v>2025-12-05 15:00:00</v>
      </c>
      <c r="B113" s="3">
        <f>IF('December_Tide_2025 (2)'!B113="","",'December_Tide_2025 (2)'!B113)</f>
        <v>1.78</v>
      </c>
      <c r="C113" s="3">
        <f>IF($A113="","", INDEX([1]Calc!$E:$E, MATCH("KminusZ_m", [1]Calc!$C:$C, 0)) + $B113 - INDEX([1]Calc!$E:$E, MATCH("L_ramp_m", [1]Calc!$C:$C, 0)) * TAN(RADIANS(INDEX([1]Calc!$E:$E, MATCH("theta_max_deg", [1]Calc!$C:$C, 0)))))</f>
        <v>3.5187491768118826</v>
      </c>
      <c r="D113" s="3"/>
      <c r="E113" s="3">
        <f t="shared" si="3"/>
        <v>3.5187491768118826</v>
      </c>
      <c r="F113" s="3">
        <f t="shared" si="4"/>
        <v>3.5187491768118826</v>
      </c>
      <c r="G113" s="3">
        <f>IF($E113="","", DEGREES(ATAN((INDEX([1]Calc!$E:$E, MATCH("KminusZ_m", [1]Calc!$C:$C, 0)) - $E113 + $B113) / INDEX([1]Calc!$E:$E, MATCH("L_ramp_m", [1]Calc!$C:$C, 0)))))</f>
        <v>6</v>
      </c>
      <c r="H113" s="2" t="str">
        <f>IF($E113="","", IF(AND($E113&gt;=INDEX([1]Calc!$E:$E, MATCH("min_fwd_draft_m", [1]Calc!$C:$C, 0)), $E113&lt;=INDEX([1]Calc!$E:$E, MATCH("max_fwd_draft_m", [1]Calc!$C:$C, 0)), $G113&lt;=INDEX([1]Calc!$E:$E, MATCH("theta_max_deg", [1]Calc!$C:$C, 0))), "OK", "CHECK"))</f>
        <v>CHECK</v>
      </c>
      <c r="I113" s="3">
        <f>IF($E113="","", INDEX([1]Calc!$E:$E, MATCH("D_vessel_m", [1]Calc!$C:$C, 0)) - $E113 + $B113)</f>
        <v>1.9112508231881173</v>
      </c>
      <c r="J113" s="3">
        <f>IF($F113="","", INDEX([1]Calc!$E:$E, MATCH("D_vessel_m", [1]Calc!$C:$C, 0)) - $F113 + $B113)</f>
        <v>1.9112508231881173</v>
      </c>
      <c r="K113" s="2" t="str">
        <f t="shared" si="5"/>
        <v>Even Keel</v>
      </c>
    </row>
    <row r="114" spans="1:11" x14ac:dyDescent="0.6">
      <c r="A114" s="2" t="str">
        <f>IF('December_Tide_2025 (2)'!A114="","",'December_Tide_2025 (2)'!A114)</f>
        <v>2025-12-05 16:00:00</v>
      </c>
      <c r="B114" s="3">
        <f>IF('December_Tide_2025 (2)'!B114="","",'December_Tide_2025 (2)'!B114)</f>
        <v>2.2400000000000002</v>
      </c>
      <c r="C114" s="3">
        <f>IF($A114="","", INDEX([1]Calc!$E:$E, MATCH("KminusZ_m", [1]Calc!$C:$C, 0)) + $B114 - INDEX([1]Calc!$E:$E, MATCH("L_ramp_m", [1]Calc!$C:$C, 0)) * TAN(RADIANS(INDEX([1]Calc!$E:$E, MATCH("theta_max_deg", [1]Calc!$C:$C, 0)))))</f>
        <v>3.9787491768118826</v>
      </c>
      <c r="D114" s="3"/>
      <c r="E114" s="3">
        <f t="shared" si="3"/>
        <v>3.9787491768118826</v>
      </c>
      <c r="F114" s="3">
        <f t="shared" si="4"/>
        <v>3.9787491768118826</v>
      </c>
      <c r="G114" s="3">
        <f>IF($E114="","", DEGREES(ATAN((INDEX([1]Calc!$E:$E, MATCH("KminusZ_m", [1]Calc!$C:$C, 0)) - $E114 + $B114) / INDEX([1]Calc!$E:$E, MATCH("L_ramp_m", [1]Calc!$C:$C, 0)))))</f>
        <v>6.0000000000000009</v>
      </c>
      <c r="H114" s="2" t="str">
        <f>IF($E114="","", IF(AND($E114&gt;=INDEX([1]Calc!$E:$E, MATCH("min_fwd_draft_m", [1]Calc!$C:$C, 0)), $E114&lt;=INDEX([1]Calc!$E:$E, MATCH("max_fwd_draft_m", [1]Calc!$C:$C, 0)), $G114&lt;=INDEX([1]Calc!$E:$E, MATCH("theta_max_deg", [1]Calc!$C:$C, 0))), "OK", "CHECK"))</f>
        <v>CHECK</v>
      </c>
      <c r="I114" s="3">
        <f>IF($E114="","", INDEX([1]Calc!$E:$E, MATCH("D_vessel_m", [1]Calc!$C:$C, 0)) - $E114 + $B114)</f>
        <v>1.9112508231881176</v>
      </c>
      <c r="J114" s="3">
        <f>IF($F114="","", INDEX([1]Calc!$E:$E, MATCH("D_vessel_m", [1]Calc!$C:$C, 0)) - $F114 + $B114)</f>
        <v>1.9112508231881176</v>
      </c>
      <c r="K114" s="2" t="str">
        <f t="shared" si="5"/>
        <v>Even Keel</v>
      </c>
    </row>
    <row r="115" spans="1:11" x14ac:dyDescent="0.6">
      <c r="A115" s="2" t="str">
        <f>IF('December_Tide_2025 (2)'!A115="","",'December_Tide_2025 (2)'!A115)</f>
        <v>2025-12-05 17:00:00</v>
      </c>
      <c r="B115" s="3">
        <f>IF('December_Tide_2025 (2)'!B115="","",'December_Tide_2025 (2)'!B115)</f>
        <v>2.58</v>
      </c>
      <c r="C115" s="3">
        <f>IF($A115="","", INDEX([1]Calc!$E:$E, MATCH("KminusZ_m", [1]Calc!$C:$C, 0)) + $B115 - INDEX([1]Calc!$E:$E, MATCH("L_ramp_m", [1]Calc!$C:$C, 0)) * TAN(RADIANS(INDEX([1]Calc!$E:$E, MATCH("theta_max_deg", [1]Calc!$C:$C, 0)))))</f>
        <v>4.3187491768118829</v>
      </c>
      <c r="D115" s="3"/>
      <c r="E115" s="3">
        <f t="shared" si="3"/>
        <v>4.3187491768118829</v>
      </c>
      <c r="F115" s="3">
        <f t="shared" si="4"/>
        <v>4.3187491768118829</v>
      </c>
      <c r="G115" s="3">
        <f>IF($E115="","", DEGREES(ATAN((INDEX([1]Calc!$E:$E, MATCH("KminusZ_m", [1]Calc!$C:$C, 0)) - $E115 + $B115) / INDEX([1]Calc!$E:$E, MATCH("L_ramp_m", [1]Calc!$C:$C, 0)))))</f>
        <v>5.9999999999999982</v>
      </c>
      <c r="H115" s="2" t="str">
        <f>IF($E115="","", IF(AND($E115&gt;=INDEX([1]Calc!$E:$E, MATCH("min_fwd_draft_m", [1]Calc!$C:$C, 0)), $E115&lt;=INDEX([1]Calc!$E:$E, MATCH("max_fwd_draft_m", [1]Calc!$C:$C, 0)), $G115&lt;=INDEX([1]Calc!$E:$E, MATCH("theta_max_deg", [1]Calc!$C:$C, 0))), "OK", "CHECK"))</f>
        <v>CHECK</v>
      </c>
      <c r="I115" s="3">
        <f>IF($E115="","", INDEX([1]Calc!$E:$E, MATCH("D_vessel_m", [1]Calc!$C:$C, 0)) - $E115 + $B115)</f>
        <v>1.9112508231881171</v>
      </c>
      <c r="J115" s="3">
        <f>IF($F115="","", INDEX([1]Calc!$E:$E, MATCH("D_vessel_m", [1]Calc!$C:$C, 0)) - $F115 + $B115)</f>
        <v>1.9112508231881171</v>
      </c>
      <c r="K115" s="2" t="str">
        <f t="shared" si="5"/>
        <v>Even Keel</v>
      </c>
    </row>
    <row r="116" spans="1:11" x14ac:dyDescent="0.6">
      <c r="A116" s="2" t="str">
        <f>IF('December_Tide_2025 (2)'!A116="","",'December_Tide_2025 (2)'!A116)</f>
        <v>2025-12-05 18:00:00</v>
      </c>
      <c r="B116" s="3">
        <f>IF('December_Tide_2025 (2)'!B116="","",'December_Tide_2025 (2)'!B116)</f>
        <v>2.73</v>
      </c>
      <c r="C116" s="3">
        <f>IF($A116="","", INDEX([1]Calc!$E:$E, MATCH("KminusZ_m", [1]Calc!$C:$C, 0)) + $B116 - INDEX([1]Calc!$E:$E, MATCH("L_ramp_m", [1]Calc!$C:$C, 0)) * TAN(RADIANS(INDEX([1]Calc!$E:$E, MATCH("theta_max_deg", [1]Calc!$C:$C, 0)))))</f>
        <v>4.4687491768118832</v>
      </c>
      <c r="D116" s="3"/>
      <c r="E116" s="3">
        <f t="shared" si="3"/>
        <v>4.4687491768118832</v>
      </c>
      <c r="F116" s="3">
        <f t="shared" si="4"/>
        <v>4.4687491768118832</v>
      </c>
      <c r="G116" s="3">
        <f>IF($E116="","", DEGREES(ATAN((INDEX([1]Calc!$E:$E, MATCH("KminusZ_m", [1]Calc!$C:$C, 0)) - $E116 + $B116) / INDEX([1]Calc!$E:$E, MATCH("L_ramp_m", [1]Calc!$C:$C, 0)))))</f>
        <v>5.9999999999999964</v>
      </c>
      <c r="H116" s="2" t="str">
        <f>IF($E116="","", IF(AND($E116&gt;=INDEX([1]Calc!$E:$E, MATCH("min_fwd_draft_m", [1]Calc!$C:$C, 0)), $E116&lt;=INDEX([1]Calc!$E:$E, MATCH("max_fwd_draft_m", [1]Calc!$C:$C, 0)), $G116&lt;=INDEX([1]Calc!$E:$E, MATCH("theta_max_deg", [1]Calc!$C:$C, 0))), "OK", "CHECK"))</f>
        <v>CHECK</v>
      </c>
      <c r="I116" s="3">
        <f>IF($E116="","", INDEX([1]Calc!$E:$E, MATCH("D_vessel_m", [1]Calc!$C:$C, 0)) - $E116 + $B116)</f>
        <v>1.9112508231881167</v>
      </c>
      <c r="J116" s="3">
        <f>IF($F116="","", INDEX([1]Calc!$E:$E, MATCH("D_vessel_m", [1]Calc!$C:$C, 0)) - $F116 + $B116)</f>
        <v>1.9112508231881167</v>
      </c>
      <c r="K116" s="2" t="str">
        <f t="shared" si="5"/>
        <v>Even Keel</v>
      </c>
    </row>
    <row r="117" spans="1:11" x14ac:dyDescent="0.6">
      <c r="A117" s="2" t="str">
        <f>IF('December_Tide_2025 (2)'!A117="","",'December_Tide_2025 (2)'!A117)</f>
        <v>2025-12-05 19:00:00</v>
      </c>
      <c r="B117" s="3">
        <f>IF('December_Tide_2025 (2)'!B117="","",'December_Tide_2025 (2)'!B117)</f>
        <v>2.65</v>
      </c>
      <c r="C117" s="3">
        <f>IF($A117="","", INDEX([1]Calc!$E:$E, MATCH("KminusZ_m", [1]Calc!$C:$C, 0)) + $B117 - INDEX([1]Calc!$E:$E, MATCH("L_ramp_m", [1]Calc!$C:$C, 0)) * TAN(RADIANS(INDEX([1]Calc!$E:$E, MATCH("theta_max_deg", [1]Calc!$C:$C, 0)))))</f>
        <v>4.3887491768118831</v>
      </c>
      <c r="D117" s="3"/>
      <c r="E117" s="3">
        <f t="shared" si="3"/>
        <v>4.3887491768118831</v>
      </c>
      <c r="F117" s="3">
        <f t="shared" si="4"/>
        <v>4.3887491768118831</v>
      </c>
      <c r="G117" s="3">
        <f>IF($E117="","", DEGREES(ATAN((INDEX([1]Calc!$E:$E, MATCH("KminusZ_m", [1]Calc!$C:$C, 0)) - $E117 + $B117) / INDEX([1]Calc!$E:$E, MATCH("L_ramp_m", [1]Calc!$C:$C, 0)))))</f>
        <v>5.9999999999999964</v>
      </c>
      <c r="H117" s="2" t="str">
        <f>IF($E117="","", IF(AND($E117&gt;=INDEX([1]Calc!$E:$E, MATCH("min_fwd_draft_m", [1]Calc!$C:$C, 0)), $E117&lt;=INDEX([1]Calc!$E:$E, MATCH("max_fwd_draft_m", [1]Calc!$C:$C, 0)), $G117&lt;=INDEX([1]Calc!$E:$E, MATCH("theta_max_deg", [1]Calc!$C:$C, 0))), "OK", "CHECK"))</f>
        <v>CHECK</v>
      </c>
      <c r="I117" s="3">
        <f>IF($E117="","", INDEX([1]Calc!$E:$E, MATCH("D_vessel_m", [1]Calc!$C:$C, 0)) - $E117 + $B117)</f>
        <v>1.9112508231881167</v>
      </c>
      <c r="J117" s="3">
        <f>IF($F117="","", INDEX([1]Calc!$E:$E, MATCH("D_vessel_m", [1]Calc!$C:$C, 0)) - $F117 + $B117)</f>
        <v>1.9112508231881167</v>
      </c>
      <c r="K117" s="2" t="str">
        <f t="shared" si="5"/>
        <v>Even Keel</v>
      </c>
    </row>
    <row r="118" spans="1:11" x14ac:dyDescent="0.6">
      <c r="A118" s="2" t="str">
        <f>IF('December_Tide_2025 (2)'!A118="","",'December_Tide_2025 (2)'!A118)</f>
        <v>2025-12-05 20:00:00</v>
      </c>
      <c r="B118" s="3">
        <f>IF('December_Tide_2025 (2)'!B118="","",'December_Tide_2025 (2)'!B118)</f>
        <v>2.35</v>
      </c>
      <c r="C118" s="3">
        <f>IF($A118="","", INDEX([1]Calc!$E:$E, MATCH("KminusZ_m", [1]Calc!$C:$C, 0)) + $B118 - INDEX([1]Calc!$E:$E, MATCH("L_ramp_m", [1]Calc!$C:$C, 0)) * TAN(RADIANS(INDEX([1]Calc!$E:$E, MATCH("theta_max_deg", [1]Calc!$C:$C, 0)))))</f>
        <v>4.0887491768118824</v>
      </c>
      <c r="D118" s="3"/>
      <c r="E118" s="3">
        <f t="shared" si="3"/>
        <v>4.0887491768118824</v>
      </c>
      <c r="F118" s="3">
        <f t="shared" si="4"/>
        <v>4.0887491768118824</v>
      </c>
      <c r="G118" s="3">
        <f>IF($E118="","", DEGREES(ATAN((INDEX([1]Calc!$E:$E, MATCH("KminusZ_m", [1]Calc!$C:$C, 0)) - $E118 + $B118) / INDEX([1]Calc!$E:$E, MATCH("L_ramp_m", [1]Calc!$C:$C, 0)))))</f>
        <v>6.0000000000000009</v>
      </c>
      <c r="H118" s="2" t="str">
        <f>IF($E118="","", IF(AND($E118&gt;=INDEX([1]Calc!$E:$E, MATCH("min_fwd_draft_m", [1]Calc!$C:$C, 0)), $E118&lt;=INDEX([1]Calc!$E:$E, MATCH("max_fwd_draft_m", [1]Calc!$C:$C, 0)), $G118&lt;=INDEX([1]Calc!$E:$E, MATCH("theta_max_deg", [1]Calc!$C:$C, 0))), "OK", "CHECK"))</f>
        <v>CHECK</v>
      </c>
      <c r="I118" s="3">
        <f>IF($E118="","", INDEX([1]Calc!$E:$E, MATCH("D_vessel_m", [1]Calc!$C:$C, 0)) - $E118 + $B118)</f>
        <v>1.9112508231881176</v>
      </c>
      <c r="J118" s="3">
        <f>IF($F118="","", INDEX([1]Calc!$E:$E, MATCH("D_vessel_m", [1]Calc!$C:$C, 0)) - $F118 + $B118)</f>
        <v>1.9112508231881176</v>
      </c>
      <c r="K118" s="2" t="str">
        <f t="shared" si="5"/>
        <v>Even Keel</v>
      </c>
    </row>
    <row r="119" spans="1:11" x14ac:dyDescent="0.6">
      <c r="A119" s="2" t="str">
        <f>IF('December_Tide_2025 (2)'!A119="","",'December_Tide_2025 (2)'!A119)</f>
        <v>2025-12-05 21:00:00</v>
      </c>
      <c r="B119" s="3">
        <f>IF('December_Tide_2025 (2)'!B119="","",'December_Tide_2025 (2)'!B119)</f>
        <v>1.92</v>
      </c>
      <c r="C119" s="3">
        <f>IF($A119="","", INDEX([1]Calc!$E:$E, MATCH("KminusZ_m", [1]Calc!$C:$C, 0)) + $B119 - INDEX([1]Calc!$E:$E, MATCH("L_ramp_m", [1]Calc!$C:$C, 0)) * TAN(RADIANS(INDEX([1]Calc!$E:$E, MATCH("theta_max_deg", [1]Calc!$C:$C, 0)))))</f>
        <v>3.6587491768118823</v>
      </c>
      <c r="D119" s="3"/>
      <c r="E119" s="3">
        <f t="shared" si="3"/>
        <v>3.6587491768118823</v>
      </c>
      <c r="F119" s="3">
        <f t="shared" si="4"/>
        <v>3.6587491768118823</v>
      </c>
      <c r="G119" s="3">
        <f>IF($E119="","", DEGREES(ATAN((INDEX([1]Calc!$E:$E, MATCH("KminusZ_m", [1]Calc!$C:$C, 0)) - $E119 + $B119) / INDEX([1]Calc!$E:$E, MATCH("L_ramp_m", [1]Calc!$C:$C, 0)))))</f>
        <v>6.0000000000000009</v>
      </c>
      <c r="H119" s="2" t="str">
        <f>IF($E119="","", IF(AND($E119&gt;=INDEX([1]Calc!$E:$E, MATCH("min_fwd_draft_m", [1]Calc!$C:$C, 0)), $E119&lt;=INDEX([1]Calc!$E:$E, MATCH("max_fwd_draft_m", [1]Calc!$C:$C, 0)), $G119&lt;=INDEX([1]Calc!$E:$E, MATCH("theta_max_deg", [1]Calc!$C:$C, 0))), "OK", "CHECK"))</f>
        <v>CHECK</v>
      </c>
      <c r="I119" s="3">
        <f>IF($E119="","", INDEX([1]Calc!$E:$E, MATCH("D_vessel_m", [1]Calc!$C:$C, 0)) - $E119 + $B119)</f>
        <v>1.9112508231881176</v>
      </c>
      <c r="J119" s="3">
        <f>IF($F119="","", INDEX([1]Calc!$E:$E, MATCH("D_vessel_m", [1]Calc!$C:$C, 0)) - $F119 + $B119)</f>
        <v>1.9112508231881176</v>
      </c>
      <c r="K119" s="2" t="str">
        <f t="shared" si="5"/>
        <v>Even Keel</v>
      </c>
    </row>
    <row r="120" spans="1:11" x14ac:dyDescent="0.6">
      <c r="A120" s="2" t="str">
        <f>IF('December_Tide_2025 (2)'!A120="","",'December_Tide_2025 (2)'!A120)</f>
        <v>2025-12-05 22:00:00</v>
      </c>
      <c r="B120" s="3">
        <f>IF('December_Tide_2025 (2)'!B120="","",'December_Tide_2025 (2)'!B120)</f>
        <v>1.45</v>
      </c>
      <c r="C120" s="3">
        <f>IF($A120="","", INDEX([1]Calc!$E:$E, MATCH("KminusZ_m", [1]Calc!$C:$C, 0)) + $B120 - INDEX([1]Calc!$E:$E, MATCH("L_ramp_m", [1]Calc!$C:$C, 0)) * TAN(RADIANS(INDEX([1]Calc!$E:$E, MATCH("theta_max_deg", [1]Calc!$C:$C, 0)))))</f>
        <v>3.1887491768118825</v>
      </c>
      <c r="D120" s="3"/>
      <c r="E120" s="3">
        <f t="shared" si="3"/>
        <v>3.1887491768118825</v>
      </c>
      <c r="F120" s="3">
        <f t="shared" si="4"/>
        <v>3.1887491768118825</v>
      </c>
      <c r="G120" s="3">
        <f>IF($E120="","", DEGREES(ATAN((INDEX([1]Calc!$E:$E, MATCH("KminusZ_m", [1]Calc!$C:$C, 0)) - $E120 + $B120) / INDEX([1]Calc!$E:$E, MATCH("L_ramp_m", [1]Calc!$C:$C, 0)))))</f>
        <v>6</v>
      </c>
      <c r="H120" s="2" t="str">
        <f>IF($E120="","", IF(AND($E120&gt;=INDEX([1]Calc!$E:$E, MATCH("min_fwd_draft_m", [1]Calc!$C:$C, 0)), $E120&lt;=INDEX([1]Calc!$E:$E, MATCH("max_fwd_draft_m", [1]Calc!$C:$C, 0)), $G120&lt;=INDEX([1]Calc!$E:$E, MATCH("theta_max_deg", [1]Calc!$C:$C, 0))), "OK", "CHECK"))</f>
        <v>OK</v>
      </c>
      <c r="I120" s="3">
        <f>IF($E120="","", INDEX([1]Calc!$E:$E, MATCH("D_vessel_m", [1]Calc!$C:$C, 0)) - $E120 + $B120)</f>
        <v>1.9112508231881173</v>
      </c>
      <c r="J120" s="3">
        <f>IF($F120="","", INDEX([1]Calc!$E:$E, MATCH("D_vessel_m", [1]Calc!$C:$C, 0)) - $F120 + $B120)</f>
        <v>1.9112508231881173</v>
      </c>
      <c r="K120" s="2" t="str">
        <f t="shared" si="5"/>
        <v>Even Keel</v>
      </c>
    </row>
    <row r="121" spans="1:11" x14ac:dyDescent="0.6">
      <c r="A121" s="2" t="str">
        <f>IF('December_Tide_2025 (2)'!A121="","",'December_Tide_2025 (2)'!A121)</f>
        <v>2025-12-05 23:00:00</v>
      </c>
      <c r="B121" s="3">
        <f>IF('December_Tide_2025 (2)'!B121="","",'December_Tide_2025 (2)'!B121)</f>
        <v>1.07</v>
      </c>
      <c r="C121" s="3">
        <f>IF($A121="","", INDEX([1]Calc!$E:$E, MATCH("KminusZ_m", [1]Calc!$C:$C, 0)) + $B121 - INDEX([1]Calc!$E:$E, MATCH("L_ramp_m", [1]Calc!$C:$C, 0)) * TAN(RADIANS(INDEX([1]Calc!$E:$E, MATCH("theta_max_deg", [1]Calc!$C:$C, 0)))))</f>
        <v>2.8087491768118826</v>
      </c>
      <c r="D121" s="3"/>
      <c r="E121" s="3">
        <f t="shared" si="3"/>
        <v>2.8087491768118826</v>
      </c>
      <c r="F121" s="3">
        <f t="shared" si="4"/>
        <v>2.8087491768118826</v>
      </c>
      <c r="G121" s="3">
        <f>IF($E121="","", DEGREES(ATAN((INDEX([1]Calc!$E:$E, MATCH("KminusZ_m", [1]Calc!$C:$C, 0)) - $E121 + $B121) / INDEX([1]Calc!$E:$E, MATCH("L_ramp_m", [1]Calc!$C:$C, 0)))))</f>
        <v>6</v>
      </c>
      <c r="H121" s="2" t="str">
        <f>IF($E121="","", IF(AND($E121&gt;=INDEX([1]Calc!$E:$E, MATCH("min_fwd_draft_m", [1]Calc!$C:$C, 0)), $E121&lt;=INDEX([1]Calc!$E:$E, MATCH("max_fwd_draft_m", [1]Calc!$C:$C, 0)), $G121&lt;=INDEX([1]Calc!$E:$E, MATCH("theta_max_deg", [1]Calc!$C:$C, 0))), "OK", "CHECK"))</f>
        <v>OK</v>
      </c>
      <c r="I121" s="3">
        <f>IF($E121="","", INDEX([1]Calc!$E:$E, MATCH("D_vessel_m", [1]Calc!$C:$C, 0)) - $E121 + $B121)</f>
        <v>1.9112508231881173</v>
      </c>
      <c r="J121" s="3">
        <f>IF($F121="","", INDEX([1]Calc!$E:$E, MATCH("D_vessel_m", [1]Calc!$C:$C, 0)) - $F121 + $B121)</f>
        <v>1.9112508231881173</v>
      </c>
      <c r="K121" s="2" t="str">
        <f t="shared" si="5"/>
        <v>Even Keel</v>
      </c>
    </row>
    <row r="122" spans="1:11" x14ac:dyDescent="0.6">
      <c r="A122" s="2" t="str">
        <f>IF('December_Tide_2025 (2)'!A122="","",'December_Tide_2025 (2)'!A122)</f>
        <v>2025-12-06 00:00:00</v>
      </c>
      <c r="B122" s="3">
        <f>IF('December_Tide_2025 (2)'!B122="","",'December_Tide_2025 (2)'!B122)</f>
        <v>0.88</v>
      </c>
      <c r="C122" s="3">
        <f>IF($A122="","", INDEX([1]Calc!$E:$E, MATCH("KminusZ_m", [1]Calc!$C:$C, 0)) + $B122 - INDEX([1]Calc!$E:$E, MATCH("L_ramp_m", [1]Calc!$C:$C, 0)) * TAN(RADIANS(INDEX([1]Calc!$E:$E, MATCH("theta_max_deg", [1]Calc!$C:$C, 0)))))</f>
        <v>2.6187491768118822</v>
      </c>
      <c r="D122" s="3"/>
      <c r="E122" s="3">
        <f t="shared" si="3"/>
        <v>2.6187491768118822</v>
      </c>
      <c r="F122" s="3">
        <f t="shared" si="4"/>
        <v>2.6187491768118822</v>
      </c>
      <c r="G122" s="3">
        <f>IF($E122="","", DEGREES(ATAN((INDEX([1]Calc!$E:$E, MATCH("KminusZ_m", [1]Calc!$C:$C, 0)) - $E122 + $B122) / INDEX([1]Calc!$E:$E, MATCH("L_ramp_m", [1]Calc!$C:$C, 0)))))</f>
        <v>6.0000000000000009</v>
      </c>
      <c r="H122" s="2" t="str">
        <f>IF($E122="","", IF(AND($E122&gt;=INDEX([1]Calc!$E:$E, MATCH("min_fwd_draft_m", [1]Calc!$C:$C, 0)), $E122&lt;=INDEX([1]Calc!$E:$E, MATCH("max_fwd_draft_m", [1]Calc!$C:$C, 0)), $G122&lt;=INDEX([1]Calc!$E:$E, MATCH("theta_max_deg", [1]Calc!$C:$C, 0))), "OK", "CHECK"))</f>
        <v>OK</v>
      </c>
      <c r="I122" s="3">
        <f>IF($E122="","", INDEX([1]Calc!$E:$E, MATCH("D_vessel_m", [1]Calc!$C:$C, 0)) - $E122 + $B122)</f>
        <v>1.9112508231881176</v>
      </c>
      <c r="J122" s="3">
        <f>IF($F122="","", INDEX([1]Calc!$E:$E, MATCH("D_vessel_m", [1]Calc!$C:$C, 0)) - $F122 + $B122)</f>
        <v>1.9112508231881176</v>
      </c>
      <c r="K122" s="2" t="str">
        <f t="shared" si="5"/>
        <v>Even Keel</v>
      </c>
    </row>
    <row r="123" spans="1:11" x14ac:dyDescent="0.6">
      <c r="A123" s="2" t="str">
        <f>IF('December_Tide_2025 (2)'!A123="","",'December_Tide_2025 (2)'!A123)</f>
        <v>2025-12-06 01:00:00</v>
      </c>
      <c r="B123" s="3">
        <f>IF('December_Tide_2025 (2)'!B123="","",'December_Tide_2025 (2)'!B123)</f>
        <v>0.91</v>
      </c>
      <c r="C123" s="3">
        <f>IF($A123="","", INDEX([1]Calc!$E:$E, MATCH("KminusZ_m", [1]Calc!$C:$C, 0)) + $B123 - INDEX([1]Calc!$E:$E, MATCH("L_ramp_m", [1]Calc!$C:$C, 0)) * TAN(RADIANS(INDEX([1]Calc!$E:$E, MATCH("theta_max_deg", [1]Calc!$C:$C, 0)))))</f>
        <v>2.6487491768118825</v>
      </c>
      <c r="D123" s="3"/>
      <c r="E123" s="3">
        <f t="shared" si="3"/>
        <v>2.6487491768118825</v>
      </c>
      <c r="F123" s="3">
        <f t="shared" si="4"/>
        <v>2.6487491768118825</v>
      </c>
      <c r="G123" s="3">
        <f>IF($E123="","", DEGREES(ATAN((INDEX([1]Calc!$E:$E, MATCH("KminusZ_m", [1]Calc!$C:$C, 0)) - $E123 + $B123) / INDEX([1]Calc!$E:$E, MATCH("L_ramp_m", [1]Calc!$C:$C, 0)))))</f>
        <v>6.0000000000000009</v>
      </c>
      <c r="H123" s="2" t="str">
        <f>IF($E123="","", IF(AND($E123&gt;=INDEX([1]Calc!$E:$E, MATCH("min_fwd_draft_m", [1]Calc!$C:$C, 0)), $E123&lt;=INDEX([1]Calc!$E:$E, MATCH("max_fwd_draft_m", [1]Calc!$C:$C, 0)), $G123&lt;=INDEX([1]Calc!$E:$E, MATCH("theta_max_deg", [1]Calc!$C:$C, 0))), "OK", "CHECK"))</f>
        <v>OK</v>
      </c>
      <c r="I123" s="3">
        <f>IF($E123="","", INDEX([1]Calc!$E:$E, MATCH("D_vessel_m", [1]Calc!$C:$C, 0)) - $E123 + $B123)</f>
        <v>1.9112508231881176</v>
      </c>
      <c r="J123" s="3">
        <f>IF($F123="","", INDEX([1]Calc!$E:$E, MATCH("D_vessel_m", [1]Calc!$C:$C, 0)) - $F123 + $B123)</f>
        <v>1.9112508231881176</v>
      </c>
      <c r="K123" s="2" t="str">
        <f t="shared" si="5"/>
        <v>Even Keel</v>
      </c>
    </row>
    <row r="124" spans="1:11" x14ac:dyDescent="0.6">
      <c r="A124" s="2" t="str">
        <f>IF('December_Tide_2025 (2)'!A124="","",'December_Tide_2025 (2)'!A124)</f>
        <v>2025-12-06 02:00:00</v>
      </c>
      <c r="B124" s="3">
        <f>IF('December_Tide_2025 (2)'!B124="","",'December_Tide_2025 (2)'!B124)</f>
        <v>1.17</v>
      </c>
      <c r="C124" s="3">
        <f>IF($A124="","", INDEX([1]Calc!$E:$E, MATCH("KminusZ_m", [1]Calc!$C:$C, 0)) + $B124 - INDEX([1]Calc!$E:$E, MATCH("L_ramp_m", [1]Calc!$C:$C, 0)) * TAN(RADIANS(INDEX([1]Calc!$E:$E, MATCH("theta_max_deg", [1]Calc!$C:$C, 0)))))</f>
        <v>2.9087491768118823</v>
      </c>
      <c r="D124" s="3"/>
      <c r="E124" s="3">
        <f t="shared" si="3"/>
        <v>2.9087491768118823</v>
      </c>
      <c r="F124" s="3">
        <f t="shared" si="4"/>
        <v>2.9087491768118823</v>
      </c>
      <c r="G124" s="3">
        <f>IF($E124="","", DEGREES(ATAN((INDEX([1]Calc!$E:$E, MATCH("KminusZ_m", [1]Calc!$C:$C, 0)) - $E124 + $B124) / INDEX([1]Calc!$E:$E, MATCH("L_ramp_m", [1]Calc!$C:$C, 0)))))</f>
        <v>6.0000000000000009</v>
      </c>
      <c r="H124" s="2" t="str">
        <f>IF($E124="","", IF(AND($E124&gt;=INDEX([1]Calc!$E:$E, MATCH("min_fwd_draft_m", [1]Calc!$C:$C, 0)), $E124&lt;=INDEX([1]Calc!$E:$E, MATCH("max_fwd_draft_m", [1]Calc!$C:$C, 0)), $G124&lt;=INDEX([1]Calc!$E:$E, MATCH("theta_max_deg", [1]Calc!$C:$C, 0))), "OK", "CHECK"))</f>
        <v>OK</v>
      </c>
      <c r="I124" s="3">
        <f>IF($E124="","", INDEX([1]Calc!$E:$E, MATCH("D_vessel_m", [1]Calc!$C:$C, 0)) - $E124 + $B124)</f>
        <v>1.9112508231881176</v>
      </c>
      <c r="J124" s="3">
        <f>IF($F124="","", INDEX([1]Calc!$E:$E, MATCH("D_vessel_m", [1]Calc!$C:$C, 0)) - $F124 + $B124)</f>
        <v>1.9112508231881176</v>
      </c>
      <c r="K124" s="2" t="str">
        <f t="shared" si="5"/>
        <v>Even Keel</v>
      </c>
    </row>
    <row r="125" spans="1:11" x14ac:dyDescent="0.6">
      <c r="A125" s="2" t="str">
        <f>IF('December_Tide_2025 (2)'!A125="","",'December_Tide_2025 (2)'!A125)</f>
        <v>2025-12-06 03:00:00</v>
      </c>
      <c r="B125" s="3">
        <f>IF('December_Tide_2025 (2)'!B125="","",'December_Tide_2025 (2)'!B125)</f>
        <v>1.59</v>
      </c>
      <c r="C125" s="3">
        <f>IF($A125="","", INDEX([1]Calc!$E:$E, MATCH("KminusZ_m", [1]Calc!$C:$C, 0)) + $B125 - INDEX([1]Calc!$E:$E, MATCH("L_ramp_m", [1]Calc!$C:$C, 0)) * TAN(RADIANS(INDEX([1]Calc!$E:$E, MATCH("theta_max_deg", [1]Calc!$C:$C, 0)))))</f>
        <v>3.3287491768118822</v>
      </c>
      <c r="D125" s="3"/>
      <c r="E125" s="3">
        <f t="shared" si="3"/>
        <v>3.3287491768118822</v>
      </c>
      <c r="F125" s="3">
        <f t="shared" si="4"/>
        <v>3.3287491768118822</v>
      </c>
      <c r="G125" s="3">
        <f>IF($E125="","", DEGREES(ATAN((INDEX([1]Calc!$E:$E, MATCH("KminusZ_m", [1]Calc!$C:$C, 0)) - $E125 + $B125) / INDEX([1]Calc!$E:$E, MATCH("L_ramp_m", [1]Calc!$C:$C, 0)))))</f>
        <v>6.0000000000000009</v>
      </c>
      <c r="H125" s="2" t="str">
        <f>IF($E125="","", IF(AND($E125&gt;=INDEX([1]Calc!$E:$E, MATCH("min_fwd_draft_m", [1]Calc!$C:$C, 0)), $E125&lt;=INDEX([1]Calc!$E:$E, MATCH("max_fwd_draft_m", [1]Calc!$C:$C, 0)), $G125&lt;=INDEX([1]Calc!$E:$E, MATCH("theta_max_deg", [1]Calc!$C:$C, 0))), "OK", "CHECK"))</f>
        <v>OK</v>
      </c>
      <c r="I125" s="3">
        <f>IF($E125="","", INDEX([1]Calc!$E:$E, MATCH("D_vessel_m", [1]Calc!$C:$C, 0)) - $E125 + $B125)</f>
        <v>1.9112508231881178</v>
      </c>
      <c r="J125" s="3">
        <f>IF($F125="","", INDEX([1]Calc!$E:$E, MATCH("D_vessel_m", [1]Calc!$C:$C, 0)) - $F125 + $B125)</f>
        <v>1.9112508231881178</v>
      </c>
      <c r="K125" s="2" t="str">
        <f t="shared" si="5"/>
        <v>Even Keel</v>
      </c>
    </row>
    <row r="126" spans="1:11" x14ac:dyDescent="0.6">
      <c r="A126" s="2" t="str">
        <f>IF('December_Tide_2025 (2)'!A126="","",'December_Tide_2025 (2)'!A126)</f>
        <v>2025-12-06 04:00:00</v>
      </c>
      <c r="B126" s="3">
        <f>IF('December_Tide_2025 (2)'!B126="","",'December_Tide_2025 (2)'!B126)</f>
        <v>2.06</v>
      </c>
      <c r="C126" s="3">
        <f>IF($A126="","", INDEX([1]Calc!$E:$E, MATCH("KminusZ_m", [1]Calc!$C:$C, 0)) + $B126 - INDEX([1]Calc!$E:$E, MATCH("L_ramp_m", [1]Calc!$C:$C, 0)) * TAN(RADIANS(INDEX([1]Calc!$E:$E, MATCH("theta_max_deg", [1]Calc!$C:$C, 0)))))</f>
        <v>3.7987491768118828</v>
      </c>
      <c r="D126" s="3"/>
      <c r="E126" s="3">
        <f t="shared" si="3"/>
        <v>3.7987491768118828</v>
      </c>
      <c r="F126" s="3">
        <f t="shared" si="4"/>
        <v>3.7987491768118828</v>
      </c>
      <c r="G126" s="3">
        <f>IF($E126="","", DEGREES(ATAN((INDEX([1]Calc!$E:$E, MATCH("KminusZ_m", [1]Calc!$C:$C, 0)) - $E126 + $B126) / INDEX([1]Calc!$E:$E, MATCH("L_ramp_m", [1]Calc!$C:$C, 0)))))</f>
        <v>5.9999999999999982</v>
      </c>
      <c r="H126" s="2" t="str">
        <f>IF($E126="","", IF(AND($E126&gt;=INDEX([1]Calc!$E:$E, MATCH("min_fwd_draft_m", [1]Calc!$C:$C, 0)), $E126&lt;=INDEX([1]Calc!$E:$E, MATCH("max_fwd_draft_m", [1]Calc!$C:$C, 0)), $G126&lt;=INDEX([1]Calc!$E:$E, MATCH("theta_max_deg", [1]Calc!$C:$C, 0))), "OK", "CHECK"))</f>
        <v>CHECK</v>
      </c>
      <c r="I126" s="3">
        <f>IF($E126="","", INDEX([1]Calc!$E:$E, MATCH("D_vessel_m", [1]Calc!$C:$C, 0)) - $E126 + $B126)</f>
        <v>1.9112508231881171</v>
      </c>
      <c r="J126" s="3">
        <f>IF($F126="","", INDEX([1]Calc!$E:$E, MATCH("D_vessel_m", [1]Calc!$C:$C, 0)) - $F126 + $B126)</f>
        <v>1.9112508231881171</v>
      </c>
      <c r="K126" s="2" t="str">
        <f t="shared" si="5"/>
        <v>Even Keel</v>
      </c>
    </row>
    <row r="127" spans="1:11" x14ac:dyDescent="0.6">
      <c r="A127" s="2" t="str">
        <f>IF('December_Tide_2025 (2)'!A127="","",'December_Tide_2025 (2)'!A127)</f>
        <v>2025-12-06 05:00:00</v>
      </c>
      <c r="B127" s="3">
        <f>IF('December_Tide_2025 (2)'!B127="","",'December_Tide_2025 (2)'!B127)</f>
        <v>2.46</v>
      </c>
      <c r="C127" s="3">
        <f>IF($A127="","", INDEX([1]Calc!$E:$E, MATCH("KminusZ_m", [1]Calc!$C:$C, 0)) + $B127 - INDEX([1]Calc!$E:$E, MATCH("L_ramp_m", [1]Calc!$C:$C, 0)) * TAN(RADIANS(INDEX([1]Calc!$E:$E, MATCH("theta_max_deg", [1]Calc!$C:$C, 0)))))</f>
        <v>4.1987491768118819</v>
      </c>
      <c r="D127" s="3"/>
      <c r="E127" s="3">
        <f t="shared" si="3"/>
        <v>4.1987491768118819</v>
      </c>
      <c r="F127" s="3">
        <f t="shared" si="4"/>
        <v>4.1987491768118819</v>
      </c>
      <c r="G127" s="3">
        <f>IF($E127="","", DEGREES(ATAN((INDEX([1]Calc!$E:$E, MATCH("KminusZ_m", [1]Calc!$C:$C, 0)) - $E127 + $B127) / INDEX([1]Calc!$E:$E, MATCH("L_ramp_m", [1]Calc!$C:$C, 0)))))</f>
        <v>6.0000000000000027</v>
      </c>
      <c r="H127" s="2" t="str">
        <f>IF($E127="","", IF(AND($E127&gt;=INDEX([1]Calc!$E:$E, MATCH("min_fwd_draft_m", [1]Calc!$C:$C, 0)), $E127&lt;=INDEX([1]Calc!$E:$E, MATCH("max_fwd_draft_m", [1]Calc!$C:$C, 0)), $G127&lt;=INDEX([1]Calc!$E:$E, MATCH("theta_max_deg", [1]Calc!$C:$C, 0))), "OK", "CHECK"))</f>
        <v>CHECK</v>
      </c>
      <c r="I127" s="3">
        <f>IF($E127="","", INDEX([1]Calc!$E:$E, MATCH("D_vessel_m", [1]Calc!$C:$C, 0)) - $E127 + $B127)</f>
        <v>1.911250823188118</v>
      </c>
      <c r="J127" s="3">
        <f>IF($F127="","", INDEX([1]Calc!$E:$E, MATCH("D_vessel_m", [1]Calc!$C:$C, 0)) - $F127 + $B127)</f>
        <v>1.911250823188118</v>
      </c>
      <c r="K127" s="2" t="str">
        <f t="shared" si="5"/>
        <v>Even Keel</v>
      </c>
    </row>
    <row r="128" spans="1:11" x14ac:dyDescent="0.6">
      <c r="A128" s="2" t="str">
        <f>IF('December_Tide_2025 (2)'!A128="","",'December_Tide_2025 (2)'!A128)</f>
        <v>2025-12-06 06:00:00</v>
      </c>
      <c r="B128" s="3">
        <f>IF('December_Tide_2025 (2)'!B128="","",'December_Tide_2025 (2)'!B128)</f>
        <v>2.7</v>
      </c>
      <c r="C128" s="3">
        <f>IF($A128="","", INDEX([1]Calc!$E:$E, MATCH("KminusZ_m", [1]Calc!$C:$C, 0)) + $B128 - INDEX([1]Calc!$E:$E, MATCH("L_ramp_m", [1]Calc!$C:$C, 0)) * TAN(RADIANS(INDEX([1]Calc!$E:$E, MATCH("theta_max_deg", [1]Calc!$C:$C, 0)))))</f>
        <v>4.4387491768118821</v>
      </c>
      <c r="D128" s="3"/>
      <c r="E128" s="3">
        <f t="shared" si="3"/>
        <v>4.4387491768118821</v>
      </c>
      <c r="F128" s="3">
        <f t="shared" si="4"/>
        <v>4.4387491768118821</v>
      </c>
      <c r="G128" s="3">
        <f>IF($E128="","", DEGREES(ATAN((INDEX([1]Calc!$E:$E, MATCH("KminusZ_m", [1]Calc!$C:$C, 0)) - $E128 + $B128) / INDEX([1]Calc!$E:$E, MATCH("L_ramp_m", [1]Calc!$C:$C, 0)))))</f>
        <v>6.0000000000000027</v>
      </c>
      <c r="H128" s="2" t="str">
        <f>IF($E128="","", IF(AND($E128&gt;=INDEX([1]Calc!$E:$E, MATCH("min_fwd_draft_m", [1]Calc!$C:$C, 0)), $E128&lt;=INDEX([1]Calc!$E:$E, MATCH("max_fwd_draft_m", [1]Calc!$C:$C, 0)), $G128&lt;=INDEX([1]Calc!$E:$E, MATCH("theta_max_deg", [1]Calc!$C:$C, 0))), "OK", "CHECK"))</f>
        <v>CHECK</v>
      </c>
      <c r="I128" s="3">
        <f>IF($E128="","", INDEX([1]Calc!$E:$E, MATCH("D_vessel_m", [1]Calc!$C:$C, 0)) - $E128 + $B128)</f>
        <v>1.911250823188118</v>
      </c>
      <c r="J128" s="3">
        <f>IF($F128="","", INDEX([1]Calc!$E:$E, MATCH("D_vessel_m", [1]Calc!$C:$C, 0)) - $F128 + $B128)</f>
        <v>1.911250823188118</v>
      </c>
      <c r="K128" s="2" t="str">
        <f t="shared" si="5"/>
        <v>Even Keel</v>
      </c>
    </row>
    <row r="129" spans="1:11" x14ac:dyDescent="0.6">
      <c r="A129" s="2" t="str">
        <f>IF('December_Tide_2025 (2)'!A129="","",'December_Tide_2025 (2)'!A129)</f>
        <v>2025-12-06 07:00:00</v>
      </c>
      <c r="B129" s="3">
        <f>IF('December_Tide_2025 (2)'!B129="","",'December_Tide_2025 (2)'!B129)</f>
        <v>2.71</v>
      </c>
      <c r="C129" s="3">
        <f>IF($A129="","", INDEX([1]Calc!$E:$E, MATCH("KminusZ_m", [1]Calc!$C:$C, 0)) + $B129 - INDEX([1]Calc!$E:$E, MATCH("L_ramp_m", [1]Calc!$C:$C, 0)) * TAN(RADIANS(INDEX([1]Calc!$E:$E, MATCH("theta_max_deg", [1]Calc!$C:$C, 0)))))</f>
        <v>4.4487491768118819</v>
      </c>
      <c r="D129" s="3"/>
      <c r="E129" s="3">
        <f t="shared" si="3"/>
        <v>4.4487491768118819</v>
      </c>
      <c r="F129" s="3">
        <f t="shared" si="4"/>
        <v>4.4487491768118819</v>
      </c>
      <c r="G129" s="3">
        <f>IF($E129="","", DEGREES(ATAN((INDEX([1]Calc!$E:$E, MATCH("KminusZ_m", [1]Calc!$C:$C, 0)) - $E129 + $B129) / INDEX([1]Calc!$E:$E, MATCH("L_ramp_m", [1]Calc!$C:$C, 0)))))</f>
        <v>6.0000000000000027</v>
      </c>
      <c r="H129" s="2" t="str">
        <f>IF($E129="","", IF(AND($E129&gt;=INDEX([1]Calc!$E:$E, MATCH("min_fwd_draft_m", [1]Calc!$C:$C, 0)), $E129&lt;=INDEX([1]Calc!$E:$E, MATCH("max_fwd_draft_m", [1]Calc!$C:$C, 0)), $G129&lt;=INDEX([1]Calc!$E:$E, MATCH("theta_max_deg", [1]Calc!$C:$C, 0))), "OK", "CHECK"))</f>
        <v>CHECK</v>
      </c>
      <c r="I129" s="3">
        <f>IF($E129="","", INDEX([1]Calc!$E:$E, MATCH("D_vessel_m", [1]Calc!$C:$C, 0)) - $E129 + $B129)</f>
        <v>1.911250823188118</v>
      </c>
      <c r="J129" s="3">
        <f>IF($F129="","", INDEX([1]Calc!$E:$E, MATCH("D_vessel_m", [1]Calc!$C:$C, 0)) - $F129 + $B129)</f>
        <v>1.911250823188118</v>
      </c>
      <c r="K129" s="2" t="str">
        <f t="shared" si="5"/>
        <v>Even Keel</v>
      </c>
    </row>
    <row r="130" spans="1:11" x14ac:dyDescent="0.6">
      <c r="A130" s="2" t="str">
        <f>IF('December_Tide_2025 (2)'!A130="","",'December_Tide_2025 (2)'!A130)</f>
        <v>2025-12-06 08:00:00</v>
      </c>
      <c r="B130" s="3">
        <f>IF('December_Tide_2025 (2)'!B130="","",'December_Tide_2025 (2)'!B130)</f>
        <v>2.4900000000000002</v>
      </c>
      <c r="C130" s="3">
        <f>IF($A130="","", INDEX([1]Calc!$E:$E, MATCH("KminusZ_m", [1]Calc!$C:$C, 0)) + $B130 - INDEX([1]Calc!$E:$E, MATCH("L_ramp_m", [1]Calc!$C:$C, 0)) * TAN(RADIANS(INDEX([1]Calc!$E:$E, MATCH("theta_max_deg", [1]Calc!$C:$C, 0)))))</f>
        <v>4.228749176811883</v>
      </c>
      <c r="D130" s="3"/>
      <c r="E130" s="3">
        <f t="shared" ref="E130:E193" si="6">IF($C130="","", IF($D130="", $C130, $C130 - $D130/2))</f>
        <v>4.228749176811883</v>
      </c>
      <c r="F130" s="3">
        <f t="shared" ref="F130:F193" si="7">IF($C130="","", IF($D130="", $C130, $C130 + $D130/2))</f>
        <v>4.228749176811883</v>
      </c>
      <c r="G130" s="3">
        <f>IF($E130="","", DEGREES(ATAN((INDEX([1]Calc!$E:$E, MATCH("KminusZ_m", [1]Calc!$C:$C, 0)) - $E130 + $B130) / INDEX([1]Calc!$E:$E, MATCH("L_ramp_m", [1]Calc!$C:$C, 0)))))</f>
        <v>5.9999999999999982</v>
      </c>
      <c r="H130" s="2" t="str">
        <f>IF($E130="","", IF(AND($E130&gt;=INDEX([1]Calc!$E:$E, MATCH("min_fwd_draft_m", [1]Calc!$C:$C, 0)), $E130&lt;=INDEX([1]Calc!$E:$E, MATCH("max_fwd_draft_m", [1]Calc!$C:$C, 0)), $G130&lt;=INDEX([1]Calc!$E:$E, MATCH("theta_max_deg", [1]Calc!$C:$C, 0))), "OK", "CHECK"))</f>
        <v>CHECK</v>
      </c>
      <c r="I130" s="3">
        <f>IF($E130="","", INDEX([1]Calc!$E:$E, MATCH("D_vessel_m", [1]Calc!$C:$C, 0)) - $E130 + $B130)</f>
        <v>1.9112508231881171</v>
      </c>
      <c r="J130" s="3">
        <f>IF($F130="","", INDEX([1]Calc!$E:$E, MATCH("D_vessel_m", [1]Calc!$C:$C, 0)) - $F130 + $B130)</f>
        <v>1.9112508231881171</v>
      </c>
      <c r="K130" s="2" t="str">
        <f t="shared" ref="K130:K193" si="8">IF(D130=0, "Even Keel", "")</f>
        <v>Even Keel</v>
      </c>
    </row>
    <row r="131" spans="1:11" x14ac:dyDescent="0.6">
      <c r="A131" s="2" t="str">
        <f>IF('December_Tide_2025 (2)'!A131="","",'December_Tide_2025 (2)'!A131)</f>
        <v>2025-12-06 09:00:00</v>
      </c>
      <c r="B131" s="3">
        <f>IF('December_Tide_2025 (2)'!B131="","",'December_Tide_2025 (2)'!B131)</f>
        <v>2.1</v>
      </c>
      <c r="C131" s="3">
        <f>IF($A131="","", INDEX([1]Calc!$E:$E, MATCH("KminusZ_m", [1]Calc!$C:$C, 0)) + $B131 - INDEX([1]Calc!$E:$E, MATCH("L_ramp_m", [1]Calc!$C:$C, 0)) * TAN(RADIANS(INDEX([1]Calc!$E:$E, MATCH("theta_max_deg", [1]Calc!$C:$C, 0)))))</f>
        <v>3.838749176811882</v>
      </c>
      <c r="D131" s="3"/>
      <c r="E131" s="3">
        <f t="shared" si="6"/>
        <v>3.838749176811882</v>
      </c>
      <c r="F131" s="3">
        <f t="shared" si="7"/>
        <v>3.838749176811882</v>
      </c>
      <c r="G131" s="3">
        <f>IF($E131="","", DEGREES(ATAN((INDEX([1]Calc!$E:$E, MATCH("KminusZ_m", [1]Calc!$C:$C, 0)) - $E131 + $B131) / INDEX([1]Calc!$E:$E, MATCH("L_ramp_m", [1]Calc!$C:$C, 0)))))</f>
        <v>6.0000000000000027</v>
      </c>
      <c r="H131" s="2" t="str">
        <f>IF($E131="","", IF(AND($E131&gt;=INDEX([1]Calc!$E:$E, MATCH("min_fwd_draft_m", [1]Calc!$C:$C, 0)), $E131&lt;=INDEX([1]Calc!$E:$E, MATCH("max_fwd_draft_m", [1]Calc!$C:$C, 0)), $G131&lt;=INDEX([1]Calc!$E:$E, MATCH("theta_max_deg", [1]Calc!$C:$C, 0))), "OK", "CHECK"))</f>
        <v>CHECK</v>
      </c>
      <c r="I131" s="3">
        <f>IF($E131="","", INDEX([1]Calc!$E:$E, MATCH("D_vessel_m", [1]Calc!$C:$C, 0)) - $E131 + $B131)</f>
        <v>1.911250823188118</v>
      </c>
      <c r="J131" s="3">
        <f>IF($F131="","", INDEX([1]Calc!$E:$E, MATCH("D_vessel_m", [1]Calc!$C:$C, 0)) - $F131 + $B131)</f>
        <v>1.911250823188118</v>
      </c>
      <c r="K131" s="2" t="str">
        <f t="shared" si="8"/>
        <v>Even Keel</v>
      </c>
    </row>
    <row r="132" spans="1:11" x14ac:dyDescent="0.6">
      <c r="A132" s="2" t="str">
        <f>IF('December_Tide_2025 (2)'!A132="","",'December_Tide_2025 (2)'!A132)</f>
        <v>2025-12-06 10:00:00</v>
      </c>
      <c r="B132" s="3">
        <f>IF('December_Tide_2025 (2)'!B132="","",'December_Tide_2025 (2)'!B132)</f>
        <v>1.63</v>
      </c>
      <c r="C132" s="3">
        <f>IF($A132="","", INDEX([1]Calc!$E:$E, MATCH("KminusZ_m", [1]Calc!$C:$C, 0)) + $B132 - INDEX([1]Calc!$E:$E, MATCH("L_ramp_m", [1]Calc!$C:$C, 0)) * TAN(RADIANS(INDEX([1]Calc!$E:$E, MATCH("theta_max_deg", [1]Calc!$C:$C, 0)))))</f>
        <v>3.3687491768118822</v>
      </c>
      <c r="D132" s="3"/>
      <c r="E132" s="3">
        <f t="shared" si="6"/>
        <v>3.3687491768118822</v>
      </c>
      <c r="F132" s="3">
        <f t="shared" si="7"/>
        <v>3.3687491768118822</v>
      </c>
      <c r="G132" s="3">
        <f>IF($E132="","", DEGREES(ATAN((INDEX([1]Calc!$E:$E, MATCH("KminusZ_m", [1]Calc!$C:$C, 0)) - $E132 + $B132) / INDEX([1]Calc!$E:$E, MATCH("L_ramp_m", [1]Calc!$C:$C, 0)))))</f>
        <v>6.0000000000000009</v>
      </c>
      <c r="H132" s="2" t="str">
        <f>IF($E132="","", IF(AND($E132&gt;=INDEX([1]Calc!$E:$E, MATCH("min_fwd_draft_m", [1]Calc!$C:$C, 0)), $E132&lt;=INDEX([1]Calc!$E:$E, MATCH("max_fwd_draft_m", [1]Calc!$C:$C, 0)), $G132&lt;=INDEX([1]Calc!$E:$E, MATCH("theta_max_deg", [1]Calc!$C:$C, 0))), "OK", "CHECK"))</f>
        <v>OK</v>
      </c>
      <c r="I132" s="3">
        <f>IF($E132="","", INDEX([1]Calc!$E:$E, MATCH("D_vessel_m", [1]Calc!$C:$C, 0)) - $E132 + $B132)</f>
        <v>1.9112508231881176</v>
      </c>
      <c r="J132" s="3">
        <f>IF($F132="","", INDEX([1]Calc!$E:$E, MATCH("D_vessel_m", [1]Calc!$C:$C, 0)) - $F132 + $B132)</f>
        <v>1.9112508231881176</v>
      </c>
      <c r="K132" s="2" t="str">
        <f t="shared" si="8"/>
        <v>Even Keel</v>
      </c>
    </row>
    <row r="133" spans="1:11" x14ac:dyDescent="0.6">
      <c r="A133" s="2" t="str">
        <f>IF('December_Tide_2025 (2)'!A133="","",'December_Tide_2025 (2)'!A133)</f>
        <v>2025-12-06 11:00:00</v>
      </c>
      <c r="B133" s="3">
        <f>IF('December_Tide_2025 (2)'!B133="","",'December_Tide_2025 (2)'!B133)</f>
        <v>1.21</v>
      </c>
      <c r="C133" s="3">
        <f>IF($A133="","", INDEX([1]Calc!$E:$E, MATCH("KminusZ_m", [1]Calc!$C:$C, 0)) + $B133 - INDEX([1]Calc!$E:$E, MATCH("L_ramp_m", [1]Calc!$C:$C, 0)) * TAN(RADIANS(INDEX([1]Calc!$E:$E, MATCH("theta_max_deg", [1]Calc!$C:$C, 0)))))</f>
        <v>2.9487491768118823</v>
      </c>
      <c r="D133" s="3"/>
      <c r="E133" s="3">
        <f t="shared" si="6"/>
        <v>2.9487491768118823</v>
      </c>
      <c r="F133" s="3">
        <f t="shared" si="7"/>
        <v>2.9487491768118823</v>
      </c>
      <c r="G133" s="3">
        <f>IF($E133="","", DEGREES(ATAN((INDEX([1]Calc!$E:$E, MATCH("KminusZ_m", [1]Calc!$C:$C, 0)) - $E133 + $B133) / INDEX([1]Calc!$E:$E, MATCH("L_ramp_m", [1]Calc!$C:$C, 0)))))</f>
        <v>6.0000000000000009</v>
      </c>
      <c r="H133" s="2" t="str">
        <f>IF($E133="","", IF(AND($E133&gt;=INDEX([1]Calc!$E:$E, MATCH("min_fwd_draft_m", [1]Calc!$C:$C, 0)), $E133&lt;=INDEX([1]Calc!$E:$E, MATCH("max_fwd_draft_m", [1]Calc!$C:$C, 0)), $G133&lt;=INDEX([1]Calc!$E:$E, MATCH("theta_max_deg", [1]Calc!$C:$C, 0))), "OK", "CHECK"))</f>
        <v>OK</v>
      </c>
      <c r="I133" s="3">
        <f>IF($E133="","", INDEX([1]Calc!$E:$E, MATCH("D_vessel_m", [1]Calc!$C:$C, 0)) - $E133 + $B133)</f>
        <v>1.9112508231881176</v>
      </c>
      <c r="J133" s="3">
        <f>IF($F133="","", INDEX([1]Calc!$E:$E, MATCH("D_vessel_m", [1]Calc!$C:$C, 0)) - $F133 + $B133)</f>
        <v>1.9112508231881176</v>
      </c>
      <c r="K133" s="2" t="str">
        <f t="shared" si="8"/>
        <v>Even Keel</v>
      </c>
    </row>
    <row r="134" spans="1:11" x14ac:dyDescent="0.6">
      <c r="A134" s="2" t="str">
        <f>IF('December_Tide_2025 (2)'!A134="","",'December_Tide_2025 (2)'!A134)</f>
        <v>2025-12-06 12:00:00</v>
      </c>
      <c r="B134" s="3">
        <f>IF('December_Tide_2025 (2)'!B134="","",'December_Tide_2025 (2)'!B134)</f>
        <v>0.93</v>
      </c>
      <c r="C134" s="3">
        <f>IF($A134="","", INDEX([1]Calc!$E:$E, MATCH("KminusZ_m", [1]Calc!$C:$C, 0)) + $B134 - INDEX([1]Calc!$E:$E, MATCH("L_ramp_m", [1]Calc!$C:$C, 0)) * TAN(RADIANS(INDEX([1]Calc!$E:$E, MATCH("theta_max_deg", [1]Calc!$C:$C, 0)))))</f>
        <v>2.6687491768118825</v>
      </c>
      <c r="D134" s="3"/>
      <c r="E134" s="3">
        <f t="shared" si="6"/>
        <v>2.6687491768118825</v>
      </c>
      <c r="F134" s="3">
        <f t="shared" si="7"/>
        <v>2.6687491768118825</v>
      </c>
      <c r="G134" s="3">
        <f>IF($E134="","", DEGREES(ATAN((INDEX([1]Calc!$E:$E, MATCH("KminusZ_m", [1]Calc!$C:$C, 0)) - $E134 + $B134) / INDEX([1]Calc!$E:$E, MATCH("L_ramp_m", [1]Calc!$C:$C, 0)))))</f>
        <v>6.0000000000000009</v>
      </c>
      <c r="H134" s="2" t="str">
        <f>IF($E134="","", IF(AND($E134&gt;=INDEX([1]Calc!$E:$E, MATCH("min_fwd_draft_m", [1]Calc!$C:$C, 0)), $E134&lt;=INDEX([1]Calc!$E:$E, MATCH("max_fwd_draft_m", [1]Calc!$C:$C, 0)), $G134&lt;=INDEX([1]Calc!$E:$E, MATCH("theta_max_deg", [1]Calc!$C:$C, 0))), "OK", "CHECK"))</f>
        <v>OK</v>
      </c>
      <c r="I134" s="3">
        <f>IF($E134="","", INDEX([1]Calc!$E:$E, MATCH("D_vessel_m", [1]Calc!$C:$C, 0)) - $E134 + $B134)</f>
        <v>1.9112508231881176</v>
      </c>
      <c r="J134" s="3">
        <f>IF($F134="","", INDEX([1]Calc!$E:$E, MATCH("D_vessel_m", [1]Calc!$C:$C, 0)) - $F134 + $B134)</f>
        <v>1.9112508231881176</v>
      </c>
      <c r="K134" s="2" t="str">
        <f t="shared" si="8"/>
        <v>Even Keel</v>
      </c>
    </row>
    <row r="135" spans="1:11" x14ac:dyDescent="0.6">
      <c r="A135" s="2" t="str">
        <f>IF('December_Tide_2025 (2)'!A135="","",'December_Tide_2025 (2)'!A135)</f>
        <v>2025-12-06 13:00:00</v>
      </c>
      <c r="B135" s="3">
        <f>IF('December_Tide_2025 (2)'!B135="","",'December_Tide_2025 (2)'!B135)</f>
        <v>0.87</v>
      </c>
      <c r="C135" s="3">
        <f>IF($A135="","", INDEX([1]Calc!$E:$E, MATCH("KminusZ_m", [1]Calc!$C:$C, 0)) + $B135 - INDEX([1]Calc!$E:$E, MATCH("L_ramp_m", [1]Calc!$C:$C, 0)) * TAN(RADIANS(INDEX([1]Calc!$E:$E, MATCH("theta_max_deg", [1]Calc!$C:$C, 0)))))</f>
        <v>2.6087491768118825</v>
      </c>
      <c r="D135" s="3"/>
      <c r="E135" s="3">
        <f t="shared" si="6"/>
        <v>2.6087491768118825</v>
      </c>
      <c r="F135" s="3">
        <f t="shared" si="7"/>
        <v>2.6087491768118825</v>
      </c>
      <c r="G135" s="3">
        <f>IF($E135="","", DEGREES(ATAN((INDEX([1]Calc!$E:$E, MATCH("KminusZ_m", [1]Calc!$C:$C, 0)) - $E135 + $B135) / INDEX([1]Calc!$E:$E, MATCH("L_ramp_m", [1]Calc!$C:$C, 0)))))</f>
        <v>6.0000000000000009</v>
      </c>
      <c r="H135" s="2" t="str">
        <f>IF($E135="","", IF(AND($E135&gt;=INDEX([1]Calc!$E:$E, MATCH("min_fwd_draft_m", [1]Calc!$C:$C, 0)), $E135&lt;=INDEX([1]Calc!$E:$E, MATCH("max_fwd_draft_m", [1]Calc!$C:$C, 0)), $G135&lt;=INDEX([1]Calc!$E:$E, MATCH("theta_max_deg", [1]Calc!$C:$C, 0))), "OK", "CHECK"))</f>
        <v>OK</v>
      </c>
      <c r="I135" s="3">
        <f>IF($E135="","", INDEX([1]Calc!$E:$E, MATCH("D_vessel_m", [1]Calc!$C:$C, 0)) - $E135 + $B135)</f>
        <v>1.9112508231881176</v>
      </c>
      <c r="J135" s="3">
        <f>IF($F135="","", INDEX([1]Calc!$E:$E, MATCH("D_vessel_m", [1]Calc!$C:$C, 0)) - $F135 + $B135)</f>
        <v>1.9112508231881176</v>
      </c>
      <c r="K135" s="2" t="str">
        <f t="shared" si="8"/>
        <v>Even Keel</v>
      </c>
    </row>
    <row r="136" spans="1:11" x14ac:dyDescent="0.6">
      <c r="A136" s="2" t="str">
        <f>IF('December_Tide_2025 (2)'!A136="","",'December_Tide_2025 (2)'!A136)</f>
        <v>2025-12-06 14:00:00</v>
      </c>
      <c r="B136" s="3">
        <f>IF('December_Tide_2025 (2)'!B136="","",'December_Tide_2025 (2)'!B136)</f>
        <v>1.05</v>
      </c>
      <c r="C136" s="3">
        <f>IF($A136="","", INDEX([1]Calc!$E:$E, MATCH("KminusZ_m", [1]Calc!$C:$C, 0)) + $B136 - INDEX([1]Calc!$E:$E, MATCH("L_ramp_m", [1]Calc!$C:$C, 0)) * TAN(RADIANS(INDEX([1]Calc!$E:$E, MATCH("theta_max_deg", [1]Calc!$C:$C, 0)))))</f>
        <v>2.7887491768118822</v>
      </c>
      <c r="D136" s="3"/>
      <c r="E136" s="3">
        <f t="shared" si="6"/>
        <v>2.7887491768118822</v>
      </c>
      <c r="F136" s="3">
        <f t="shared" si="7"/>
        <v>2.7887491768118822</v>
      </c>
      <c r="G136" s="3">
        <f>IF($E136="","", DEGREES(ATAN((INDEX([1]Calc!$E:$E, MATCH("KminusZ_m", [1]Calc!$C:$C, 0)) - $E136 + $B136) / INDEX([1]Calc!$E:$E, MATCH("L_ramp_m", [1]Calc!$C:$C, 0)))))</f>
        <v>6.0000000000000009</v>
      </c>
      <c r="H136" s="2" t="str">
        <f>IF($E136="","", IF(AND($E136&gt;=INDEX([1]Calc!$E:$E, MATCH("min_fwd_draft_m", [1]Calc!$C:$C, 0)), $E136&lt;=INDEX([1]Calc!$E:$E, MATCH("max_fwd_draft_m", [1]Calc!$C:$C, 0)), $G136&lt;=INDEX([1]Calc!$E:$E, MATCH("theta_max_deg", [1]Calc!$C:$C, 0))), "OK", "CHECK"))</f>
        <v>OK</v>
      </c>
      <c r="I136" s="3">
        <f>IF($E136="","", INDEX([1]Calc!$E:$E, MATCH("D_vessel_m", [1]Calc!$C:$C, 0)) - $E136 + $B136)</f>
        <v>1.9112508231881178</v>
      </c>
      <c r="J136" s="3">
        <f>IF($F136="","", INDEX([1]Calc!$E:$E, MATCH("D_vessel_m", [1]Calc!$C:$C, 0)) - $F136 + $B136)</f>
        <v>1.9112508231881178</v>
      </c>
      <c r="K136" s="2" t="str">
        <f t="shared" si="8"/>
        <v>Even Keel</v>
      </c>
    </row>
    <row r="137" spans="1:11" x14ac:dyDescent="0.6">
      <c r="A137" s="2" t="str">
        <f>IF('December_Tide_2025 (2)'!A137="","",'December_Tide_2025 (2)'!A137)</f>
        <v>2025-12-06 15:00:00</v>
      </c>
      <c r="B137" s="3">
        <f>IF('December_Tide_2025 (2)'!B137="","",'December_Tide_2025 (2)'!B137)</f>
        <v>1.41</v>
      </c>
      <c r="C137" s="3">
        <f>IF($A137="","", INDEX([1]Calc!$E:$E, MATCH("KminusZ_m", [1]Calc!$C:$C, 0)) + $B137 - INDEX([1]Calc!$E:$E, MATCH("L_ramp_m", [1]Calc!$C:$C, 0)) * TAN(RADIANS(INDEX([1]Calc!$E:$E, MATCH("theta_max_deg", [1]Calc!$C:$C, 0)))))</f>
        <v>3.1487491768118825</v>
      </c>
      <c r="D137" s="3"/>
      <c r="E137" s="3">
        <f t="shared" si="6"/>
        <v>3.1487491768118825</v>
      </c>
      <c r="F137" s="3">
        <f t="shared" si="7"/>
        <v>3.1487491768118825</v>
      </c>
      <c r="G137" s="3">
        <f>IF($E137="","", DEGREES(ATAN((INDEX([1]Calc!$E:$E, MATCH("KminusZ_m", [1]Calc!$C:$C, 0)) - $E137 + $B137) / INDEX([1]Calc!$E:$E, MATCH("L_ramp_m", [1]Calc!$C:$C, 0)))))</f>
        <v>6</v>
      </c>
      <c r="H137" s="2" t="str">
        <f>IF($E137="","", IF(AND($E137&gt;=INDEX([1]Calc!$E:$E, MATCH("min_fwd_draft_m", [1]Calc!$C:$C, 0)), $E137&lt;=INDEX([1]Calc!$E:$E, MATCH("max_fwd_draft_m", [1]Calc!$C:$C, 0)), $G137&lt;=INDEX([1]Calc!$E:$E, MATCH("theta_max_deg", [1]Calc!$C:$C, 0))), "OK", "CHECK"))</f>
        <v>OK</v>
      </c>
      <c r="I137" s="3">
        <f>IF($E137="","", INDEX([1]Calc!$E:$E, MATCH("D_vessel_m", [1]Calc!$C:$C, 0)) - $E137 + $B137)</f>
        <v>1.9112508231881173</v>
      </c>
      <c r="J137" s="3">
        <f>IF($F137="","", INDEX([1]Calc!$E:$E, MATCH("D_vessel_m", [1]Calc!$C:$C, 0)) - $F137 + $B137)</f>
        <v>1.9112508231881173</v>
      </c>
      <c r="K137" s="2" t="str">
        <f t="shared" si="8"/>
        <v>Even Keel</v>
      </c>
    </row>
    <row r="138" spans="1:11" x14ac:dyDescent="0.6">
      <c r="A138" s="2" t="str">
        <f>IF('December_Tide_2025 (2)'!A138="","",'December_Tide_2025 (2)'!A138)</f>
        <v>2025-12-06 16:00:00</v>
      </c>
      <c r="B138" s="3">
        <f>IF('December_Tide_2025 (2)'!B138="","",'December_Tide_2025 (2)'!B138)</f>
        <v>1.87</v>
      </c>
      <c r="C138" s="3">
        <f>IF($A138="","", INDEX([1]Calc!$E:$E, MATCH("KminusZ_m", [1]Calc!$C:$C, 0)) + $B138 - INDEX([1]Calc!$E:$E, MATCH("L_ramp_m", [1]Calc!$C:$C, 0)) * TAN(RADIANS(INDEX([1]Calc!$E:$E, MATCH("theta_max_deg", [1]Calc!$C:$C, 0)))))</f>
        <v>3.6087491768118825</v>
      </c>
      <c r="D138" s="3"/>
      <c r="E138" s="3">
        <f t="shared" si="6"/>
        <v>3.6087491768118825</v>
      </c>
      <c r="F138" s="3">
        <f t="shared" si="7"/>
        <v>3.6087491768118825</v>
      </c>
      <c r="G138" s="3">
        <f>IF($E138="","", DEGREES(ATAN((INDEX([1]Calc!$E:$E, MATCH("KminusZ_m", [1]Calc!$C:$C, 0)) - $E138 + $B138) / INDEX([1]Calc!$E:$E, MATCH("L_ramp_m", [1]Calc!$C:$C, 0)))))</f>
        <v>6.0000000000000009</v>
      </c>
      <c r="H138" s="2" t="str">
        <f>IF($E138="","", IF(AND($E138&gt;=INDEX([1]Calc!$E:$E, MATCH("min_fwd_draft_m", [1]Calc!$C:$C, 0)), $E138&lt;=INDEX([1]Calc!$E:$E, MATCH("max_fwd_draft_m", [1]Calc!$C:$C, 0)), $G138&lt;=INDEX([1]Calc!$E:$E, MATCH("theta_max_deg", [1]Calc!$C:$C, 0))), "OK", "CHECK"))</f>
        <v>CHECK</v>
      </c>
      <c r="I138" s="3">
        <f>IF($E138="","", INDEX([1]Calc!$E:$E, MATCH("D_vessel_m", [1]Calc!$C:$C, 0)) - $E138 + $B138)</f>
        <v>1.9112508231881176</v>
      </c>
      <c r="J138" s="3">
        <f>IF($F138="","", INDEX([1]Calc!$E:$E, MATCH("D_vessel_m", [1]Calc!$C:$C, 0)) - $F138 + $B138)</f>
        <v>1.9112508231881176</v>
      </c>
      <c r="K138" s="2" t="str">
        <f t="shared" si="8"/>
        <v>Even Keel</v>
      </c>
    </row>
    <row r="139" spans="1:11" x14ac:dyDescent="0.6">
      <c r="A139" s="2" t="str">
        <f>IF('December_Tide_2025 (2)'!A139="","",'December_Tide_2025 (2)'!A139)</f>
        <v>2025-12-06 17:00:00</v>
      </c>
      <c r="B139" s="3">
        <f>IF('December_Tide_2025 (2)'!B139="","",'December_Tide_2025 (2)'!B139)</f>
        <v>2.3199999999999998</v>
      </c>
      <c r="C139" s="3">
        <f>IF($A139="","", INDEX([1]Calc!$E:$E, MATCH("KminusZ_m", [1]Calc!$C:$C, 0)) + $B139 - INDEX([1]Calc!$E:$E, MATCH("L_ramp_m", [1]Calc!$C:$C, 0)) * TAN(RADIANS(INDEX([1]Calc!$E:$E, MATCH("theta_max_deg", [1]Calc!$C:$C, 0)))))</f>
        <v>4.0587491768118831</v>
      </c>
      <c r="D139" s="3"/>
      <c r="E139" s="3">
        <f t="shared" si="6"/>
        <v>4.0587491768118831</v>
      </c>
      <c r="F139" s="3">
        <f t="shared" si="7"/>
        <v>4.0587491768118831</v>
      </c>
      <c r="G139" s="3">
        <f>IF($E139="","", DEGREES(ATAN((INDEX([1]Calc!$E:$E, MATCH("KminusZ_m", [1]Calc!$C:$C, 0)) - $E139 + $B139) / INDEX([1]Calc!$E:$E, MATCH("L_ramp_m", [1]Calc!$C:$C, 0)))))</f>
        <v>5.9999999999999964</v>
      </c>
      <c r="H139" s="2" t="str">
        <f>IF($E139="","", IF(AND($E139&gt;=INDEX([1]Calc!$E:$E, MATCH("min_fwd_draft_m", [1]Calc!$C:$C, 0)), $E139&lt;=INDEX([1]Calc!$E:$E, MATCH("max_fwd_draft_m", [1]Calc!$C:$C, 0)), $G139&lt;=INDEX([1]Calc!$E:$E, MATCH("theta_max_deg", [1]Calc!$C:$C, 0))), "OK", "CHECK"))</f>
        <v>CHECK</v>
      </c>
      <c r="I139" s="3">
        <f>IF($E139="","", INDEX([1]Calc!$E:$E, MATCH("D_vessel_m", [1]Calc!$C:$C, 0)) - $E139 + $B139)</f>
        <v>1.9112508231881167</v>
      </c>
      <c r="J139" s="3">
        <f>IF($F139="","", INDEX([1]Calc!$E:$E, MATCH("D_vessel_m", [1]Calc!$C:$C, 0)) - $F139 + $B139)</f>
        <v>1.9112508231881167</v>
      </c>
      <c r="K139" s="2" t="str">
        <f t="shared" si="8"/>
        <v>Even Keel</v>
      </c>
    </row>
    <row r="140" spans="1:11" x14ac:dyDescent="0.6">
      <c r="A140" s="2" t="str">
        <f>IF('December_Tide_2025 (2)'!A140="","",'December_Tide_2025 (2)'!A140)</f>
        <v>2025-12-06 18:00:00</v>
      </c>
      <c r="B140" s="3">
        <f>IF('December_Tide_2025 (2)'!B140="","",'December_Tide_2025 (2)'!B140)</f>
        <v>2.63</v>
      </c>
      <c r="C140" s="3">
        <f>IF($A140="","", INDEX([1]Calc!$E:$E, MATCH("KminusZ_m", [1]Calc!$C:$C, 0)) + $B140 - INDEX([1]Calc!$E:$E, MATCH("L_ramp_m", [1]Calc!$C:$C, 0)) * TAN(RADIANS(INDEX([1]Calc!$E:$E, MATCH("theta_max_deg", [1]Calc!$C:$C, 0)))))</f>
        <v>4.3687491768118818</v>
      </c>
      <c r="D140" s="3"/>
      <c r="E140" s="3">
        <f t="shared" si="6"/>
        <v>4.3687491768118818</v>
      </c>
      <c r="F140" s="3">
        <f t="shared" si="7"/>
        <v>4.3687491768118818</v>
      </c>
      <c r="G140" s="3">
        <f>IF($E140="","", DEGREES(ATAN((INDEX([1]Calc!$E:$E, MATCH("KminusZ_m", [1]Calc!$C:$C, 0)) - $E140 + $B140) / INDEX([1]Calc!$E:$E, MATCH("L_ramp_m", [1]Calc!$C:$C, 0)))))</f>
        <v>6.0000000000000027</v>
      </c>
      <c r="H140" s="2" t="str">
        <f>IF($E140="","", IF(AND($E140&gt;=INDEX([1]Calc!$E:$E, MATCH("min_fwd_draft_m", [1]Calc!$C:$C, 0)), $E140&lt;=INDEX([1]Calc!$E:$E, MATCH("max_fwd_draft_m", [1]Calc!$C:$C, 0)), $G140&lt;=INDEX([1]Calc!$E:$E, MATCH("theta_max_deg", [1]Calc!$C:$C, 0))), "OK", "CHECK"))</f>
        <v>CHECK</v>
      </c>
      <c r="I140" s="3">
        <f>IF($E140="","", INDEX([1]Calc!$E:$E, MATCH("D_vessel_m", [1]Calc!$C:$C, 0)) - $E140 + $B140)</f>
        <v>1.911250823188118</v>
      </c>
      <c r="J140" s="3">
        <f>IF($F140="","", INDEX([1]Calc!$E:$E, MATCH("D_vessel_m", [1]Calc!$C:$C, 0)) - $F140 + $B140)</f>
        <v>1.911250823188118</v>
      </c>
      <c r="K140" s="2" t="str">
        <f t="shared" si="8"/>
        <v>Even Keel</v>
      </c>
    </row>
    <row r="141" spans="1:11" x14ac:dyDescent="0.6">
      <c r="A141" s="2" t="str">
        <f>IF('December_Tide_2025 (2)'!A141="","",'December_Tide_2025 (2)'!A141)</f>
        <v>2025-12-06 19:00:00</v>
      </c>
      <c r="B141" s="3">
        <f>IF('December_Tide_2025 (2)'!B141="","",'December_Tide_2025 (2)'!B141)</f>
        <v>2.74</v>
      </c>
      <c r="C141" s="3">
        <f>IF($A141="","", INDEX([1]Calc!$E:$E, MATCH("KminusZ_m", [1]Calc!$C:$C, 0)) + $B141 - INDEX([1]Calc!$E:$E, MATCH("L_ramp_m", [1]Calc!$C:$C, 0)) * TAN(RADIANS(INDEX([1]Calc!$E:$E, MATCH("theta_max_deg", [1]Calc!$C:$C, 0)))))</f>
        <v>4.478749176811883</v>
      </c>
      <c r="D141" s="3"/>
      <c r="E141" s="3">
        <f t="shared" si="6"/>
        <v>4.478749176811883</v>
      </c>
      <c r="F141" s="3">
        <f t="shared" si="7"/>
        <v>4.478749176811883</v>
      </c>
      <c r="G141" s="3">
        <f>IF($E141="","", DEGREES(ATAN((INDEX([1]Calc!$E:$E, MATCH("KminusZ_m", [1]Calc!$C:$C, 0)) - $E141 + $B141) / INDEX([1]Calc!$E:$E, MATCH("L_ramp_m", [1]Calc!$C:$C, 0)))))</f>
        <v>5.9999999999999982</v>
      </c>
      <c r="H141" s="2" t="str">
        <f>IF($E141="","", IF(AND($E141&gt;=INDEX([1]Calc!$E:$E, MATCH("min_fwd_draft_m", [1]Calc!$C:$C, 0)), $E141&lt;=INDEX([1]Calc!$E:$E, MATCH("max_fwd_draft_m", [1]Calc!$C:$C, 0)), $G141&lt;=INDEX([1]Calc!$E:$E, MATCH("theta_max_deg", [1]Calc!$C:$C, 0))), "OK", "CHECK"))</f>
        <v>CHECK</v>
      </c>
      <c r="I141" s="3">
        <f>IF($E141="","", INDEX([1]Calc!$E:$E, MATCH("D_vessel_m", [1]Calc!$C:$C, 0)) - $E141 + $B141)</f>
        <v>1.9112508231881171</v>
      </c>
      <c r="J141" s="3">
        <f>IF($F141="","", INDEX([1]Calc!$E:$E, MATCH("D_vessel_m", [1]Calc!$C:$C, 0)) - $F141 + $B141)</f>
        <v>1.9112508231881171</v>
      </c>
      <c r="K141" s="2" t="str">
        <f t="shared" si="8"/>
        <v>Even Keel</v>
      </c>
    </row>
    <row r="142" spans="1:11" x14ac:dyDescent="0.6">
      <c r="A142" s="2" t="str">
        <f>IF('December_Tide_2025 (2)'!A142="","",'December_Tide_2025 (2)'!A142)</f>
        <v>2025-12-06 20:00:00</v>
      </c>
      <c r="B142" s="3">
        <f>IF('December_Tide_2025 (2)'!B142="","",'December_Tide_2025 (2)'!B142)</f>
        <v>2.61</v>
      </c>
      <c r="C142" s="3">
        <f>IF($A142="","", INDEX([1]Calc!$E:$E, MATCH("KminusZ_m", [1]Calc!$C:$C, 0)) + $B142 - INDEX([1]Calc!$E:$E, MATCH("L_ramp_m", [1]Calc!$C:$C, 0)) * TAN(RADIANS(INDEX([1]Calc!$E:$E, MATCH("theta_max_deg", [1]Calc!$C:$C, 0)))))</f>
        <v>4.3487491768118822</v>
      </c>
      <c r="D142" s="3"/>
      <c r="E142" s="3">
        <f t="shared" si="6"/>
        <v>4.3487491768118822</v>
      </c>
      <c r="F142" s="3">
        <f t="shared" si="7"/>
        <v>4.3487491768118822</v>
      </c>
      <c r="G142" s="3">
        <f>IF($E142="","", DEGREES(ATAN((INDEX([1]Calc!$E:$E, MATCH("KminusZ_m", [1]Calc!$C:$C, 0)) - $E142 + $B142) / INDEX([1]Calc!$E:$E, MATCH("L_ramp_m", [1]Calc!$C:$C, 0)))))</f>
        <v>6.0000000000000009</v>
      </c>
      <c r="H142" s="2" t="str">
        <f>IF($E142="","", IF(AND($E142&gt;=INDEX([1]Calc!$E:$E, MATCH("min_fwd_draft_m", [1]Calc!$C:$C, 0)), $E142&lt;=INDEX([1]Calc!$E:$E, MATCH("max_fwd_draft_m", [1]Calc!$C:$C, 0)), $G142&lt;=INDEX([1]Calc!$E:$E, MATCH("theta_max_deg", [1]Calc!$C:$C, 0))), "OK", "CHECK"))</f>
        <v>CHECK</v>
      </c>
      <c r="I142" s="3">
        <f>IF($E142="","", INDEX([1]Calc!$E:$E, MATCH("D_vessel_m", [1]Calc!$C:$C, 0)) - $E142 + $B142)</f>
        <v>1.9112508231881176</v>
      </c>
      <c r="J142" s="3">
        <f>IF($F142="","", INDEX([1]Calc!$E:$E, MATCH("D_vessel_m", [1]Calc!$C:$C, 0)) - $F142 + $B142)</f>
        <v>1.9112508231881176</v>
      </c>
      <c r="K142" s="2" t="str">
        <f t="shared" si="8"/>
        <v>Even Keel</v>
      </c>
    </row>
    <row r="143" spans="1:11" x14ac:dyDescent="0.6">
      <c r="A143" s="2" t="str">
        <f>IF('December_Tide_2025 (2)'!A143="","",'December_Tide_2025 (2)'!A143)</f>
        <v>2025-12-06 21:00:00</v>
      </c>
      <c r="B143" s="3">
        <f>IF('December_Tide_2025 (2)'!B143="","",'December_Tide_2025 (2)'!B143)</f>
        <v>2.27</v>
      </c>
      <c r="C143" s="3">
        <f>IF($A143="","", INDEX([1]Calc!$E:$E, MATCH("KminusZ_m", [1]Calc!$C:$C, 0)) + $B143 - INDEX([1]Calc!$E:$E, MATCH("L_ramp_m", [1]Calc!$C:$C, 0)) * TAN(RADIANS(INDEX([1]Calc!$E:$E, MATCH("theta_max_deg", [1]Calc!$C:$C, 0)))))</f>
        <v>4.0087491768118824</v>
      </c>
      <c r="D143" s="3"/>
      <c r="E143" s="3">
        <f t="shared" si="6"/>
        <v>4.0087491768118824</v>
      </c>
      <c r="F143" s="3">
        <f t="shared" si="7"/>
        <v>4.0087491768118824</v>
      </c>
      <c r="G143" s="3">
        <f>IF($E143="","", DEGREES(ATAN((INDEX([1]Calc!$E:$E, MATCH("KminusZ_m", [1]Calc!$C:$C, 0)) - $E143 + $B143) / INDEX([1]Calc!$E:$E, MATCH("L_ramp_m", [1]Calc!$C:$C, 0)))))</f>
        <v>6.0000000000000009</v>
      </c>
      <c r="H143" s="2" t="str">
        <f>IF($E143="","", IF(AND($E143&gt;=INDEX([1]Calc!$E:$E, MATCH("min_fwd_draft_m", [1]Calc!$C:$C, 0)), $E143&lt;=INDEX([1]Calc!$E:$E, MATCH("max_fwd_draft_m", [1]Calc!$C:$C, 0)), $G143&lt;=INDEX([1]Calc!$E:$E, MATCH("theta_max_deg", [1]Calc!$C:$C, 0))), "OK", "CHECK"))</f>
        <v>CHECK</v>
      </c>
      <c r="I143" s="3">
        <f>IF($E143="","", INDEX([1]Calc!$E:$E, MATCH("D_vessel_m", [1]Calc!$C:$C, 0)) - $E143 + $B143)</f>
        <v>1.9112508231881176</v>
      </c>
      <c r="J143" s="3">
        <f>IF($F143="","", INDEX([1]Calc!$E:$E, MATCH("D_vessel_m", [1]Calc!$C:$C, 0)) - $F143 + $B143)</f>
        <v>1.9112508231881176</v>
      </c>
      <c r="K143" s="2" t="str">
        <f t="shared" si="8"/>
        <v>Even Keel</v>
      </c>
    </row>
    <row r="144" spans="1:11" x14ac:dyDescent="0.6">
      <c r="A144" s="2" t="str">
        <f>IF('December_Tide_2025 (2)'!A144="","",'December_Tide_2025 (2)'!A144)</f>
        <v>2025-12-06 22:00:00</v>
      </c>
      <c r="B144" s="3">
        <f>IF('December_Tide_2025 (2)'!B144="","",'December_Tide_2025 (2)'!B144)</f>
        <v>1.82</v>
      </c>
      <c r="C144" s="3">
        <f>IF($A144="","", INDEX([1]Calc!$E:$E, MATCH("KminusZ_m", [1]Calc!$C:$C, 0)) + $B144 - INDEX([1]Calc!$E:$E, MATCH("L_ramp_m", [1]Calc!$C:$C, 0)) * TAN(RADIANS(INDEX([1]Calc!$E:$E, MATCH("theta_max_deg", [1]Calc!$C:$C, 0)))))</f>
        <v>3.5587491768118826</v>
      </c>
      <c r="D144" s="3"/>
      <c r="E144" s="3">
        <f t="shared" si="6"/>
        <v>3.5587491768118826</v>
      </c>
      <c r="F144" s="3">
        <f t="shared" si="7"/>
        <v>3.5587491768118826</v>
      </c>
      <c r="G144" s="3">
        <f>IF($E144="","", DEGREES(ATAN((INDEX([1]Calc!$E:$E, MATCH("KminusZ_m", [1]Calc!$C:$C, 0)) - $E144 + $B144) / INDEX([1]Calc!$E:$E, MATCH("L_ramp_m", [1]Calc!$C:$C, 0)))))</f>
        <v>6</v>
      </c>
      <c r="H144" s="2" t="str">
        <f>IF($E144="","", IF(AND($E144&gt;=INDEX([1]Calc!$E:$E, MATCH("min_fwd_draft_m", [1]Calc!$C:$C, 0)), $E144&lt;=INDEX([1]Calc!$E:$E, MATCH("max_fwd_draft_m", [1]Calc!$C:$C, 0)), $G144&lt;=INDEX([1]Calc!$E:$E, MATCH("theta_max_deg", [1]Calc!$C:$C, 0))), "OK", "CHECK"))</f>
        <v>CHECK</v>
      </c>
      <c r="I144" s="3">
        <f>IF($E144="","", INDEX([1]Calc!$E:$E, MATCH("D_vessel_m", [1]Calc!$C:$C, 0)) - $E144 + $B144)</f>
        <v>1.9112508231881173</v>
      </c>
      <c r="J144" s="3">
        <f>IF($F144="","", INDEX([1]Calc!$E:$E, MATCH("D_vessel_m", [1]Calc!$C:$C, 0)) - $F144 + $B144)</f>
        <v>1.9112508231881173</v>
      </c>
      <c r="K144" s="2" t="str">
        <f t="shared" si="8"/>
        <v>Even Keel</v>
      </c>
    </row>
    <row r="145" spans="1:11" x14ac:dyDescent="0.6">
      <c r="A145" s="2" t="str">
        <f>IF('December_Tide_2025 (2)'!A145="","",'December_Tide_2025 (2)'!A145)</f>
        <v>2025-12-06 23:00:00</v>
      </c>
      <c r="B145" s="3">
        <f>IF('December_Tide_2025 (2)'!B145="","",'December_Tide_2025 (2)'!B145)</f>
        <v>1.36</v>
      </c>
      <c r="C145" s="3">
        <f>IF($A145="","", INDEX([1]Calc!$E:$E, MATCH("KminusZ_m", [1]Calc!$C:$C, 0)) + $B145 - INDEX([1]Calc!$E:$E, MATCH("L_ramp_m", [1]Calc!$C:$C, 0)) * TAN(RADIANS(INDEX([1]Calc!$E:$E, MATCH("theta_max_deg", [1]Calc!$C:$C, 0)))))</f>
        <v>3.0987491768118827</v>
      </c>
      <c r="D145" s="3"/>
      <c r="E145" s="3">
        <f t="shared" si="6"/>
        <v>3.0987491768118827</v>
      </c>
      <c r="F145" s="3">
        <f t="shared" si="7"/>
        <v>3.0987491768118827</v>
      </c>
      <c r="G145" s="3">
        <f>IF($E145="","", DEGREES(ATAN((INDEX([1]Calc!$E:$E, MATCH("KminusZ_m", [1]Calc!$C:$C, 0)) - $E145 + $B145) / INDEX([1]Calc!$E:$E, MATCH("L_ramp_m", [1]Calc!$C:$C, 0)))))</f>
        <v>6</v>
      </c>
      <c r="H145" s="2" t="str">
        <f>IF($E145="","", IF(AND($E145&gt;=INDEX([1]Calc!$E:$E, MATCH("min_fwd_draft_m", [1]Calc!$C:$C, 0)), $E145&lt;=INDEX([1]Calc!$E:$E, MATCH("max_fwd_draft_m", [1]Calc!$C:$C, 0)), $G145&lt;=INDEX([1]Calc!$E:$E, MATCH("theta_max_deg", [1]Calc!$C:$C, 0))), "OK", "CHECK"))</f>
        <v>OK</v>
      </c>
      <c r="I145" s="3">
        <f>IF($E145="","", INDEX([1]Calc!$E:$E, MATCH("D_vessel_m", [1]Calc!$C:$C, 0)) - $E145 + $B145)</f>
        <v>1.9112508231881173</v>
      </c>
      <c r="J145" s="3">
        <f>IF($F145="","", INDEX([1]Calc!$E:$E, MATCH("D_vessel_m", [1]Calc!$C:$C, 0)) - $F145 + $B145)</f>
        <v>1.9112508231881173</v>
      </c>
      <c r="K145" s="2" t="str">
        <f t="shared" si="8"/>
        <v>Even Keel</v>
      </c>
    </row>
    <row r="146" spans="1:11" x14ac:dyDescent="0.6">
      <c r="A146" s="2" t="str">
        <f>IF('December_Tide_2025 (2)'!A146="","",'December_Tide_2025 (2)'!A146)</f>
        <v>2025-12-07 00:00:00</v>
      </c>
      <c r="B146" s="3">
        <f>IF('December_Tide_2025 (2)'!B146="","",'December_Tide_2025 (2)'!B146)</f>
        <v>1.02</v>
      </c>
      <c r="C146" s="3">
        <f>IF($A146="","", INDEX([1]Calc!$E:$E, MATCH("KminusZ_m", [1]Calc!$C:$C, 0)) + $B146 - INDEX([1]Calc!$E:$E, MATCH("L_ramp_m", [1]Calc!$C:$C, 0)) * TAN(RADIANS(INDEX([1]Calc!$E:$E, MATCH("theta_max_deg", [1]Calc!$C:$C, 0)))))</f>
        <v>2.7587491768118819</v>
      </c>
      <c r="D146" s="3"/>
      <c r="E146" s="3">
        <f t="shared" si="6"/>
        <v>2.7587491768118819</v>
      </c>
      <c r="F146" s="3">
        <f t="shared" si="7"/>
        <v>2.7587491768118819</v>
      </c>
      <c r="G146" s="3">
        <f>IF($E146="","", DEGREES(ATAN((INDEX([1]Calc!$E:$E, MATCH("KminusZ_m", [1]Calc!$C:$C, 0)) - $E146 + $B146) / INDEX([1]Calc!$E:$E, MATCH("L_ramp_m", [1]Calc!$C:$C, 0)))))</f>
        <v>6.0000000000000027</v>
      </c>
      <c r="H146" s="2" t="str">
        <f>IF($E146="","", IF(AND($E146&gt;=INDEX([1]Calc!$E:$E, MATCH("min_fwd_draft_m", [1]Calc!$C:$C, 0)), $E146&lt;=INDEX([1]Calc!$E:$E, MATCH("max_fwd_draft_m", [1]Calc!$C:$C, 0)), $G146&lt;=INDEX([1]Calc!$E:$E, MATCH("theta_max_deg", [1]Calc!$C:$C, 0))), "OK", "CHECK"))</f>
        <v>OK</v>
      </c>
      <c r="I146" s="3">
        <f>IF($E146="","", INDEX([1]Calc!$E:$E, MATCH("D_vessel_m", [1]Calc!$C:$C, 0)) - $E146 + $B146)</f>
        <v>1.911250823188118</v>
      </c>
      <c r="J146" s="3">
        <f>IF($F146="","", INDEX([1]Calc!$E:$E, MATCH("D_vessel_m", [1]Calc!$C:$C, 0)) - $F146 + $B146)</f>
        <v>1.911250823188118</v>
      </c>
      <c r="K146" s="2" t="str">
        <f t="shared" si="8"/>
        <v>Even Keel</v>
      </c>
    </row>
    <row r="147" spans="1:11" x14ac:dyDescent="0.6">
      <c r="A147" s="2" t="str">
        <f>IF('December_Tide_2025 (2)'!A147="","",'December_Tide_2025 (2)'!A147)</f>
        <v>2025-12-07 01:00:00</v>
      </c>
      <c r="B147" s="3">
        <f>IF('December_Tide_2025 (2)'!B147="","",'December_Tide_2025 (2)'!B147)</f>
        <v>0.87</v>
      </c>
      <c r="C147" s="3">
        <f>IF($A147="","", INDEX([1]Calc!$E:$E, MATCH("KminusZ_m", [1]Calc!$C:$C, 0)) + $B147 - INDEX([1]Calc!$E:$E, MATCH("L_ramp_m", [1]Calc!$C:$C, 0)) * TAN(RADIANS(INDEX([1]Calc!$E:$E, MATCH("theta_max_deg", [1]Calc!$C:$C, 0)))))</f>
        <v>2.6087491768118825</v>
      </c>
      <c r="D147" s="3"/>
      <c r="E147" s="3">
        <f t="shared" si="6"/>
        <v>2.6087491768118825</v>
      </c>
      <c r="F147" s="3">
        <f t="shared" si="7"/>
        <v>2.6087491768118825</v>
      </c>
      <c r="G147" s="3">
        <f>IF($E147="","", DEGREES(ATAN((INDEX([1]Calc!$E:$E, MATCH("KminusZ_m", [1]Calc!$C:$C, 0)) - $E147 + $B147) / INDEX([1]Calc!$E:$E, MATCH("L_ramp_m", [1]Calc!$C:$C, 0)))))</f>
        <v>6.0000000000000009</v>
      </c>
      <c r="H147" s="2" t="str">
        <f>IF($E147="","", IF(AND($E147&gt;=INDEX([1]Calc!$E:$E, MATCH("min_fwd_draft_m", [1]Calc!$C:$C, 0)), $E147&lt;=INDEX([1]Calc!$E:$E, MATCH("max_fwd_draft_m", [1]Calc!$C:$C, 0)), $G147&lt;=INDEX([1]Calc!$E:$E, MATCH("theta_max_deg", [1]Calc!$C:$C, 0))), "OK", "CHECK"))</f>
        <v>OK</v>
      </c>
      <c r="I147" s="3">
        <f>IF($E147="","", INDEX([1]Calc!$E:$E, MATCH("D_vessel_m", [1]Calc!$C:$C, 0)) - $E147 + $B147)</f>
        <v>1.9112508231881176</v>
      </c>
      <c r="J147" s="3">
        <f>IF($F147="","", INDEX([1]Calc!$E:$E, MATCH("D_vessel_m", [1]Calc!$C:$C, 0)) - $F147 + $B147)</f>
        <v>1.9112508231881176</v>
      </c>
      <c r="K147" s="2" t="str">
        <f t="shared" si="8"/>
        <v>Even Keel</v>
      </c>
    </row>
    <row r="148" spans="1:11" x14ac:dyDescent="0.6">
      <c r="A148" s="2" t="str">
        <f>IF('December_Tide_2025 (2)'!A148="","",'December_Tide_2025 (2)'!A148)</f>
        <v>2025-12-07 02:00:00</v>
      </c>
      <c r="B148" s="3">
        <f>IF('December_Tide_2025 (2)'!B148="","",'December_Tide_2025 (2)'!B148)</f>
        <v>0.95</v>
      </c>
      <c r="C148" s="3">
        <f>IF($A148="","", INDEX([1]Calc!$E:$E, MATCH("KminusZ_m", [1]Calc!$C:$C, 0)) + $B148 - INDEX([1]Calc!$E:$E, MATCH("L_ramp_m", [1]Calc!$C:$C, 0)) * TAN(RADIANS(INDEX([1]Calc!$E:$E, MATCH("theta_max_deg", [1]Calc!$C:$C, 0)))))</f>
        <v>2.6887491768118825</v>
      </c>
      <c r="D148" s="3"/>
      <c r="E148" s="3">
        <f t="shared" si="6"/>
        <v>2.6887491768118825</v>
      </c>
      <c r="F148" s="3">
        <f t="shared" si="7"/>
        <v>2.6887491768118825</v>
      </c>
      <c r="G148" s="3">
        <f>IF($E148="","", DEGREES(ATAN((INDEX([1]Calc!$E:$E, MATCH("KminusZ_m", [1]Calc!$C:$C, 0)) - $E148 + $B148) / INDEX([1]Calc!$E:$E, MATCH("L_ramp_m", [1]Calc!$C:$C, 0)))))</f>
        <v>6</v>
      </c>
      <c r="H148" s="2" t="str">
        <f>IF($E148="","", IF(AND($E148&gt;=INDEX([1]Calc!$E:$E, MATCH("min_fwd_draft_m", [1]Calc!$C:$C, 0)), $E148&lt;=INDEX([1]Calc!$E:$E, MATCH("max_fwd_draft_m", [1]Calc!$C:$C, 0)), $G148&lt;=INDEX([1]Calc!$E:$E, MATCH("theta_max_deg", [1]Calc!$C:$C, 0))), "OK", "CHECK"))</f>
        <v>OK</v>
      </c>
      <c r="I148" s="3">
        <f>IF($E148="","", INDEX([1]Calc!$E:$E, MATCH("D_vessel_m", [1]Calc!$C:$C, 0)) - $E148 + $B148)</f>
        <v>1.9112508231881173</v>
      </c>
      <c r="J148" s="3">
        <f>IF($F148="","", INDEX([1]Calc!$E:$E, MATCH("D_vessel_m", [1]Calc!$C:$C, 0)) - $F148 + $B148)</f>
        <v>1.9112508231881173</v>
      </c>
      <c r="K148" s="2" t="str">
        <f t="shared" si="8"/>
        <v>Even Keel</v>
      </c>
    </row>
    <row r="149" spans="1:11" x14ac:dyDescent="0.6">
      <c r="A149" s="2" t="str">
        <f>IF('December_Tide_2025 (2)'!A149="","",'December_Tide_2025 (2)'!A149)</f>
        <v>2025-12-07 03:00:00</v>
      </c>
      <c r="B149" s="3">
        <f>IF('December_Tide_2025 (2)'!B149="","",'December_Tide_2025 (2)'!B149)</f>
        <v>1.25</v>
      </c>
      <c r="C149" s="3">
        <f>IF($A149="","", INDEX([1]Calc!$E:$E, MATCH("KminusZ_m", [1]Calc!$C:$C, 0)) + $B149 - INDEX([1]Calc!$E:$E, MATCH("L_ramp_m", [1]Calc!$C:$C, 0)) * TAN(RADIANS(INDEX([1]Calc!$E:$E, MATCH("theta_max_deg", [1]Calc!$C:$C, 0)))))</f>
        <v>2.9887491768118823</v>
      </c>
      <c r="D149" s="3"/>
      <c r="E149" s="3">
        <f t="shared" si="6"/>
        <v>2.9887491768118823</v>
      </c>
      <c r="F149" s="3">
        <f t="shared" si="7"/>
        <v>2.9887491768118823</v>
      </c>
      <c r="G149" s="3">
        <f>IF($E149="","", DEGREES(ATAN((INDEX([1]Calc!$E:$E, MATCH("KminusZ_m", [1]Calc!$C:$C, 0)) - $E149 + $B149) / INDEX([1]Calc!$E:$E, MATCH("L_ramp_m", [1]Calc!$C:$C, 0)))))</f>
        <v>6.0000000000000009</v>
      </c>
      <c r="H149" s="2" t="str">
        <f>IF($E149="","", IF(AND($E149&gt;=INDEX([1]Calc!$E:$E, MATCH("min_fwd_draft_m", [1]Calc!$C:$C, 0)), $E149&lt;=INDEX([1]Calc!$E:$E, MATCH("max_fwd_draft_m", [1]Calc!$C:$C, 0)), $G149&lt;=INDEX([1]Calc!$E:$E, MATCH("theta_max_deg", [1]Calc!$C:$C, 0))), "OK", "CHECK"))</f>
        <v>OK</v>
      </c>
      <c r="I149" s="3">
        <f>IF($E149="","", INDEX([1]Calc!$E:$E, MATCH("D_vessel_m", [1]Calc!$C:$C, 0)) - $E149 + $B149)</f>
        <v>1.9112508231881176</v>
      </c>
      <c r="J149" s="3">
        <f>IF($F149="","", INDEX([1]Calc!$E:$E, MATCH("D_vessel_m", [1]Calc!$C:$C, 0)) - $F149 + $B149)</f>
        <v>1.9112508231881176</v>
      </c>
      <c r="K149" s="2" t="str">
        <f t="shared" si="8"/>
        <v>Even Keel</v>
      </c>
    </row>
    <row r="150" spans="1:11" x14ac:dyDescent="0.6">
      <c r="A150" s="2" t="str">
        <f>IF('December_Tide_2025 (2)'!A150="","",'December_Tide_2025 (2)'!A150)</f>
        <v>2025-12-07 04:00:00</v>
      </c>
      <c r="B150" s="3">
        <f>IF('December_Tide_2025 (2)'!B150="","",'December_Tide_2025 (2)'!B150)</f>
        <v>1.68</v>
      </c>
      <c r="C150" s="3">
        <f>IF($A150="","", INDEX([1]Calc!$E:$E, MATCH("KminusZ_m", [1]Calc!$C:$C, 0)) + $B150 - INDEX([1]Calc!$E:$E, MATCH("L_ramp_m", [1]Calc!$C:$C, 0)) * TAN(RADIANS(INDEX([1]Calc!$E:$E, MATCH("theta_max_deg", [1]Calc!$C:$C, 0)))))</f>
        <v>3.4187491768118821</v>
      </c>
      <c r="D150" s="3"/>
      <c r="E150" s="3">
        <f t="shared" si="6"/>
        <v>3.4187491768118821</v>
      </c>
      <c r="F150" s="3">
        <f t="shared" si="7"/>
        <v>3.4187491768118821</v>
      </c>
      <c r="G150" s="3">
        <f>IF($E150="","", DEGREES(ATAN((INDEX([1]Calc!$E:$E, MATCH("KminusZ_m", [1]Calc!$C:$C, 0)) - $E150 + $B150) / INDEX([1]Calc!$E:$E, MATCH("L_ramp_m", [1]Calc!$C:$C, 0)))))</f>
        <v>6.0000000000000009</v>
      </c>
      <c r="H150" s="2" t="str">
        <f>IF($E150="","", IF(AND($E150&gt;=INDEX([1]Calc!$E:$E, MATCH("min_fwd_draft_m", [1]Calc!$C:$C, 0)), $E150&lt;=INDEX([1]Calc!$E:$E, MATCH("max_fwd_draft_m", [1]Calc!$C:$C, 0)), $G150&lt;=INDEX([1]Calc!$E:$E, MATCH("theta_max_deg", [1]Calc!$C:$C, 0))), "OK", "CHECK"))</f>
        <v>OK</v>
      </c>
      <c r="I150" s="3">
        <f>IF($E150="","", INDEX([1]Calc!$E:$E, MATCH("D_vessel_m", [1]Calc!$C:$C, 0)) - $E150 + $B150)</f>
        <v>1.9112508231881178</v>
      </c>
      <c r="J150" s="3">
        <f>IF($F150="","", INDEX([1]Calc!$E:$E, MATCH("D_vessel_m", [1]Calc!$C:$C, 0)) - $F150 + $B150)</f>
        <v>1.9112508231881178</v>
      </c>
      <c r="K150" s="2" t="str">
        <f t="shared" si="8"/>
        <v>Even Keel</v>
      </c>
    </row>
    <row r="151" spans="1:11" x14ac:dyDescent="0.6">
      <c r="A151" s="2" t="str">
        <f>IF('December_Tide_2025 (2)'!A151="","",'December_Tide_2025 (2)'!A151)</f>
        <v>2025-12-07 05:00:00</v>
      </c>
      <c r="B151" s="3">
        <f>IF('December_Tide_2025 (2)'!B151="","",'December_Tide_2025 (2)'!B151)</f>
        <v>2.15</v>
      </c>
      <c r="C151" s="3">
        <f>IF($A151="","", INDEX([1]Calc!$E:$E, MATCH("KminusZ_m", [1]Calc!$C:$C, 0)) + $B151 - INDEX([1]Calc!$E:$E, MATCH("L_ramp_m", [1]Calc!$C:$C, 0)) * TAN(RADIANS(INDEX([1]Calc!$E:$E, MATCH("theta_max_deg", [1]Calc!$C:$C, 0)))))</f>
        <v>3.8887491768118827</v>
      </c>
      <c r="D151" s="3"/>
      <c r="E151" s="3">
        <f t="shared" si="6"/>
        <v>3.8887491768118827</v>
      </c>
      <c r="F151" s="3">
        <f t="shared" si="7"/>
        <v>3.8887491768118827</v>
      </c>
      <c r="G151" s="3">
        <f>IF($E151="","", DEGREES(ATAN((INDEX([1]Calc!$E:$E, MATCH("KminusZ_m", [1]Calc!$C:$C, 0)) - $E151 + $B151) / INDEX([1]Calc!$E:$E, MATCH("L_ramp_m", [1]Calc!$C:$C, 0)))))</f>
        <v>5.9999999999999982</v>
      </c>
      <c r="H151" s="2" t="str">
        <f>IF($E151="","", IF(AND($E151&gt;=INDEX([1]Calc!$E:$E, MATCH("min_fwd_draft_m", [1]Calc!$C:$C, 0)), $E151&lt;=INDEX([1]Calc!$E:$E, MATCH("max_fwd_draft_m", [1]Calc!$C:$C, 0)), $G151&lt;=INDEX([1]Calc!$E:$E, MATCH("theta_max_deg", [1]Calc!$C:$C, 0))), "OK", "CHECK"))</f>
        <v>CHECK</v>
      </c>
      <c r="I151" s="3">
        <f>IF($E151="","", INDEX([1]Calc!$E:$E, MATCH("D_vessel_m", [1]Calc!$C:$C, 0)) - $E151 + $B151)</f>
        <v>1.9112508231881171</v>
      </c>
      <c r="J151" s="3">
        <f>IF($F151="","", INDEX([1]Calc!$E:$E, MATCH("D_vessel_m", [1]Calc!$C:$C, 0)) - $F151 + $B151)</f>
        <v>1.9112508231881171</v>
      </c>
      <c r="K151" s="2" t="str">
        <f t="shared" si="8"/>
        <v>Even Keel</v>
      </c>
    </row>
    <row r="152" spans="1:11" x14ac:dyDescent="0.6">
      <c r="A152" s="2" t="str">
        <f>IF('December_Tide_2025 (2)'!A152="","",'December_Tide_2025 (2)'!A152)</f>
        <v>2025-12-07 06:00:00</v>
      </c>
      <c r="B152" s="3">
        <f>IF('December_Tide_2025 (2)'!B152="","",'December_Tide_2025 (2)'!B152)</f>
        <v>2.5299999999999998</v>
      </c>
      <c r="C152" s="3">
        <f>IF($A152="","", INDEX([1]Calc!$E:$E, MATCH("KminusZ_m", [1]Calc!$C:$C, 0)) + $B152 - INDEX([1]Calc!$E:$E, MATCH("L_ramp_m", [1]Calc!$C:$C, 0)) * TAN(RADIANS(INDEX([1]Calc!$E:$E, MATCH("theta_max_deg", [1]Calc!$C:$C, 0)))))</f>
        <v>4.2687491768118822</v>
      </c>
      <c r="D152" s="3"/>
      <c r="E152" s="3">
        <f t="shared" si="6"/>
        <v>4.2687491768118822</v>
      </c>
      <c r="F152" s="3">
        <f t="shared" si="7"/>
        <v>4.2687491768118822</v>
      </c>
      <c r="G152" s="3">
        <f>IF($E152="","", DEGREES(ATAN((INDEX([1]Calc!$E:$E, MATCH("KminusZ_m", [1]Calc!$C:$C, 0)) - $E152 + $B152) / INDEX([1]Calc!$E:$E, MATCH("L_ramp_m", [1]Calc!$C:$C, 0)))))</f>
        <v>6.0000000000000009</v>
      </c>
      <c r="H152" s="2" t="str">
        <f>IF($E152="","", IF(AND($E152&gt;=INDEX([1]Calc!$E:$E, MATCH("min_fwd_draft_m", [1]Calc!$C:$C, 0)), $E152&lt;=INDEX([1]Calc!$E:$E, MATCH("max_fwd_draft_m", [1]Calc!$C:$C, 0)), $G152&lt;=INDEX([1]Calc!$E:$E, MATCH("theta_max_deg", [1]Calc!$C:$C, 0))), "OK", "CHECK"))</f>
        <v>CHECK</v>
      </c>
      <c r="I152" s="3">
        <f>IF($E152="","", INDEX([1]Calc!$E:$E, MATCH("D_vessel_m", [1]Calc!$C:$C, 0)) - $E152 + $B152)</f>
        <v>1.9112508231881176</v>
      </c>
      <c r="J152" s="3">
        <f>IF($F152="","", INDEX([1]Calc!$E:$E, MATCH("D_vessel_m", [1]Calc!$C:$C, 0)) - $F152 + $B152)</f>
        <v>1.9112508231881176</v>
      </c>
      <c r="K152" s="2" t="str">
        <f t="shared" si="8"/>
        <v>Even Keel</v>
      </c>
    </row>
    <row r="153" spans="1:11" x14ac:dyDescent="0.6">
      <c r="A153" s="2" t="str">
        <f>IF('December_Tide_2025 (2)'!A153="","",'December_Tide_2025 (2)'!A153)</f>
        <v>2025-12-07 07:00:00</v>
      </c>
      <c r="B153" s="3">
        <f>IF('December_Tide_2025 (2)'!B153="","",'December_Tide_2025 (2)'!B153)</f>
        <v>2.72</v>
      </c>
      <c r="C153" s="3">
        <f>IF($A153="","", INDEX([1]Calc!$E:$E, MATCH("KminusZ_m", [1]Calc!$C:$C, 0)) + $B153 - INDEX([1]Calc!$E:$E, MATCH("L_ramp_m", [1]Calc!$C:$C, 0)) * TAN(RADIANS(INDEX([1]Calc!$E:$E, MATCH("theta_max_deg", [1]Calc!$C:$C, 0)))))</f>
        <v>4.4587491768118834</v>
      </c>
      <c r="D153" s="3"/>
      <c r="E153" s="3">
        <f t="shared" si="6"/>
        <v>4.4587491768118834</v>
      </c>
      <c r="F153" s="3">
        <f t="shared" si="7"/>
        <v>4.4587491768118834</v>
      </c>
      <c r="G153" s="3">
        <f>IF($E153="","", DEGREES(ATAN((INDEX([1]Calc!$E:$E, MATCH("KminusZ_m", [1]Calc!$C:$C, 0)) - $E153 + $B153) / INDEX([1]Calc!$E:$E, MATCH("L_ramp_m", [1]Calc!$C:$C, 0)))))</f>
        <v>5.9999999999999964</v>
      </c>
      <c r="H153" s="2" t="str">
        <f>IF($E153="","", IF(AND($E153&gt;=INDEX([1]Calc!$E:$E, MATCH("min_fwd_draft_m", [1]Calc!$C:$C, 0)), $E153&lt;=INDEX([1]Calc!$E:$E, MATCH("max_fwd_draft_m", [1]Calc!$C:$C, 0)), $G153&lt;=INDEX([1]Calc!$E:$E, MATCH("theta_max_deg", [1]Calc!$C:$C, 0))), "OK", "CHECK"))</f>
        <v>CHECK</v>
      </c>
      <c r="I153" s="3">
        <f>IF($E153="","", INDEX([1]Calc!$E:$E, MATCH("D_vessel_m", [1]Calc!$C:$C, 0)) - $E153 + $B153)</f>
        <v>1.9112508231881167</v>
      </c>
      <c r="J153" s="3">
        <f>IF($F153="","", INDEX([1]Calc!$E:$E, MATCH("D_vessel_m", [1]Calc!$C:$C, 0)) - $F153 + $B153)</f>
        <v>1.9112508231881167</v>
      </c>
      <c r="K153" s="2" t="str">
        <f t="shared" si="8"/>
        <v>Even Keel</v>
      </c>
    </row>
    <row r="154" spans="1:11" x14ac:dyDescent="0.6">
      <c r="A154" s="2" t="str">
        <f>IF('December_Tide_2025 (2)'!A154="","",'December_Tide_2025 (2)'!A154)</f>
        <v>2025-12-07 08:00:00</v>
      </c>
      <c r="B154" s="3">
        <f>IF('December_Tide_2025 (2)'!B154="","",'December_Tide_2025 (2)'!B154)</f>
        <v>2.69</v>
      </c>
      <c r="C154" s="3">
        <f>IF($A154="","", INDEX([1]Calc!$E:$E, MATCH("KminusZ_m", [1]Calc!$C:$C, 0)) + $B154 - INDEX([1]Calc!$E:$E, MATCH("L_ramp_m", [1]Calc!$C:$C, 0)) * TAN(RADIANS(INDEX([1]Calc!$E:$E, MATCH("theta_max_deg", [1]Calc!$C:$C, 0)))))</f>
        <v>4.4287491768118823</v>
      </c>
      <c r="D154" s="3"/>
      <c r="E154" s="3">
        <f t="shared" si="6"/>
        <v>4.4287491768118823</v>
      </c>
      <c r="F154" s="3">
        <f t="shared" si="7"/>
        <v>4.4287491768118823</v>
      </c>
      <c r="G154" s="3">
        <f>IF($E154="","", DEGREES(ATAN((INDEX([1]Calc!$E:$E, MATCH("KminusZ_m", [1]Calc!$C:$C, 0)) - $E154 + $B154) / INDEX([1]Calc!$E:$E, MATCH("L_ramp_m", [1]Calc!$C:$C, 0)))))</f>
        <v>6.0000000000000009</v>
      </c>
      <c r="H154" s="2" t="str">
        <f>IF($E154="","", IF(AND($E154&gt;=INDEX([1]Calc!$E:$E, MATCH("min_fwd_draft_m", [1]Calc!$C:$C, 0)), $E154&lt;=INDEX([1]Calc!$E:$E, MATCH("max_fwd_draft_m", [1]Calc!$C:$C, 0)), $G154&lt;=INDEX([1]Calc!$E:$E, MATCH("theta_max_deg", [1]Calc!$C:$C, 0))), "OK", "CHECK"))</f>
        <v>CHECK</v>
      </c>
      <c r="I154" s="3">
        <f>IF($E154="","", INDEX([1]Calc!$E:$E, MATCH("D_vessel_m", [1]Calc!$C:$C, 0)) - $E154 + $B154)</f>
        <v>1.9112508231881176</v>
      </c>
      <c r="J154" s="3">
        <f>IF($F154="","", INDEX([1]Calc!$E:$E, MATCH("D_vessel_m", [1]Calc!$C:$C, 0)) - $F154 + $B154)</f>
        <v>1.9112508231881176</v>
      </c>
      <c r="K154" s="2" t="str">
        <f t="shared" si="8"/>
        <v>Even Keel</v>
      </c>
    </row>
    <row r="155" spans="1:11" x14ac:dyDescent="0.6">
      <c r="A155" s="2" t="str">
        <f>IF('December_Tide_2025 (2)'!A155="","",'December_Tide_2025 (2)'!A155)</f>
        <v>2025-12-07 09:00:00</v>
      </c>
      <c r="B155" s="3">
        <f>IF('December_Tide_2025 (2)'!B155="","",'December_Tide_2025 (2)'!B155)</f>
        <v>2.4300000000000002</v>
      </c>
      <c r="C155" s="3">
        <f>IF($A155="","", INDEX([1]Calc!$E:$E, MATCH("KminusZ_m", [1]Calc!$C:$C, 0)) + $B155 - INDEX([1]Calc!$E:$E, MATCH("L_ramp_m", [1]Calc!$C:$C, 0)) * TAN(RADIANS(INDEX([1]Calc!$E:$E, MATCH("theta_max_deg", [1]Calc!$C:$C, 0)))))</f>
        <v>4.1687491768118825</v>
      </c>
      <c r="D155" s="3"/>
      <c r="E155" s="3">
        <f t="shared" si="6"/>
        <v>4.1687491768118825</v>
      </c>
      <c r="F155" s="3">
        <f t="shared" si="7"/>
        <v>4.1687491768118825</v>
      </c>
      <c r="G155" s="3">
        <f>IF($E155="","", DEGREES(ATAN((INDEX([1]Calc!$E:$E, MATCH("KminusZ_m", [1]Calc!$C:$C, 0)) - $E155 + $B155) / INDEX([1]Calc!$E:$E, MATCH("L_ramp_m", [1]Calc!$C:$C, 0)))))</f>
        <v>6.0000000000000009</v>
      </c>
      <c r="H155" s="2" t="str">
        <f>IF($E155="","", IF(AND($E155&gt;=INDEX([1]Calc!$E:$E, MATCH("min_fwd_draft_m", [1]Calc!$C:$C, 0)), $E155&lt;=INDEX([1]Calc!$E:$E, MATCH("max_fwd_draft_m", [1]Calc!$C:$C, 0)), $G155&lt;=INDEX([1]Calc!$E:$E, MATCH("theta_max_deg", [1]Calc!$C:$C, 0))), "OK", "CHECK"))</f>
        <v>CHECK</v>
      </c>
      <c r="I155" s="3">
        <f>IF($E155="","", INDEX([1]Calc!$E:$E, MATCH("D_vessel_m", [1]Calc!$C:$C, 0)) - $E155 + $B155)</f>
        <v>1.9112508231881176</v>
      </c>
      <c r="J155" s="3">
        <f>IF($F155="","", INDEX([1]Calc!$E:$E, MATCH("D_vessel_m", [1]Calc!$C:$C, 0)) - $F155 + $B155)</f>
        <v>1.9112508231881176</v>
      </c>
      <c r="K155" s="2" t="str">
        <f t="shared" si="8"/>
        <v>Even Keel</v>
      </c>
    </row>
    <row r="156" spans="1:11" x14ac:dyDescent="0.6">
      <c r="A156" s="2" t="str">
        <f>IF('December_Tide_2025 (2)'!A156="","",'December_Tide_2025 (2)'!A156)</f>
        <v>2025-12-07 10:00:00</v>
      </c>
      <c r="B156" s="3">
        <f>IF('December_Tide_2025 (2)'!B156="","",'December_Tide_2025 (2)'!B156)</f>
        <v>2.0099999999999998</v>
      </c>
      <c r="C156" s="3">
        <f>IF($A156="","", INDEX([1]Calc!$E:$E, MATCH("KminusZ_m", [1]Calc!$C:$C, 0)) + $B156 - INDEX([1]Calc!$E:$E, MATCH("L_ramp_m", [1]Calc!$C:$C, 0)) * TAN(RADIANS(INDEX([1]Calc!$E:$E, MATCH("theta_max_deg", [1]Calc!$C:$C, 0)))))</f>
        <v>3.7487491768118821</v>
      </c>
      <c r="D156" s="3"/>
      <c r="E156" s="3">
        <f t="shared" si="6"/>
        <v>3.7487491768118821</v>
      </c>
      <c r="F156" s="3">
        <f t="shared" si="7"/>
        <v>3.7487491768118821</v>
      </c>
      <c r="G156" s="3">
        <f>IF($E156="","", DEGREES(ATAN((INDEX([1]Calc!$E:$E, MATCH("KminusZ_m", [1]Calc!$C:$C, 0)) - $E156 + $B156) / INDEX([1]Calc!$E:$E, MATCH("L_ramp_m", [1]Calc!$C:$C, 0)))))</f>
        <v>6.0000000000000009</v>
      </c>
      <c r="H156" s="2" t="str">
        <f>IF($E156="","", IF(AND($E156&gt;=INDEX([1]Calc!$E:$E, MATCH("min_fwd_draft_m", [1]Calc!$C:$C, 0)), $E156&lt;=INDEX([1]Calc!$E:$E, MATCH("max_fwd_draft_m", [1]Calc!$C:$C, 0)), $G156&lt;=INDEX([1]Calc!$E:$E, MATCH("theta_max_deg", [1]Calc!$C:$C, 0))), "OK", "CHECK"))</f>
        <v>CHECK</v>
      </c>
      <c r="I156" s="3">
        <f>IF($E156="","", INDEX([1]Calc!$E:$E, MATCH("D_vessel_m", [1]Calc!$C:$C, 0)) - $E156 + $B156)</f>
        <v>1.9112508231881176</v>
      </c>
      <c r="J156" s="3">
        <f>IF($F156="","", INDEX([1]Calc!$E:$E, MATCH("D_vessel_m", [1]Calc!$C:$C, 0)) - $F156 + $B156)</f>
        <v>1.9112508231881176</v>
      </c>
      <c r="K156" s="2" t="str">
        <f t="shared" si="8"/>
        <v>Even Keel</v>
      </c>
    </row>
    <row r="157" spans="1:11" x14ac:dyDescent="0.6">
      <c r="A157" s="2" t="str">
        <f>IF('December_Tide_2025 (2)'!A157="","",'December_Tide_2025 (2)'!A157)</f>
        <v>2025-12-07 11:00:00</v>
      </c>
      <c r="B157" s="3">
        <f>IF('December_Tide_2025 (2)'!B157="","",'December_Tide_2025 (2)'!B157)</f>
        <v>1.54</v>
      </c>
      <c r="C157" s="3">
        <f>IF($A157="","", INDEX([1]Calc!$E:$E, MATCH("KminusZ_m", [1]Calc!$C:$C, 0)) + $B157 - INDEX([1]Calc!$E:$E, MATCH("L_ramp_m", [1]Calc!$C:$C, 0)) * TAN(RADIANS(INDEX([1]Calc!$E:$E, MATCH("theta_max_deg", [1]Calc!$C:$C, 0)))))</f>
        <v>3.2787491768118824</v>
      </c>
      <c r="D157" s="3"/>
      <c r="E157" s="3">
        <f t="shared" si="6"/>
        <v>3.2787491768118824</v>
      </c>
      <c r="F157" s="3">
        <f t="shared" si="7"/>
        <v>3.2787491768118824</v>
      </c>
      <c r="G157" s="3">
        <f>IF($E157="","", DEGREES(ATAN((INDEX([1]Calc!$E:$E, MATCH("KminusZ_m", [1]Calc!$C:$C, 0)) - $E157 + $B157) / INDEX([1]Calc!$E:$E, MATCH("L_ramp_m", [1]Calc!$C:$C, 0)))))</f>
        <v>6.0000000000000009</v>
      </c>
      <c r="H157" s="2" t="str">
        <f>IF($E157="","", IF(AND($E157&gt;=INDEX([1]Calc!$E:$E, MATCH("min_fwd_draft_m", [1]Calc!$C:$C, 0)), $E157&lt;=INDEX([1]Calc!$E:$E, MATCH("max_fwd_draft_m", [1]Calc!$C:$C, 0)), $G157&lt;=INDEX([1]Calc!$E:$E, MATCH("theta_max_deg", [1]Calc!$C:$C, 0))), "OK", "CHECK"))</f>
        <v>OK</v>
      </c>
      <c r="I157" s="3">
        <f>IF($E157="","", INDEX([1]Calc!$E:$E, MATCH("D_vessel_m", [1]Calc!$C:$C, 0)) - $E157 + $B157)</f>
        <v>1.9112508231881176</v>
      </c>
      <c r="J157" s="3">
        <f>IF($F157="","", INDEX([1]Calc!$E:$E, MATCH("D_vessel_m", [1]Calc!$C:$C, 0)) - $F157 + $B157)</f>
        <v>1.9112508231881176</v>
      </c>
      <c r="K157" s="2" t="str">
        <f t="shared" si="8"/>
        <v>Even Keel</v>
      </c>
    </row>
    <row r="158" spans="1:11" x14ac:dyDescent="0.6">
      <c r="A158" s="2" t="str">
        <f>IF('December_Tide_2025 (2)'!A158="","",'December_Tide_2025 (2)'!A158)</f>
        <v>2025-12-07 12:00:00</v>
      </c>
      <c r="B158" s="3">
        <f>IF('December_Tide_2025 (2)'!B158="","",'December_Tide_2025 (2)'!B158)</f>
        <v>1.1399999999999999</v>
      </c>
      <c r="C158" s="3">
        <f>IF($A158="","", INDEX([1]Calc!$E:$E, MATCH("KminusZ_m", [1]Calc!$C:$C, 0)) + $B158 - INDEX([1]Calc!$E:$E, MATCH("L_ramp_m", [1]Calc!$C:$C, 0)) * TAN(RADIANS(INDEX([1]Calc!$E:$E, MATCH("theta_max_deg", [1]Calc!$C:$C, 0)))))</f>
        <v>2.878749176811882</v>
      </c>
      <c r="D158" s="3"/>
      <c r="E158" s="3">
        <f t="shared" si="6"/>
        <v>2.878749176811882</v>
      </c>
      <c r="F158" s="3">
        <f t="shared" si="7"/>
        <v>2.878749176811882</v>
      </c>
      <c r="G158" s="3">
        <f>IF($E158="","", DEGREES(ATAN((INDEX([1]Calc!$E:$E, MATCH("KminusZ_m", [1]Calc!$C:$C, 0)) - $E158 + $B158) / INDEX([1]Calc!$E:$E, MATCH("L_ramp_m", [1]Calc!$C:$C, 0)))))</f>
        <v>6.0000000000000009</v>
      </c>
      <c r="H158" s="2" t="str">
        <f>IF($E158="","", IF(AND($E158&gt;=INDEX([1]Calc!$E:$E, MATCH("min_fwd_draft_m", [1]Calc!$C:$C, 0)), $E158&lt;=INDEX([1]Calc!$E:$E, MATCH("max_fwd_draft_m", [1]Calc!$C:$C, 0)), $G158&lt;=INDEX([1]Calc!$E:$E, MATCH("theta_max_deg", [1]Calc!$C:$C, 0))), "OK", "CHECK"))</f>
        <v>OK</v>
      </c>
      <c r="I158" s="3">
        <f>IF($E158="","", INDEX([1]Calc!$E:$E, MATCH("D_vessel_m", [1]Calc!$C:$C, 0)) - $E158 + $B158)</f>
        <v>1.9112508231881178</v>
      </c>
      <c r="J158" s="3">
        <f>IF($F158="","", INDEX([1]Calc!$E:$E, MATCH("D_vessel_m", [1]Calc!$C:$C, 0)) - $F158 + $B158)</f>
        <v>1.9112508231881178</v>
      </c>
      <c r="K158" s="2" t="str">
        <f t="shared" si="8"/>
        <v>Even Keel</v>
      </c>
    </row>
    <row r="159" spans="1:11" x14ac:dyDescent="0.6">
      <c r="A159" s="2" t="str">
        <f>IF('December_Tide_2025 (2)'!A159="","",'December_Tide_2025 (2)'!A159)</f>
        <v>2025-12-07 13:00:00</v>
      </c>
      <c r="B159" s="3">
        <f>IF('December_Tide_2025 (2)'!B159="","",'December_Tide_2025 (2)'!B159)</f>
        <v>0.9</v>
      </c>
      <c r="C159" s="3">
        <f>IF($A159="","", INDEX([1]Calc!$E:$E, MATCH("KminusZ_m", [1]Calc!$C:$C, 0)) + $B159 - INDEX([1]Calc!$E:$E, MATCH("L_ramp_m", [1]Calc!$C:$C, 0)) * TAN(RADIANS(INDEX([1]Calc!$E:$E, MATCH("theta_max_deg", [1]Calc!$C:$C, 0)))))</f>
        <v>2.6387491768118823</v>
      </c>
      <c r="D159" s="3"/>
      <c r="E159" s="3">
        <f t="shared" si="6"/>
        <v>2.6387491768118823</v>
      </c>
      <c r="F159" s="3">
        <f t="shared" si="7"/>
        <v>2.6387491768118823</v>
      </c>
      <c r="G159" s="3">
        <f>IF($E159="","", DEGREES(ATAN((INDEX([1]Calc!$E:$E, MATCH("KminusZ_m", [1]Calc!$C:$C, 0)) - $E159 + $B159) / INDEX([1]Calc!$E:$E, MATCH("L_ramp_m", [1]Calc!$C:$C, 0)))))</f>
        <v>6.0000000000000009</v>
      </c>
      <c r="H159" s="2" t="str">
        <f>IF($E159="","", IF(AND($E159&gt;=INDEX([1]Calc!$E:$E, MATCH("min_fwd_draft_m", [1]Calc!$C:$C, 0)), $E159&lt;=INDEX([1]Calc!$E:$E, MATCH("max_fwd_draft_m", [1]Calc!$C:$C, 0)), $G159&lt;=INDEX([1]Calc!$E:$E, MATCH("theta_max_deg", [1]Calc!$C:$C, 0))), "OK", "CHECK"))</f>
        <v>OK</v>
      </c>
      <c r="I159" s="3">
        <f>IF($E159="","", INDEX([1]Calc!$E:$E, MATCH("D_vessel_m", [1]Calc!$C:$C, 0)) - $E159 + $B159)</f>
        <v>1.9112508231881176</v>
      </c>
      <c r="J159" s="3">
        <f>IF($F159="","", INDEX([1]Calc!$E:$E, MATCH("D_vessel_m", [1]Calc!$C:$C, 0)) - $F159 + $B159)</f>
        <v>1.9112508231881176</v>
      </c>
      <c r="K159" s="2" t="str">
        <f t="shared" si="8"/>
        <v>Even Keel</v>
      </c>
    </row>
    <row r="160" spans="1:11" x14ac:dyDescent="0.6">
      <c r="A160" s="2" t="str">
        <f>IF('December_Tide_2025 (2)'!A160="","",'December_Tide_2025 (2)'!A160)</f>
        <v>2025-12-07 14:00:00</v>
      </c>
      <c r="B160" s="3">
        <f>IF('December_Tide_2025 (2)'!B160="","",'December_Tide_2025 (2)'!B160)</f>
        <v>0.89</v>
      </c>
      <c r="C160" s="3">
        <f>IF($A160="","", INDEX([1]Calc!$E:$E, MATCH("KminusZ_m", [1]Calc!$C:$C, 0)) + $B160 - INDEX([1]Calc!$E:$E, MATCH("L_ramp_m", [1]Calc!$C:$C, 0)) * TAN(RADIANS(INDEX([1]Calc!$E:$E, MATCH("theta_max_deg", [1]Calc!$C:$C, 0)))))</f>
        <v>2.6287491768118825</v>
      </c>
      <c r="D160" s="3"/>
      <c r="E160" s="3">
        <f t="shared" si="6"/>
        <v>2.6287491768118825</v>
      </c>
      <c r="F160" s="3">
        <f t="shared" si="7"/>
        <v>2.6287491768118825</v>
      </c>
      <c r="G160" s="3">
        <f>IF($E160="","", DEGREES(ATAN((INDEX([1]Calc!$E:$E, MATCH("KminusZ_m", [1]Calc!$C:$C, 0)) - $E160 + $B160) / INDEX([1]Calc!$E:$E, MATCH("L_ramp_m", [1]Calc!$C:$C, 0)))))</f>
        <v>6.0000000000000009</v>
      </c>
      <c r="H160" s="2" t="str">
        <f>IF($E160="","", IF(AND($E160&gt;=INDEX([1]Calc!$E:$E, MATCH("min_fwd_draft_m", [1]Calc!$C:$C, 0)), $E160&lt;=INDEX([1]Calc!$E:$E, MATCH("max_fwd_draft_m", [1]Calc!$C:$C, 0)), $G160&lt;=INDEX([1]Calc!$E:$E, MATCH("theta_max_deg", [1]Calc!$C:$C, 0))), "OK", "CHECK"))</f>
        <v>OK</v>
      </c>
      <c r="I160" s="3">
        <f>IF($E160="","", INDEX([1]Calc!$E:$E, MATCH("D_vessel_m", [1]Calc!$C:$C, 0)) - $E160 + $B160)</f>
        <v>1.9112508231881176</v>
      </c>
      <c r="J160" s="3">
        <f>IF($F160="","", INDEX([1]Calc!$E:$E, MATCH("D_vessel_m", [1]Calc!$C:$C, 0)) - $F160 + $B160)</f>
        <v>1.9112508231881176</v>
      </c>
      <c r="K160" s="2" t="str">
        <f t="shared" si="8"/>
        <v>Even Keel</v>
      </c>
    </row>
    <row r="161" spans="1:11" x14ac:dyDescent="0.6">
      <c r="A161" s="2" t="str">
        <f>IF('December_Tide_2025 (2)'!A161="","",'December_Tide_2025 (2)'!A161)</f>
        <v>2025-12-07 15:00:00</v>
      </c>
      <c r="B161" s="3">
        <f>IF('December_Tide_2025 (2)'!B161="","",'December_Tide_2025 (2)'!B161)</f>
        <v>1.1100000000000001</v>
      </c>
      <c r="C161" s="3">
        <f>IF($A161="","", INDEX([1]Calc!$E:$E, MATCH("KminusZ_m", [1]Calc!$C:$C, 0)) + $B161 - INDEX([1]Calc!$E:$E, MATCH("L_ramp_m", [1]Calc!$C:$C, 0)) * TAN(RADIANS(INDEX([1]Calc!$E:$E, MATCH("theta_max_deg", [1]Calc!$C:$C, 0)))))</f>
        <v>2.8487491768118827</v>
      </c>
      <c r="D161" s="3"/>
      <c r="E161" s="3">
        <f t="shared" si="6"/>
        <v>2.8487491768118827</v>
      </c>
      <c r="F161" s="3">
        <f t="shared" si="7"/>
        <v>2.8487491768118827</v>
      </c>
      <c r="G161" s="3">
        <f>IF($E161="","", DEGREES(ATAN((INDEX([1]Calc!$E:$E, MATCH("KminusZ_m", [1]Calc!$C:$C, 0)) - $E161 + $B161) / INDEX([1]Calc!$E:$E, MATCH("L_ramp_m", [1]Calc!$C:$C, 0)))))</f>
        <v>6</v>
      </c>
      <c r="H161" s="2" t="str">
        <f>IF($E161="","", IF(AND($E161&gt;=INDEX([1]Calc!$E:$E, MATCH("min_fwd_draft_m", [1]Calc!$C:$C, 0)), $E161&lt;=INDEX([1]Calc!$E:$E, MATCH("max_fwd_draft_m", [1]Calc!$C:$C, 0)), $G161&lt;=INDEX([1]Calc!$E:$E, MATCH("theta_max_deg", [1]Calc!$C:$C, 0))), "OK", "CHECK"))</f>
        <v>OK</v>
      </c>
      <c r="I161" s="3">
        <f>IF($E161="","", INDEX([1]Calc!$E:$E, MATCH("D_vessel_m", [1]Calc!$C:$C, 0)) - $E161 + $B161)</f>
        <v>1.9112508231881173</v>
      </c>
      <c r="J161" s="3">
        <f>IF($F161="","", INDEX([1]Calc!$E:$E, MATCH("D_vessel_m", [1]Calc!$C:$C, 0)) - $F161 + $B161)</f>
        <v>1.9112508231881173</v>
      </c>
      <c r="K161" s="2" t="str">
        <f t="shared" si="8"/>
        <v>Even Keel</v>
      </c>
    </row>
    <row r="162" spans="1:11" x14ac:dyDescent="0.6">
      <c r="A162" s="2" t="str">
        <f>IF('December_Tide_2025 (2)'!A162="","",'December_Tide_2025 (2)'!A162)</f>
        <v>2025-12-07 16:00:00</v>
      </c>
      <c r="B162" s="3">
        <f>IF('December_Tide_2025 (2)'!B162="","",'December_Tide_2025 (2)'!B162)</f>
        <v>1.5</v>
      </c>
      <c r="C162" s="3">
        <f>IF($A162="","", INDEX([1]Calc!$E:$E, MATCH("KminusZ_m", [1]Calc!$C:$C, 0)) + $B162 - INDEX([1]Calc!$E:$E, MATCH("L_ramp_m", [1]Calc!$C:$C, 0)) * TAN(RADIANS(INDEX([1]Calc!$E:$E, MATCH("theta_max_deg", [1]Calc!$C:$C, 0)))))</f>
        <v>3.2387491768118823</v>
      </c>
      <c r="D162" s="3"/>
      <c r="E162" s="3">
        <f t="shared" si="6"/>
        <v>3.2387491768118823</v>
      </c>
      <c r="F162" s="3">
        <f t="shared" si="7"/>
        <v>3.2387491768118823</v>
      </c>
      <c r="G162" s="3">
        <f>IF($E162="","", DEGREES(ATAN((INDEX([1]Calc!$E:$E, MATCH("KminusZ_m", [1]Calc!$C:$C, 0)) - $E162 + $B162) / INDEX([1]Calc!$E:$E, MATCH("L_ramp_m", [1]Calc!$C:$C, 0)))))</f>
        <v>6.0000000000000009</v>
      </c>
      <c r="H162" s="2" t="str">
        <f>IF($E162="","", IF(AND($E162&gt;=INDEX([1]Calc!$E:$E, MATCH("min_fwd_draft_m", [1]Calc!$C:$C, 0)), $E162&lt;=INDEX([1]Calc!$E:$E, MATCH("max_fwd_draft_m", [1]Calc!$C:$C, 0)), $G162&lt;=INDEX([1]Calc!$E:$E, MATCH("theta_max_deg", [1]Calc!$C:$C, 0))), "OK", "CHECK"))</f>
        <v>OK</v>
      </c>
      <c r="I162" s="3">
        <f>IF($E162="","", INDEX([1]Calc!$E:$E, MATCH("D_vessel_m", [1]Calc!$C:$C, 0)) - $E162 + $B162)</f>
        <v>1.9112508231881176</v>
      </c>
      <c r="J162" s="3">
        <f>IF($F162="","", INDEX([1]Calc!$E:$E, MATCH("D_vessel_m", [1]Calc!$C:$C, 0)) - $F162 + $B162)</f>
        <v>1.9112508231881176</v>
      </c>
      <c r="K162" s="2" t="str">
        <f t="shared" si="8"/>
        <v>Even Keel</v>
      </c>
    </row>
    <row r="163" spans="1:11" x14ac:dyDescent="0.6">
      <c r="A163" s="2" t="str">
        <f>IF('December_Tide_2025 (2)'!A163="","",'December_Tide_2025 (2)'!A163)</f>
        <v>2025-12-07 17:00:00</v>
      </c>
      <c r="B163" s="3">
        <f>IF('December_Tide_2025 (2)'!B163="","",'December_Tide_2025 (2)'!B163)</f>
        <v>1.97</v>
      </c>
      <c r="C163" s="3">
        <f>IF($A163="","", INDEX([1]Calc!$E:$E, MATCH("KminusZ_m", [1]Calc!$C:$C, 0)) + $B163 - INDEX([1]Calc!$E:$E, MATCH("L_ramp_m", [1]Calc!$C:$C, 0)) * TAN(RADIANS(INDEX([1]Calc!$E:$E, MATCH("theta_max_deg", [1]Calc!$C:$C, 0)))))</f>
        <v>3.7087491768118821</v>
      </c>
      <c r="D163" s="3"/>
      <c r="E163" s="3">
        <f t="shared" si="6"/>
        <v>3.7087491768118821</v>
      </c>
      <c r="F163" s="3">
        <f t="shared" si="7"/>
        <v>3.7087491768118821</v>
      </c>
      <c r="G163" s="3">
        <f>IF($E163="","", DEGREES(ATAN((INDEX([1]Calc!$E:$E, MATCH("KminusZ_m", [1]Calc!$C:$C, 0)) - $E163 + $B163) / INDEX([1]Calc!$E:$E, MATCH("L_ramp_m", [1]Calc!$C:$C, 0)))))</f>
        <v>6.0000000000000009</v>
      </c>
      <c r="H163" s="2" t="str">
        <f>IF($E163="","", IF(AND($E163&gt;=INDEX([1]Calc!$E:$E, MATCH("min_fwd_draft_m", [1]Calc!$C:$C, 0)), $E163&lt;=INDEX([1]Calc!$E:$E, MATCH("max_fwd_draft_m", [1]Calc!$C:$C, 0)), $G163&lt;=INDEX([1]Calc!$E:$E, MATCH("theta_max_deg", [1]Calc!$C:$C, 0))), "OK", "CHECK"))</f>
        <v>CHECK</v>
      </c>
      <c r="I163" s="3">
        <f>IF($E163="","", INDEX([1]Calc!$E:$E, MATCH("D_vessel_m", [1]Calc!$C:$C, 0)) - $E163 + $B163)</f>
        <v>1.9112508231881178</v>
      </c>
      <c r="J163" s="3">
        <f>IF($F163="","", INDEX([1]Calc!$E:$E, MATCH("D_vessel_m", [1]Calc!$C:$C, 0)) - $F163 + $B163)</f>
        <v>1.9112508231881178</v>
      </c>
      <c r="K163" s="2" t="str">
        <f t="shared" si="8"/>
        <v>Even Keel</v>
      </c>
    </row>
    <row r="164" spans="1:11" x14ac:dyDescent="0.6">
      <c r="A164" s="2" t="str">
        <f>IF('December_Tide_2025 (2)'!A164="","",'December_Tide_2025 (2)'!A164)</f>
        <v>2025-12-07 18:00:00</v>
      </c>
      <c r="B164" s="3">
        <f>IF('December_Tide_2025 (2)'!B164="","",'December_Tide_2025 (2)'!B164)</f>
        <v>2.39</v>
      </c>
      <c r="C164" s="3">
        <f>IF($A164="","", INDEX([1]Calc!$E:$E, MATCH("KminusZ_m", [1]Calc!$C:$C, 0)) + $B164 - INDEX([1]Calc!$E:$E, MATCH("L_ramp_m", [1]Calc!$C:$C, 0)) * TAN(RADIANS(INDEX([1]Calc!$E:$E, MATCH("theta_max_deg", [1]Calc!$C:$C, 0)))))</f>
        <v>4.1287491768118834</v>
      </c>
      <c r="D164" s="3"/>
      <c r="E164" s="3">
        <f t="shared" si="6"/>
        <v>4.1287491768118834</v>
      </c>
      <c r="F164" s="3">
        <f t="shared" si="7"/>
        <v>4.1287491768118834</v>
      </c>
      <c r="G164" s="3">
        <f>IF($E164="","", DEGREES(ATAN((INDEX([1]Calc!$E:$E, MATCH("KminusZ_m", [1]Calc!$C:$C, 0)) - $E164 + $B164) / INDEX([1]Calc!$E:$E, MATCH("L_ramp_m", [1]Calc!$C:$C, 0)))))</f>
        <v>5.9999999999999964</v>
      </c>
      <c r="H164" s="2" t="str">
        <f>IF($E164="","", IF(AND($E164&gt;=INDEX([1]Calc!$E:$E, MATCH("min_fwd_draft_m", [1]Calc!$C:$C, 0)), $E164&lt;=INDEX([1]Calc!$E:$E, MATCH("max_fwd_draft_m", [1]Calc!$C:$C, 0)), $G164&lt;=INDEX([1]Calc!$E:$E, MATCH("theta_max_deg", [1]Calc!$C:$C, 0))), "OK", "CHECK"))</f>
        <v>CHECK</v>
      </c>
      <c r="I164" s="3">
        <f>IF($E164="","", INDEX([1]Calc!$E:$E, MATCH("D_vessel_m", [1]Calc!$C:$C, 0)) - $E164 + $B164)</f>
        <v>1.9112508231881167</v>
      </c>
      <c r="J164" s="3">
        <f>IF($F164="","", INDEX([1]Calc!$E:$E, MATCH("D_vessel_m", [1]Calc!$C:$C, 0)) - $F164 + $B164)</f>
        <v>1.9112508231881167</v>
      </c>
      <c r="K164" s="2" t="str">
        <f t="shared" si="8"/>
        <v>Even Keel</v>
      </c>
    </row>
    <row r="165" spans="1:11" x14ac:dyDescent="0.6">
      <c r="A165" s="2" t="str">
        <f>IF('December_Tide_2025 (2)'!A165="","",'December_Tide_2025 (2)'!A165)</f>
        <v>2025-12-07 19:00:00</v>
      </c>
      <c r="B165" s="3">
        <f>IF('December_Tide_2025 (2)'!B165="","",'December_Tide_2025 (2)'!B165)</f>
        <v>2.67</v>
      </c>
      <c r="C165" s="3">
        <f>IF($A165="","", INDEX([1]Calc!$E:$E, MATCH("KminusZ_m", [1]Calc!$C:$C, 0)) + $B165 - INDEX([1]Calc!$E:$E, MATCH("L_ramp_m", [1]Calc!$C:$C, 0)) * TAN(RADIANS(INDEX([1]Calc!$E:$E, MATCH("theta_max_deg", [1]Calc!$C:$C, 0)))))</f>
        <v>4.4087491768118827</v>
      </c>
      <c r="D165" s="3"/>
      <c r="E165" s="3">
        <f t="shared" si="6"/>
        <v>4.4087491768118827</v>
      </c>
      <c r="F165" s="3">
        <f t="shared" si="7"/>
        <v>4.4087491768118827</v>
      </c>
      <c r="G165" s="3">
        <f>IF($E165="","", DEGREES(ATAN((INDEX([1]Calc!$E:$E, MATCH("KminusZ_m", [1]Calc!$C:$C, 0)) - $E165 + $B165) / INDEX([1]Calc!$E:$E, MATCH("L_ramp_m", [1]Calc!$C:$C, 0)))))</f>
        <v>5.9999999999999982</v>
      </c>
      <c r="H165" s="2" t="str">
        <f>IF($E165="","", IF(AND($E165&gt;=INDEX([1]Calc!$E:$E, MATCH("min_fwd_draft_m", [1]Calc!$C:$C, 0)), $E165&lt;=INDEX([1]Calc!$E:$E, MATCH("max_fwd_draft_m", [1]Calc!$C:$C, 0)), $G165&lt;=INDEX([1]Calc!$E:$E, MATCH("theta_max_deg", [1]Calc!$C:$C, 0))), "OK", "CHECK"))</f>
        <v>CHECK</v>
      </c>
      <c r="I165" s="3">
        <f>IF($E165="","", INDEX([1]Calc!$E:$E, MATCH("D_vessel_m", [1]Calc!$C:$C, 0)) - $E165 + $B165)</f>
        <v>1.9112508231881171</v>
      </c>
      <c r="J165" s="3">
        <f>IF($F165="","", INDEX([1]Calc!$E:$E, MATCH("D_vessel_m", [1]Calc!$C:$C, 0)) - $F165 + $B165)</f>
        <v>1.9112508231881171</v>
      </c>
      <c r="K165" s="2" t="str">
        <f t="shared" si="8"/>
        <v>Even Keel</v>
      </c>
    </row>
    <row r="166" spans="1:11" x14ac:dyDescent="0.6">
      <c r="A166" s="2" t="str">
        <f>IF('December_Tide_2025 (2)'!A166="","",'December_Tide_2025 (2)'!A166)</f>
        <v>2025-12-07 20:00:00</v>
      </c>
      <c r="B166" s="3">
        <f>IF('December_Tide_2025 (2)'!B166="","",'December_Tide_2025 (2)'!B166)</f>
        <v>2.73</v>
      </c>
      <c r="C166" s="3">
        <f>IF($A166="","", INDEX([1]Calc!$E:$E, MATCH("KminusZ_m", [1]Calc!$C:$C, 0)) + $B166 - INDEX([1]Calc!$E:$E, MATCH("L_ramp_m", [1]Calc!$C:$C, 0)) * TAN(RADIANS(INDEX([1]Calc!$E:$E, MATCH("theta_max_deg", [1]Calc!$C:$C, 0)))))</f>
        <v>4.4687491768118832</v>
      </c>
      <c r="D166" s="3"/>
      <c r="E166" s="3">
        <f t="shared" si="6"/>
        <v>4.4687491768118832</v>
      </c>
      <c r="F166" s="3">
        <f t="shared" si="7"/>
        <v>4.4687491768118832</v>
      </c>
      <c r="G166" s="3">
        <f>IF($E166="","", DEGREES(ATAN((INDEX([1]Calc!$E:$E, MATCH("KminusZ_m", [1]Calc!$C:$C, 0)) - $E166 + $B166) / INDEX([1]Calc!$E:$E, MATCH("L_ramp_m", [1]Calc!$C:$C, 0)))))</f>
        <v>5.9999999999999964</v>
      </c>
      <c r="H166" s="2" t="str">
        <f>IF($E166="","", IF(AND($E166&gt;=INDEX([1]Calc!$E:$E, MATCH("min_fwd_draft_m", [1]Calc!$C:$C, 0)), $E166&lt;=INDEX([1]Calc!$E:$E, MATCH("max_fwd_draft_m", [1]Calc!$C:$C, 0)), $G166&lt;=INDEX([1]Calc!$E:$E, MATCH("theta_max_deg", [1]Calc!$C:$C, 0))), "OK", "CHECK"))</f>
        <v>CHECK</v>
      </c>
      <c r="I166" s="3">
        <f>IF($E166="","", INDEX([1]Calc!$E:$E, MATCH("D_vessel_m", [1]Calc!$C:$C, 0)) - $E166 + $B166)</f>
        <v>1.9112508231881167</v>
      </c>
      <c r="J166" s="3">
        <f>IF($F166="","", INDEX([1]Calc!$E:$E, MATCH("D_vessel_m", [1]Calc!$C:$C, 0)) - $F166 + $B166)</f>
        <v>1.9112508231881167</v>
      </c>
      <c r="K166" s="2" t="str">
        <f t="shared" si="8"/>
        <v>Even Keel</v>
      </c>
    </row>
    <row r="167" spans="1:11" x14ac:dyDescent="0.6">
      <c r="A167" s="2" t="str">
        <f>IF('December_Tide_2025 (2)'!A167="","",'December_Tide_2025 (2)'!A167)</f>
        <v>2025-12-07 21:00:00</v>
      </c>
      <c r="B167" s="3">
        <f>IF('December_Tide_2025 (2)'!B167="","",'December_Tide_2025 (2)'!B167)</f>
        <v>2.5499999999999998</v>
      </c>
      <c r="C167" s="3">
        <f>IF($A167="","", INDEX([1]Calc!$E:$E, MATCH("KminusZ_m", [1]Calc!$C:$C, 0)) + $B167 - INDEX([1]Calc!$E:$E, MATCH("L_ramp_m", [1]Calc!$C:$C, 0)) * TAN(RADIANS(INDEX([1]Calc!$E:$E, MATCH("theta_max_deg", [1]Calc!$C:$C, 0)))))</f>
        <v>4.2887491768118817</v>
      </c>
      <c r="D167" s="3"/>
      <c r="E167" s="3">
        <f t="shared" si="6"/>
        <v>4.2887491768118817</v>
      </c>
      <c r="F167" s="3">
        <f t="shared" si="7"/>
        <v>4.2887491768118817</v>
      </c>
      <c r="G167" s="3">
        <f>IF($E167="","", DEGREES(ATAN((INDEX([1]Calc!$E:$E, MATCH("KminusZ_m", [1]Calc!$C:$C, 0)) - $E167 + $B167) / INDEX([1]Calc!$E:$E, MATCH("L_ramp_m", [1]Calc!$C:$C, 0)))))</f>
        <v>6.0000000000000027</v>
      </c>
      <c r="H167" s="2" t="str">
        <f>IF($E167="","", IF(AND($E167&gt;=INDEX([1]Calc!$E:$E, MATCH("min_fwd_draft_m", [1]Calc!$C:$C, 0)), $E167&lt;=INDEX([1]Calc!$E:$E, MATCH("max_fwd_draft_m", [1]Calc!$C:$C, 0)), $G167&lt;=INDEX([1]Calc!$E:$E, MATCH("theta_max_deg", [1]Calc!$C:$C, 0))), "OK", "CHECK"))</f>
        <v>CHECK</v>
      </c>
      <c r="I167" s="3">
        <f>IF($E167="","", INDEX([1]Calc!$E:$E, MATCH("D_vessel_m", [1]Calc!$C:$C, 0)) - $E167 + $B167)</f>
        <v>1.911250823188118</v>
      </c>
      <c r="J167" s="3">
        <f>IF($F167="","", INDEX([1]Calc!$E:$E, MATCH("D_vessel_m", [1]Calc!$C:$C, 0)) - $F167 + $B167)</f>
        <v>1.911250823188118</v>
      </c>
      <c r="K167" s="2" t="str">
        <f t="shared" si="8"/>
        <v>Even Keel</v>
      </c>
    </row>
    <row r="168" spans="1:11" x14ac:dyDescent="0.6">
      <c r="A168" s="2" t="str">
        <f>IF('December_Tide_2025 (2)'!A168="","",'December_Tide_2025 (2)'!A168)</f>
        <v>2025-12-07 22:00:00</v>
      </c>
      <c r="B168" s="3">
        <f>IF('December_Tide_2025 (2)'!B168="","",'December_Tide_2025 (2)'!B168)</f>
        <v>2.19</v>
      </c>
      <c r="C168" s="3">
        <f>IF($A168="","", INDEX([1]Calc!$E:$E, MATCH("KminusZ_m", [1]Calc!$C:$C, 0)) + $B168 - INDEX([1]Calc!$E:$E, MATCH("L_ramp_m", [1]Calc!$C:$C, 0)) * TAN(RADIANS(INDEX([1]Calc!$E:$E, MATCH("theta_max_deg", [1]Calc!$C:$C, 0)))))</f>
        <v>3.9287491768118818</v>
      </c>
      <c r="D168" s="3"/>
      <c r="E168" s="3">
        <f t="shared" si="6"/>
        <v>3.9287491768118818</v>
      </c>
      <c r="F168" s="3">
        <f t="shared" si="7"/>
        <v>3.9287491768118818</v>
      </c>
      <c r="G168" s="3">
        <f>IF($E168="","", DEGREES(ATAN((INDEX([1]Calc!$E:$E, MATCH("KminusZ_m", [1]Calc!$C:$C, 0)) - $E168 + $B168) / INDEX([1]Calc!$E:$E, MATCH("L_ramp_m", [1]Calc!$C:$C, 0)))))</f>
        <v>6.0000000000000027</v>
      </c>
      <c r="H168" s="2" t="str">
        <f>IF($E168="","", IF(AND($E168&gt;=INDEX([1]Calc!$E:$E, MATCH("min_fwd_draft_m", [1]Calc!$C:$C, 0)), $E168&lt;=INDEX([1]Calc!$E:$E, MATCH("max_fwd_draft_m", [1]Calc!$C:$C, 0)), $G168&lt;=INDEX([1]Calc!$E:$E, MATCH("theta_max_deg", [1]Calc!$C:$C, 0))), "OK", "CHECK"))</f>
        <v>CHECK</v>
      </c>
      <c r="I168" s="3">
        <f>IF($E168="","", INDEX([1]Calc!$E:$E, MATCH("D_vessel_m", [1]Calc!$C:$C, 0)) - $E168 + $B168)</f>
        <v>1.911250823188118</v>
      </c>
      <c r="J168" s="3">
        <f>IF($F168="","", INDEX([1]Calc!$E:$E, MATCH("D_vessel_m", [1]Calc!$C:$C, 0)) - $F168 + $B168)</f>
        <v>1.911250823188118</v>
      </c>
      <c r="K168" s="2" t="str">
        <f t="shared" si="8"/>
        <v>Even Keel</v>
      </c>
    </row>
    <row r="169" spans="1:11" x14ac:dyDescent="0.6">
      <c r="A169" s="2" t="str">
        <f>IF('December_Tide_2025 (2)'!A169="","",'December_Tide_2025 (2)'!A169)</f>
        <v>2025-12-07 23:00:00</v>
      </c>
      <c r="B169" s="3">
        <f>IF('December_Tide_2025 (2)'!B169="","",'December_Tide_2025 (2)'!B169)</f>
        <v>1.73</v>
      </c>
      <c r="C169" s="3">
        <f>IF($A169="","", INDEX([1]Calc!$E:$E, MATCH("KminusZ_m", [1]Calc!$C:$C, 0)) + $B169 - INDEX([1]Calc!$E:$E, MATCH("L_ramp_m", [1]Calc!$C:$C, 0)) * TAN(RADIANS(INDEX([1]Calc!$E:$E, MATCH("theta_max_deg", [1]Calc!$C:$C, 0)))))</f>
        <v>3.4687491768118828</v>
      </c>
      <c r="D169" s="3"/>
      <c r="E169" s="3">
        <f t="shared" si="6"/>
        <v>3.4687491768118828</v>
      </c>
      <c r="F169" s="3">
        <f t="shared" si="7"/>
        <v>3.4687491768118828</v>
      </c>
      <c r="G169" s="3">
        <f>IF($E169="","", DEGREES(ATAN((INDEX([1]Calc!$E:$E, MATCH("KminusZ_m", [1]Calc!$C:$C, 0)) - $E169 + $B169) / INDEX([1]Calc!$E:$E, MATCH("L_ramp_m", [1]Calc!$C:$C, 0)))))</f>
        <v>5.9999999999999982</v>
      </c>
      <c r="H169" s="2" t="str">
        <f>IF($E169="","", IF(AND($E169&gt;=INDEX([1]Calc!$E:$E, MATCH("min_fwd_draft_m", [1]Calc!$C:$C, 0)), $E169&lt;=INDEX([1]Calc!$E:$E, MATCH("max_fwd_draft_m", [1]Calc!$C:$C, 0)), $G169&lt;=INDEX([1]Calc!$E:$E, MATCH("theta_max_deg", [1]Calc!$C:$C, 0))), "OK", "CHECK"))</f>
        <v>OK</v>
      </c>
      <c r="I169" s="3">
        <f>IF($E169="","", INDEX([1]Calc!$E:$E, MATCH("D_vessel_m", [1]Calc!$C:$C, 0)) - $E169 + $B169)</f>
        <v>1.9112508231881171</v>
      </c>
      <c r="J169" s="3">
        <f>IF($F169="","", INDEX([1]Calc!$E:$E, MATCH("D_vessel_m", [1]Calc!$C:$C, 0)) - $F169 + $B169)</f>
        <v>1.9112508231881171</v>
      </c>
      <c r="K169" s="2" t="str">
        <f t="shared" si="8"/>
        <v>Even Keel</v>
      </c>
    </row>
    <row r="170" spans="1:11" x14ac:dyDescent="0.6">
      <c r="A170" s="2" t="str">
        <f>IF('December_Tide_2025 (2)'!A170="","",'December_Tide_2025 (2)'!A170)</f>
        <v>2025-12-08 00:00:00</v>
      </c>
      <c r="B170" s="3">
        <f>IF('December_Tide_2025 (2)'!B170="","",'December_Tide_2025 (2)'!B170)</f>
        <v>1.28</v>
      </c>
      <c r="C170" s="3">
        <f>IF($A170="","", INDEX([1]Calc!$E:$E, MATCH("KminusZ_m", [1]Calc!$C:$C, 0)) + $B170 - INDEX([1]Calc!$E:$E, MATCH("L_ramp_m", [1]Calc!$C:$C, 0)) * TAN(RADIANS(INDEX([1]Calc!$E:$E, MATCH("theta_max_deg", [1]Calc!$C:$C, 0)))))</f>
        <v>3.0187491768118826</v>
      </c>
      <c r="D170" s="3"/>
      <c r="E170" s="3">
        <f t="shared" si="6"/>
        <v>3.0187491768118826</v>
      </c>
      <c r="F170" s="3">
        <f t="shared" si="7"/>
        <v>3.0187491768118826</v>
      </c>
      <c r="G170" s="3">
        <f>IF($E170="","", DEGREES(ATAN((INDEX([1]Calc!$E:$E, MATCH("KminusZ_m", [1]Calc!$C:$C, 0)) - $E170 + $B170) / INDEX([1]Calc!$E:$E, MATCH("L_ramp_m", [1]Calc!$C:$C, 0)))))</f>
        <v>6</v>
      </c>
      <c r="H170" s="2" t="str">
        <f>IF($E170="","", IF(AND($E170&gt;=INDEX([1]Calc!$E:$E, MATCH("min_fwd_draft_m", [1]Calc!$C:$C, 0)), $E170&lt;=INDEX([1]Calc!$E:$E, MATCH("max_fwd_draft_m", [1]Calc!$C:$C, 0)), $G170&lt;=INDEX([1]Calc!$E:$E, MATCH("theta_max_deg", [1]Calc!$C:$C, 0))), "OK", "CHECK"))</f>
        <v>OK</v>
      </c>
      <c r="I170" s="3">
        <f>IF($E170="","", INDEX([1]Calc!$E:$E, MATCH("D_vessel_m", [1]Calc!$C:$C, 0)) - $E170 + $B170)</f>
        <v>1.9112508231881173</v>
      </c>
      <c r="J170" s="3">
        <f>IF($F170="","", INDEX([1]Calc!$E:$E, MATCH("D_vessel_m", [1]Calc!$C:$C, 0)) - $F170 + $B170)</f>
        <v>1.9112508231881173</v>
      </c>
      <c r="K170" s="2" t="str">
        <f t="shared" si="8"/>
        <v>Even Keel</v>
      </c>
    </row>
    <row r="171" spans="1:11" x14ac:dyDescent="0.6">
      <c r="A171" s="2" t="str">
        <f>IF('December_Tide_2025 (2)'!A171="","",'December_Tide_2025 (2)'!A171)</f>
        <v>2025-12-08 01:00:00</v>
      </c>
      <c r="B171" s="3">
        <f>IF('December_Tide_2025 (2)'!B171="","",'December_Tide_2025 (2)'!B171)</f>
        <v>0.97</v>
      </c>
      <c r="C171" s="3">
        <f>IF($A171="","", INDEX([1]Calc!$E:$E, MATCH("KminusZ_m", [1]Calc!$C:$C, 0)) + $B171 - INDEX([1]Calc!$E:$E, MATCH("L_ramp_m", [1]Calc!$C:$C, 0)) * TAN(RADIANS(INDEX([1]Calc!$E:$E, MATCH("theta_max_deg", [1]Calc!$C:$C, 0)))))</f>
        <v>2.7087491768118821</v>
      </c>
      <c r="D171" s="3"/>
      <c r="E171" s="3">
        <f t="shared" si="6"/>
        <v>2.7087491768118821</v>
      </c>
      <c r="F171" s="3">
        <f t="shared" si="7"/>
        <v>2.7087491768118821</v>
      </c>
      <c r="G171" s="3">
        <f>IF($E171="","", DEGREES(ATAN((INDEX([1]Calc!$E:$E, MATCH("KminusZ_m", [1]Calc!$C:$C, 0)) - $E171 + $B171) / INDEX([1]Calc!$E:$E, MATCH("L_ramp_m", [1]Calc!$C:$C, 0)))))</f>
        <v>6.0000000000000009</v>
      </c>
      <c r="H171" s="2" t="str">
        <f>IF($E171="","", IF(AND($E171&gt;=INDEX([1]Calc!$E:$E, MATCH("min_fwd_draft_m", [1]Calc!$C:$C, 0)), $E171&lt;=INDEX([1]Calc!$E:$E, MATCH("max_fwd_draft_m", [1]Calc!$C:$C, 0)), $G171&lt;=INDEX([1]Calc!$E:$E, MATCH("theta_max_deg", [1]Calc!$C:$C, 0))), "OK", "CHECK"))</f>
        <v>OK</v>
      </c>
      <c r="I171" s="3">
        <f>IF($E171="","", INDEX([1]Calc!$E:$E, MATCH("D_vessel_m", [1]Calc!$C:$C, 0)) - $E171 + $B171)</f>
        <v>1.9112508231881178</v>
      </c>
      <c r="J171" s="3">
        <f>IF($F171="","", INDEX([1]Calc!$E:$E, MATCH("D_vessel_m", [1]Calc!$C:$C, 0)) - $F171 + $B171)</f>
        <v>1.9112508231881178</v>
      </c>
      <c r="K171" s="2" t="str">
        <f t="shared" si="8"/>
        <v>Even Keel</v>
      </c>
    </row>
    <row r="172" spans="1:11" x14ac:dyDescent="0.6">
      <c r="A172" s="2" t="str">
        <f>IF('December_Tide_2025 (2)'!A172="","",'December_Tide_2025 (2)'!A172)</f>
        <v>2025-12-08 02:00:00</v>
      </c>
      <c r="B172" s="3">
        <f>IF('December_Tide_2025 (2)'!B172="","",'December_Tide_2025 (2)'!B172)</f>
        <v>0.86</v>
      </c>
      <c r="C172" s="3">
        <f>IF($A172="","", INDEX([1]Calc!$E:$E, MATCH("KminusZ_m", [1]Calc!$C:$C, 0)) + $B172 - INDEX([1]Calc!$E:$E, MATCH("L_ramp_m", [1]Calc!$C:$C, 0)) * TAN(RADIANS(INDEX([1]Calc!$E:$E, MATCH("theta_max_deg", [1]Calc!$C:$C, 0)))))</f>
        <v>2.5987491768118822</v>
      </c>
      <c r="D172" s="3"/>
      <c r="E172" s="3">
        <f t="shared" si="6"/>
        <v>2.5987491768118822</v>
      </c>
      <c r="F172" s="3">
        <f t="shared" si="7"/>
        <v>2.5987491768118822</v>
      </c>
      <c r="G172" s="3">
        <f>IF($E172="","", DEGREES(ATAN((INDEX([1]Calc!$E:$E, MATCH("KminusZ_m", [1]Calc!$C:$C, 0)) - $E172 + $B172) / INDEX([1]Calc!$E:$E, MATCH("L_ramp_m", [1]Calc!$C:$C, 0)))))</f>
        <v>6.0000000000000009</v>
      </c>
      <c r="H172" s="2" t="str">
        <f>IF($E172="","", IF(AND($E172&gt;=INDEX([1]Calc!$E:$E, MATCH("min_fwd_draft_m", [1]Calc!$C:$C, 0)), $E172&lt;=INDEX([1]Calc!$E:$E, MATCH("max_fwd_draft_m", [1]Calc!$C:$C, 0)), $G172&lt;=INDEX([1]Calc!$E:$E, MATCH("theta_max_deg", [1]Calc!$C:$C, 0))), "OK", "CHECK"))</f>
        <v>OK</v>
      </c>
      <c r="I172" s="3">
        <f>IF($E172="","", INDEX([1]Calc!$E:$E, MATCH("D_vessel_m", [1]Calc!$C:$C, 0)) - $E172 + $B172)</f>
        <v>1.9112508231881176</v>
      </c>
      <c r="J172" s="3">
        <f>IF($F172="","", INDEX([1]Calc!$E:$E, MATCH("D_vessel_m", [1]Calc!$C:$C, 0)) - $F172 + $B172)</f>
        <v>1.9112508231881176</v>
      </c>
      <c r="K172" s="2" t="str">
        <f t="shared" si="8"/>
        <v>Even Keel</v>
      </c>
    </row>
    <row r="173" spans="1:11" x14ac:dyDescent="0.6">
      <c r="A173" s="2" t="str">
        <f>IF('December_Tide_2025 (2)'!A173="","",'December_Tide_2025 (2)'!A173)</f>
        <v>2025-12-08 03:00:00</v>
      </c>
      <c r="B173" s="3">
        <f>IF('December_Tide_2025 (2)'!B173="","",'December_Tide_2025 (2)'!B173)</f>
        <v>0.99</v>
      </c>
      <c r="C173" s="3">
        <f>IF($A173="","", INDEX([1]Calc!$E:$E, MATCH("KminusZ_m", [1]Calc!$C:$C, 0)) + $B173 - INDEX([1]Calc!$E:$E, MATCH("L_ramp_m", [1]Calc!$C:$C, 0)) * TAN(RADIANS(INDEX([1]Calc!$E:$E, MATCH("theta_max_deg", [1]Calc!$C:$C, 0)))))</f>
        <v>2.7287491768118826</v>
      </c>
      <c r="D173" s="3"/>
      <c r="E173" s="3">
        <f t="shared" si="6"/>
        <v>2.7287491768118826</v>
      </c>
      <c r="F173" s="3">
        <f t="shared" si="7"/>
        <v>2.7287491768118826</v>
      </c>
      <c r="G173" s="3">
        <f>IF($E173="","", DEGREES(ATAN((INDEX([1]Calc!$E:$E, MATCH("KminusZ_m", [1]Calc!$C:$C, 0)) - $E173 + $B173) / INDEX([1]Calc!$E:$E, MATCH("L_ramp_m", [1]Calc!$C:$C, 0)))))</f>
        <v>6</v>
      </c>
      <c r="H173" s="2" t="str">
        <f>IF($E173="","", IF(AND($E173&gt;=INDEX([1]Calc!$E:$E, MATCH("min_fwd_draft_m", [1]Calc!$C:$C, 0)), $E173&lt;=INDEX([1]Calc!$E:$E, MATCH("max_fwd_draft_m", [1]Calc!$C:$C, 0)), $G173&lt;=INDEX([1]Calc!$E:$E, MATCH("theta_max_deg", [1]Calc!$C:$C, 0))), "OK", "CHECK"))</f>
        <v>OK</v>
      </c>
      <c r="I173" s="3">
        <f>IF($E173="","", INDEX([1]Calc!$E:$E, MATCH("D_vessel_m", [1]Calc!$C:$C, 0)) - $E173 + $B173)</f>
        <v>1.9112508231881173</v>
      </c>
      <c r="J173" s="3">
        <f>IF($F173="","", INDEX([1]Calc!$E:$E, MATCH("D_vessel_m", [1]Calc!$C:$C, 0)) - $F173 + $B173)</f>
        <v>1.9112508231881173</v>
      </c>
      <c r="K173" s="2" t="str">
        <f t="shared" si="8"/>
        <v>Even Keel</v>
      </c>
    </row>
    <row r="174" spans="1:11" x14ac:dyDescent="0.6">
      <c r="A174" s="2" t="str">
        <f>IF('December_Tide_2025 (2)'!A174="","",'December_Tide_2025 (2)'!A174)</f>
        <v>2025-12-08 04:00:00</v>
      </c>
      <c r="B174" s="3">
        <f>IF('December_Tide_2025 (2)'!B174="","",'December_Tide_2025 (2)'!B174)</f>
        <v>1.33</v>
      </c>
      <c r="C174" s="3">
        <f>IF($A174="","", INDEX([1]Calc!$E:$E, MATCH("KminusZ_m", [1]Calc!$C:$C, 0)) + $B174 - INDEX([1]Calc!$E:$E, MATCH("L_ramp_m", [1]Calc!$C:$C, 0)) * TAN(RADIANS(INDEX([1]Calc!$E:$E, MATCH("theta_max_deg", [1]Calc!$C:$C, 0)))))</f>
        <v>3.0687491768118824</v>
      </c>
      <c r="D174" s="3"/>
      <c r="E174" s="3">
        <f t="shared" si="6"/>
        <v>3.0687491768118824</v>
      </c>
      <c r="F174" s="3">
        <f t="shared" si="7"/>
        <v>3.0687491768118824</v>
      </c>
      <c r="G174" s="3">
        <f>IF($E174="","", DEGREES(ATAN((INDEX([1]Calc!$E:$E, MATCH("KminusZ_m", [1]Calc!$C:$C, 0)) - $E174 + $B174) / INDEX([1]Calc!$E:$E, MATCH("L_ramp_m", [1]Calc!$C:$C, 0)))))</f>
        <v>6.0000000000000009</v>
      </c>
      <c r="H174" s="2" t="str">
        <f>IF($E174="","", IF(AND($E174&gt;=INDEX([1]Calc!$E:$E, MATCH("min_fwd_draft_m", [1]Calc!$C:$C, 0)), $E174&lt;=INDEX([1]Calc!$E:$E, MATCH("max_fwd_draft_m", [1]Calc!$C:$C, 0)), $G174&lt;=INDEX([1]Calc!$E:$E, MATCH("theta_max_deg", [1]Calc!$C:$C, 0))), "OK", "CHECK"))</f>
        <v>OK</v>
      </c>
      <c r="I174" s="3">
        <f>IF($E174="","", INDEX([1]Calc!$E:$E, MATCH("D_vessel_m", [1]Calc!$C:$C, 0)) - $E174 + $B174)</f>
        <v>1.9112508231881176</v>
      </c>
      <c r="J174" s="3">
        <f>IF($F174="","", INDEX([1]Calc!$E:$E, MATCH("D_vessel_m", [1]Calc!$C:$C, 0)) - $F174 + $B174)</f>
        <v>1.9112508231881176</v>
      </c>
      <c r="K174" s="2" t="str">
        <f t="shared" si="8"/>
        <v>Even Keel</v>
      </c>
    </row>
    <row r="175" spans="1:11" x14ac:dyDescent="0.6">
      <c r="A175" s="2" t="str">
        <f>IF('December_Tide_2025 (2)'!A175="","",'December_Tide_2025 (2)'!A175)</f>
        <v>2025-12-08 05:00:00</v>
      </c>
      <c r="B175" s="3">
        <f>IF('December_Tide_2025 (2)'!B175="","",'December_Tide_2025 (2)'!B175)</f>
        <v>1.78</v>
      </c>
      <c r="C175" s="3">
        <f>IF($A175="","", INDEX([1]Calc!$E:$E, MATCH("KminusZ_m", [1]Calc!$C:$C, 0)) + $B175 - INDEX([1]Calc!$E:$E, MATCH("L_ramp_m", [1]Calc!$C:$C, 0)) * TAN(RADIANS(INDEX([1]Calc!$E:$E, MATCH("theta_max_deg", [1]Calc!$C:$C, 0)))))</f>
        <v>3.5187491768118826</v>
      </c>
      <c r="D175" s="3"/>
      <c r="E175" s="3">
        <f t="shared" si="6"/>
        <v>3.5187491768118826</v>
      </c>
      <c r="F175" s="3">
        <f t="shared" si="7"/>
        <v>3.5187491768118826</v>
      </c>
      <c r="G175" s="3">
        <f>IF($E175="","", DEGREES(ATAN((INDEX([1]Calc!$E:$E, MATCH("KminusZ_m", [1]Calc!$C:$C, 0)) - $E175 + $B175) / INDEX([1]Calc!$E:$E, MATCH("L_ramp_m", [1]Calc!$C:$C, 0)))))</f>
        <v>6</v>
      </c>
      <c r="H175" s="2" t="str">
        <f>IF($E175="","", IF(AND($E175&gt;=INDEX([1]Calc!$E:$E, MATCH("min_fwd_draft_m", [1]Calc!$C:$C, 0)), $E175&lt;=INDEX([1]Calc!$E:$E, MATCH("max_fwd_draft_m", [1]Calc!$C:$C, 0)), $G175&lt;=INDEX([1]Calc!$E:$E, MATCH("theta_max_deg", [1]Calc!$C:$C, 0))), "OK", "CHECK"))</f>
        <v>CHECK</v>
      </c>
      <c r="I175" s="3">
        <f>IF($E175="","", INDEX([1]Calc!$E:$E, MATCH("D_vessel_m", [1]Calc!$C:$C, 0)) - $E175 + $B175)</f>
        <v>1.9112508231881173</v>
      </c>
      <c r="J175" s="3">
        <f>IF($F175="","", INDEX([1]Calc!$E:$E, MATCH("D_vessel_m", [1]Calc!$C:$C, 0)) - $F175 + $B175)</f>
        <v>1.9112508231881173</v>
      </c>
      <c r="K175" s="2" t="str">
        <f t="shared" si="8"/>
        <v>Even Keel</v>
      </c>
    </row>
    <row r="176" spans="1:11" x14ac:dyDescent="0.6">
      <c r="A176" s="2" t="str">
        <f>IF('December_Tide_2025 (2)'!A176="","",'December_Tide_2025 (2)'!A176)</f>
        <v>2025-12-08 06:00:00</v>
      </c>
      <c r="B176" s="3">
        <f>IF('December_Tide_2025 (2)'!B176="","",'December_Tide_2025 (2)'!B176)</f>
        <v>2.2400000000000002</v>
      </c>
      <c r="C176" s="3">
        <f>IF($A176="","", INDEX([1]Calc!$E:$E, MATCH("KminusZ_m", [1]Calc!$C:$C, 0)) + $B176 - INDEX([1]Calc!$E:$E, MATCH("L_ramp_m", [1]Calc!$C:$C, 0)) * TAN(RADIANS(INDEX([1]Calc!$E:$E, MATCH("theta_max_deg", [1]Calc!$C:$C, 0)))))</f>
        <v>3.9787491768118826</v>
      </c>
      <c r="D176" s="3"/>
      <c r="E176" s="3">
        <f t="shared" si="6"/>
        <v>3.9787491768118826</v>
      </c>
      <c r="F176" s="3">
        <f t="shared" si="7"/>
        <v>3.9787491768118826</v>
      </c>
      <c r="G176" s="3">
        <f>IF($E176="","", DEGREES(ATAN((INDEX([1]Calc!$E:$E, MATCH("KminusZ_m", [1]Calc!$C:$C, 0)) - $E176 + $B176) / INDEX([1]Calc!$E:$E, MATCH("L_ramp_m", [1]Calc!$C:$C, 0)))))</f>
        <v>6.0000000000000009</v>
      </c>
      <c r="H176" s="2" t="str">
        <f>IF($E176="","", IF(AND($E176&gt;=INDEX([1]Calc!$E:$E, MATCH("min_fwd_draft_m", [1]Calc!$C:$C, 0)), $E176&lt;=INDEX([1]Calc!$E:$E, MATCH("max_fwd_draft_m", [1]Calc!$C:$C, 0)), $G176&lt;=INDEX([1]Calc!$E:$E, MATCH("theta_max_deg", [1]Calc!$C:$C, 0))), "OK", "CHECK"))</f>
        <v>CHECK</v>
      </c>
      <c r="I176" s="3">
        <f>IF($E176="","", INDEX([1]Calc!$E:$E, MATCH("D_vessel_m", [1]Calc!$C:$C, 0)) - $E176 + $B176)</f>
        <v>1.9112508231881176</v>
      </c>
      <c r="J176" s="3">
        <f>IF($F176="","", INDEX([1]Calc!$E:$E, MATCH("D_vessel_m", [1]Calc!$C:$C, 0)) - $F176 + $B176)</f>
        <v>1.9112508231881176</v>
      </c>
      <c r="K176" s="2" t="str">
        <f t="shared" si="8"/>
        <v>Even Keel</v>
      </c>
    </row>
    <row r="177" spans="1:11" x14ac:dyDescent="0.6">
      <c r="A177" s="2" t="str">
        <f>IF('December_Tide_2025 (2)'!A177="","",'December_Tide_2025 (2)'!A177)</f>
        <v>2025-12-08 07:00:00</v>
      </c>
      <c r="B177" s="3">
        <f>IF('December_Tide_2025 (2)'!B177="","",'December_Tide_2025 (2)'!B177)</f>
        <v>2.58</v>
      </c>
      <c r="C177" s="3">
        <f>IF($A177="","", INDEX([1]Calc!$E:$E, MATCH("KminusZ_m", [1]Calc!$C:$C, 0)) + $B177 - INDEX([1]Calc!$E:$E, MATCH("L_ramp_m", [1]Calc!$C:$C, 0)) * TAN(RADIANS(INDEX([1]Calc!$E:$E, MATCH("theta_max_deg", [1]Calc!$C:$C, 0)))))</f>
        <v>4.3187491768118829</v>
      </c>
      <c r="D177" s="3"/>
      <c r="E177" s="3">
        <f t="shared" si="6"/>
        <v>4.3187491768118829</v>
      </c>
      <c r="F177" s="3">
        <f t="shared" si="7"/>
        <v>4.3187491768118829</v>
      </c>
      <c r="G177" s="3">
        <f>IF($E177="","", DEGREES(ATAN((INDEX([1]Calc!$E:$E, MATCH("KminusZ_m", [1]Calc!$C:$C, 0)) - $E177 + $B177) / INDEX([1]Calc!$E:$E, MATCH("L_ramp_m", [1]Calc!$C:$C, 0)))))</f>
        <v>5.9999999999999982</v>
      </c>
      <c r="H177" s="2" t="str">
        <f>IF($E177="","", IF(AND($E177&gt;=INDEX([1]Calc!$E:$E, MATCH("min_fwd_draft_m", [1]Calc!$C:$C, 0)), $E177&lt;=INDEX([1]Calc!$E:$E, MATCH("max_fwd_draft_m", [1]Calc!$C:$C, 0)), $G177&lt;=INDEX([1]Calc!$E:$E, MATCH("theta_max_deg", [1]Calc!$C:$C, 0))), "OK", "CHECK"))</f>
        <v>CHECK</v>
      </c>
      <c r="I177" s="3">
        <f>IF($E177="","", INDEX([1]Calc!$E:$E, MATCH("D_vessel_m", [1]Calc!$C:$C, 0)) - $E177 + $B177)</f>
        <v>1.9112508231881171</v>
      </c>
      <c r="J177" s="3">
        <f>IF($F177="","", INDEX([1]Calc!$E:$E, MATCH("D_vessel_m", [1]Calc!$C:$C, 0)) - $F177 + $B177)</f>
        <v>1.9112508231881171</v>
      </c>
      <c r="K177" s="2" t="str">
        <f t="shared" si="8"/>
        <v>Even Keel</v>
      </c>
    </row>
    <row r="178" spans="1:11" x14ac:dyDescent="0.6">
      <c r="A178" s="2" t="str">
        <f>IF('December_Tide_2025 (2)'!A178="","",'December_Tide_2025 (2)'!A178)</f>
        <v>2025-12-08 08:00:00</v>
      </c>
      <c r="B178" s="3">
        <f>IF('December_Tide_2025 (2)'!B178="","",'December_Tide_2025 (2)'!B178)</f>
        <v>2.73</v>
      </c>
      <c r="C178" s="3">
        <f>IF($A178="","", INDEX([1]Calc!$E:$E, MATCH("KminusZ_m", [1]Calc!$C:$C, 0)) + $B178 - INDEX([1]Calc!$E:$E, MATCH("L_ramp_m", [1]Calc!$C:$C, 0)) * TAN(RADIANS(INDEX([1]Calc!$E:$E, MATCH("theta_max_deg", [1]Calc!$C:$C, 0)))))</f>
        <v>4.4687491768118832</v>
      </c>
      <c r="D178" s="3"/>
      <c r="E178" s="3">
        <f t="shared" si="6"/>
        <v>4.4687491768118832</v>
      </c>
      <c r="F178" s="3">
        <f t="shared" si="7"/>
        <v>4.4687491768118832</v>
      </c>
      <c r="G178" s="3">
        <f>IF($E178="","", DEGREES(ATAN((INDEX([1]Calc!$E:$E, MATCH("KminusZ_m", [1]Calc!$C:$C, 0)) - $E178 + $B178) / INDEX([1]Calc!$E:$E, MATCH("L_ramp_m", [1]Calc!$C:$C, 0)))))</f>
        <v>5.9999999999999964</v>
      </c>
      <c r="H178" s="2" t="str">
        <f>IF($E178="","", IF(AND($E178&gt;=INDEX([1]Calc!$E:$E, MATCH("min_fwd_draft_m", [1]Calc!$C:$C, 0)), $E178&lt;=INDEX([1]Calc!$E:$E, MATCH("max_fwd_draft_m", [1]Calc!$C:$C, 0)), $G178&lt;=INDEX([1]Calc!$E:$E, MATCH("theta_max_deg", [1]Calc!$C:$C, 0))), "OK", "CHECK"))</f>
        <v>CHECK</v>
      </c>
      <c r="I178" s="3">
        <f>IF($E178="","", INDEX([1]Calc!$E:$E, MATCH("D_vessel_m", [1]Calc!$C:$C, 0)) - $E178 + $B178)</f>
        <v>1.9112508231881167</v>
      </c>
      <c r="J178" s="3">
        <f>IF($F178="","", INDEX([1]Calc!$E:$E, MATCH("D_vessel_m", [1]Calc!$C:$C, 0)) - $F178 + $B178)</f>
        <v>1.9112508231881167</v>
      </c>
      <c r="K178" s="2" t="str">
        <f t="shared" si="8"/>
        <v>Even Keel</v>
      </c>
    </row>
    <row r="179" spans="1:11" x14ac:dyDescent="0.6">
      <c r="A179" s="2" t="str">
        <f>IF('December_Tide_2025 (2)'!A179="","",'December_Tide_2025 (2)'!A179)</f>
        <v>2025-12-08 09:00:00</v>
      </c>
      <c r="B179" s="3">
        <f>IF('December_Tide_2025 (2)'!B179="","",'December_Tide_2025 (2)'!B179)</f>
        <v>2.65</v>
      </c>
      <c r="C179" s="3">
        <f>IF($A179="","", INDEX([1]Calc!$E:$E, MATCH("KminusZ_m", [1]Calc!$C:$C, 0)) + $B179 - INDEX([1]Calc!$E:$E, MATCH("L_ramp_m", [1]Calc!$C:$C, 0)) * TAN(RADIANS(INDEX([1]Calc!$E:$E, MATCH("theta_max_deg", [1]Calc!$C:$C, 0)))))</f>
        <v>4.3887491768118831</v>
      </c>
      <c r="D179" s="3"/>
      <c r="E179" s="3">
        <f t="shared" si="6"/>
        <v>4.3887491768118831</v>
      </c>
      <c r="F179" s="3">
        <f t="shared" si="7"/>
        <v>4.3887491768118831</v>
      </c>
      <c r="G179" s="3">
        <f>IF($E179="","", DEGREES(ATAN((INDEX([1]Calc!$E:$E, MATCH("KminusZ_m", [1]Calc!$C:$C, 0)) - $E179 + $B179) / INDEX([1]Calc!$E:$E, MATCH("L_ramp_m", [1]Calc!$C:$C, 0)))))</f>
        <v>5.9999999999999964</v>
      </c>
      <c r="H179" s="2" t="str">
        <f>IF($E179="","", IF(AND($E179&gt;=INDEX([1]Calc!$E:$E, MATCH("min_fwd_draft_m", [1]Calc!$C:$C, 0)), $E179&lt;=INDEX([1]Calc!$E:$E, MATCH("max_fwd_draft_m", [1]Calc!$C:$C, 0)), $G179&lt;=INDEX([1]Calc!$E:$E, MATCH("theta_max_deg", [1]Calc!$C:$C, 0))), "OK", "CHECK"))</f>
        <v>CHECK</v>
      </c>
      <c r="I179" s="3">
        <f>IF($E179="","", INDEX([1]Calc!$E:$E, MATCH("D_vessel_m", [1]Calc!$C:$C, 0)) - $E179 + $B179)</f>
        <v>1.9112508231881167</v>
      </c>
      <c r="J179" s="3">
        <f>IF($F179="","", INDEX([1]Calc!$E:$E, MATCH("D_vessel_m", [1]Calc!$C:$C, 0)) - $F179 + $B179)</f>
        <v>1.9112508231881167</v>
      </c>
      <c r="K179" s="2" t="str">
        <f t="shared" si="8"/>
        <v>Even Keel</v>
      </c>
    </row>
    <row r="180" spans="1:11" x14ac:dyDescent="0.6">
      <c r="A180" s="2" t="str">
        <f>IF('December_Tide_2025 (2)'!A180="","",'December_Tide_2025 (2)'!A180)</f>
        <v>2025-12-08 10:00:00</v>
      </c>
      <c r="B180" s="3">
        <f>IF('December_Tide_2025 (2)'!B180="","",'December_Tide_2025 (2)'!B180)</f>
        <v>2.35</v>
      </c>
      <c r="C180" s="3">
        <f>IF($A180="","", INDEX([1]Calc!$E:$E, MATCH("KminusZ_m", [1]Calc!$C:$C, 0)) + $B180 - INDEX([1]Calc!$E:$E, MATCH("L_ramp_m", [1]Calc!$C:$C, 0)) * TAN(RADIANS(INDEX([1]Calc!$E:$E, MATCH("theta_max_deg", [1]Calc!$C:$C, 0)))))</f>
        <v>4.0887491768118824</v>
      </c>
      <c r="D180" s="3"/>
      <c r="E180" s="3">
        <f t="shared" si="6"/>
        <v>4.0887491768118824</v>
      </c>
      <c r="F180" s="3">
        <f t="shared" si="7"/>
        <v>4.0887491768118824</v>
      </c>
      <c r="G180" s="3">
        <f>IF($E180="","", DEGREES(ATAN((INDEX([1]Calc!$E:$E, MATCH("KminusZ_m", [1]Calc!$C:$C, 0)) - $E180 + $B180) / INDEX([1]Calc!$E:$E, MATCH("L_ramp_m", [1]Calc!$C:$C, 0)))))</f>
        <v>6.0000000000000009</v>
      </c>
      <c r="H180" s="2" t="str">
        <f>IF($E180="","", IF(AND($E180&gt;=INDEX([1]Calc!$E:$E, MATCH("min_fwd_draft_m", [1]Calc!$C:$C, 0)), $E180&lt;=INDEX([1]Calc!$E:$E, MATCH("max_fwd_draft_m", [1]Calc!$C:$C, 0)), $G180&lt;=INDEX([1]Calc!$E:$E, MATCH("theta_max_deg", [1]Calc!$C:$C, 0))), "OK", "CHECK"))</f>
        <v>CHECK</v>
      </c>
      <c r="I180" s="3">
        <f>IF($E180="","", INDEX([1]Calc!$E:$E, MATCH("D_vessel_m", [1]Calc!$C:$C, 0)) - $E180 + $B180)</f>
        <v>1.9112508231881176</v>
      </c>
      <c r="J180" s="3">
        <f>IF($F180="","", INDEX([1]Calc!$E:$E, MATCH("D_vessel_m", [1]Calc!$C:$C, 0)) - $F180 + $B180)</f>
        <v>1.9112508231881176</v>
      </c>
      <c r="K180" s="2" t="str">
        <f t="shared" si="8"/>
        <v>Even Keel</v>
      </c>
    </row>
    <row r="181" spans="1:11" x14ac:dyDescent="0.6">
      <c r="A181" s="2" t="str">
        <f>IF('December_Tide_2025 (2)'!A181="","",'December_Tide_2025 (2)'!A181)</f>
        <v>2025-12-08 11:00:00</v>
      </c>
      <c r="B181" s="3">
        <f>IF('December_Tide_2025 (2)'!B181="","",'December_Tide_2025 (2)'!B181)</f>
        <v>1.92</v>
      </c>
      <c r="C181" s="3">
        <f>IF($A181="","", INDEX([1]Calc!$E:$E, MATCH("KminusZ_m", [1]Calc!$C:$C, 0)) + $B181 - INDEX([1]Calc!$E:$E, MATCH("L_ramp_m", [1]Calc!$C:$C, 0)) * TAN(RADIANS(INDEX([1]Calc!$E:$E, MATCH("theta_max_deg", [1]Calc!$C:$C, 0)))))</f>
        <v>3.6587491768118823</v>
      </c>
      <c r="D181" s="3"/>
      <c r="E181" s="3">
        <f t="shared" si="6"/>
        <v>3.6587491768118823</v>
      </c>
      <c r="F181" s="3">
        <f t="shared" si="7"/>
        <v>3.6587491768118823</v>
      </c>
      <c r="G181" s="3">
        <f>IF($E181="","", DEGREES(ATAN((INDEX([1]Calc!$E:$E, MATCH("KminusZ_m", [1]Calc!$C:$C, 0)) - $E181 + $B181) / INDEX([1]Calc!$E:$E, MATCH("L_ramp_m", [1]Calc!$C:$C, 0)))))</f>
        <v>6.0000000000000009</v>
      </c>
      <c r="H181" s="2" t="str">
        <f>IF($E181="","", IF(AND($E181&gt;=INDEX([1]Calc!$E:$E, MATCH("min_fwd_draft_m", [1]Calc!$C:$C, 0)), $E181&lt;=INDEX([1]Calc!$E:$E, MATCH("max_fwd_draft_m", [1]Calc!$C:$C, 0)), $G181&lt;=INDEX([1]Calc!$E:$E, MATCH("theta_max_deg", [1]Calc!$C:$C, 0))), "OK", "CHECK"))</f>
        <v>CHECK</v>
      </c>
      <c r="I181" s="3">
        <f>IF($E181="","", INDEX([1]Calc!$E:$E, MATCH("D_vessel_m", [1]Calc!$C:$C, 0)) - $E181 + $B181)</f>
        <v>1.9112508231881176</v>
      </c>
      <c r="J181" s="3">
        <f>IF($F181="","", INDEX([1]Calc!$E:$E, MATCH("D_vessel_m", [1]Calc!$C:$C, 0)) - $F181 + $B181)</f>
        <v>1.9112508231881176</v>
      </c>
      <c r="K181" s="2" t="str">
        <f t="shared" si="8"/>
        <v>Even Keel</v>
      </c>
    </row>
    <row r="182" spans="1:11" x14ac:dyDescent="0.6">
      <c r="A182" s="2" t="str">
        <f>IF('December_Tide_2025 (2)'!A182="","",'December_Tide_2025 (2)'!A182)</f>
        <v>2025-12-08 12:00:00</v>
      </c>
      <c r="B182" s="3">
        <f>IF('December_Tide_2025 (2)'!B182="","",'December_Tide_2025 (2)'!B182)</f>
        <v>1.45</v>
      </c>
      <c r="C182" s="3">
        <f>IF($A182="","", INDEX([1]Calc!$E:$E, MATCH("KminusZ_m", [1]Calc!$C:$C, 0)) + $B182 - INDEX([1]Calc!$E:$E, MATCH("L_ramp_m", [1]Calc!$C:$C, 0)) * TAN(RADIANS(INDEX([1]Calc!$E:$E, MATCH("theta_max_deg", [1]Calc!$C:$C, 0)))))</f>
        <v>3.1887491768118825</v>
      </c>
      <c r="D182" s="3"/>
      <c r="E182" s="3">
        <f t="shared" si="6"/>
        <v>3.1887491768118825</v>
      </c>
      <c r="F182" s="3">
        <f t="shared" si="7"/>
        <v>3.1887491768118825</v>
      </c>
      <c r="G182" s="3">
        <f>IF($E182="","", DEGREES(ATAN((INDEX([1]Calc!$E:$E, MATCH("KminusZ_m", [1]Calc!$C:$C, 0)) - $E182 + $B182) / INDEX([1]Calc!$E:$E, MATCH("L_ramp_m", [1]Calc!$C:$C, 0)))))</f>
        <v>6</v>
      </c>
      <c r="H182" s="2" t="str">
        <f>IF($E182="","", IF(AND($E182&gt;=INDEX([1]Calc!$E:$E, MATCH("min_fwd_draft_m", [1]Calc!$C:$C, 0)), $E182&lt;=INDEX([1]Calc!$E:$E, MATCH("max_fwd_draft_m", [1]Calc!$C:$C, 0)), $G182&lt;=INDEX([1]Calc!$E:$E, MATCH("theta_max_deg", [1]Calc!$C:$C, 0))), "OK", "CHECK"))</f>
        <v>OK</v>
      </c>
      <c r="I182" s="3">
        <f>IF($E182="","", INDEX([1]Calc!$E:$E, MATCH("D_vessel_m", [1]Calc!$C:$C, 0)) - $E182 + $B182)</f>
        <v>1.9112508231881173</v>
      </c>
      <c r="J182" s="3">
        <f>IF($F182="","", INDEX([1]Calc!$E:$E, MATCH("D_vessel_m", [1]Calc!$C:$C, 0)) - $F182 + $B182)</f>
        <v>1.9112508231881173</v>
      </c>
      <c r="K182" s="2" t="str">
        <f t="shared" si="8"/>
        <v>Even Keel</v>
      </c>
    </row>
    <row r="183" spans="1:11" x14ac:dyDescent="0.6">
      <c r="A183" s="2" t="str">
        <f>IF('December_Tide_2025 (2)'!A183="","",'December_Tide_2025 (2)'!A183)</f>
        <v>2025-12-08 13:00:00</v>
      </c>
      <c r="B183" s="3">
        <f>IF('December_Tide_2025 (2)'!B183="","",'December_Tide_2025 (2)'!B183)</f>
        <v>1.07</v>
      </c>
      <c r="C183" s="3">
        <f>IF($A183="","", INDEX([1]Calc!$E:$E, MATCH("KminusZ_m", [1]Calc!$C:$C, 0)) + $B183 - INDEX([1]Calc!$E:$E, MATCH("L_ramp_m", [1]Calc!$C:$C, 0)) * TAN(RADIANS(INDEX([1]Calc!$E:$E, MATCH("theta_max_deg", [1]Calc!$C:$C, 0)))))</f>
        <v>2.8087491768118826</v>
      </c>
      <c r="D183" s="3"/>
      <c r="E183" s="3">
        <f t="shared" si="6"/>
        <v>2.8087491768118826</v>
      </c>
      <c r="F183" s="3">
        <f t="shared" si="7"/>
        <v>2.8087491768118826</v>
      </c>
      <c r="G183" s="3">
        <f>IF($E183="","", DEGREES(ATAN((INDEX([1]Calc!$E:$E, MATCH("KminusZ_m", [1]Calc!$C:$C, 0)) - $E183 + $B183) / INDEX([1]Calc!$E:$E, MATCH("L_ramp_m", [1]Calc!$C:$C, 0)))))</f>
        <v>6</v>
      </c>
      <c r="H183" s="2" t="str">
        <f>IF($E183="","", IF(AND($E183&gt;=INDEX([1]Calc!$E:$E, MATCH("min_fwd_draft_m", [1]Calc!$C:$C, 0)), $E183&lt;=INDEX([1]Calc!$E:$E, MATCH("max_fwd_draft_m", [1]Calc!$C:$C, 0)), $G183&lt;=INDEX([1]Calc!$E:$E, MATCH("theta_max_deg", [1]Calc!$C:$C, 0))), "OK", "CHECK"))</f>
        <v>OK</v>
      </c>
      <c r="I183" s="3">
        <f>IF($E183="","", INDEX([1]Calc!$E:$E, MATCH("D_vessel_m", [1]Calc!$C:$C, 0)) - $E183 + $B183)</f>
        <v>1.9112508231881173</v>
      </c>
      <c r="J183" s="3">
        <f>IF($F183="","", INDEX([1]Calc!$E:$E, MATCH("D_vessel_m", [1]Calc!$C:$C, 0)) - $F183 + $B183)</f>
        <v>1.9112508231881173</v>
      </c>
      <c r="K183" s="2" t="str">
        <f t="shared" si="8"/>
        <v>Even Keel</v>
      </c>
    </row>
    <row r="184" spans="1:11" x14ac:dyDescent="0.6">
      <c r="A184" s="2" t="str">
        <f>IF('December_Tide_2025 (2)'!A184="","",'December_Tide_2025 (2)'!A184)</f>
        <v>2025-12-08 14:00:00</v>
      </c>
      <c r="B184" s="3">
        <f>IF('December_Tide_2025 (2)'!B184="","",'December_Tide_2025 (2)'!B184)</f>
        <v>0.88</v>
      </c>
      <c r="C184" s="3">
        <f>IF($A184="","", INDEX([1]Calc!$E:$E, MATCH("KminusZ_m", [1]Calc!$C:$C, 0)) + $B184 - INDEX([1]Calc!$E:$E, MATCH("L_ramp_m", [1]Calc!$C:$C, 0)) * TAN(RADIANS(INDEX([1]Calc!$E:$E, MATCH("theta_max_deg", [1]Calc!$C:$C, 0)))))</f>
        <v>2.6187491768118822</v>
      </c>
      <c r="D184" s="3"/>
      <c r="E184" s="3">
        <f t="shared" si="6"/>
        <v>2.6187491768118822</v>
      </c>
      <c r="F184" s="3">
        <f t="shared" si="7"/>
        <v>2.6187491768118822</v>
      </c>
      <c r="G184" s="3">
        <f>IF($E184="","", DEGREES(ATAN((INDEX([1]Calc!$E:$E, MATCH("KminusZ_m", [1]Calc!$C:$C, 0)) - $E184 + $B184) / INDEX([1]Calc!$E:$E, MATCH("L_ramp_m", [1]Calc!$C:$C, 0)))))</f>
        <v>6.0000000000000009</v>
      </c>
      <c r="H184" s="2" t="str">
        <f>IF($E184="","", IF(AND($E184&gt;=INDEX([1]Calc!$E:$E, MATCH("min_fwd_draft_m", [1]Calc!$C:$C, 0)), $E184&lt;=INDEX([1]Calc!$E:$E, MATCH("max_fwd_draft_m", [1]Calc!$C:$C, 0)), $G184&lt;=INDEX([1]Calc!$E:$E, MATCH("theta_max_deg", [1]Calc!$C:$C, 0))), "OK", "CHECK"))</f>
        <v>OK</v>
      </c>
      <c r="I184" s="3">
        <f>IF($E184="","", INDEX([1]Calc!$E:$E, MATCH("D_vessel_m", [1]Calc!$C:$C, 0)) - $E184 + $B184)</f>
        <v>1.9112508231881176</v>
      </c>
      <c r="J184" s="3">
        <f>IF($F184="","", INDEX([1]Calc!$E:$E, MATCH("D_vessel_m", [1]Calc!$C:$C, 0)) - $F184 + $B184)</f>
        <v>1.9112508231881176</v>
      </c>
      <c r="K184" s="2" t="str">
        <f t="shared" si="8"/>
        <v>Even Keel</v>
      </c>
    </row>
    <row r="185" spans="1:11" x14ac:dyDescent="0.6">
      <c r="A185" s="2" t="str">
        <f>IF('December_Tide_2025 (2)'!A185="","",'December_Tide_2025 (2)'!A185)</f>
        <v>2025-12-08 15:00:00</v>
      </c>
      <c r="B185" s="3">
        <f>IF('December_Tide_2025 (2)'!B185="","",'December_Tide_2025 (2)'!B185)</f>
        <v>0.91</v>
      </c>
      <c r="C185" s="3">
        <f>IF($A185="","", INDEX([1]Calc!$E:$E, MATCH("KminusZ_m", [1]Calc!$C:$C, 0)) + $B185 - INDEX([1]Calc!$E:$E, MATCH("L_ramp_m", [1]Calc!$C:$C, 0)) * TAN(RADIANS(INDEX([1]Calc!$E:$E, MATCH("theta_max_deg", [1]Calc!$C:$C, 0)))))</f>
        <v>2.6487491768118825</v>
      </c>
      <c r="D185" s="3"/>
      <c r="E185" s="3">
        <f t="shared" si="6"/>
        <v>2.6487491768118825</v>
      </c>
      <c r="F185" s="3">
        <f t="shared" si="7"/>
        <v>2.6487491768118825</v>
      </c>
      <c r="G185" s="3">
        <f>IF($E185="","", DEGREES(ATAN((INDEX([1]Calc!$E:$E, MATCH("KminusZ_m", [1]Calc!$C:$C, 0)) - $E185 + $B185) / INDEX([1]Calc!$E:$E, MATCH("L_ramp_m", [1]Calc!$C:$C, 0)))))</f>
        <v>6.0000000000000009</v>
      </c>
      <c r="H185" s="2" t="str">
        <f>IF($E185="","", IF(AND($E185&gt;=INDEX([1]Calc!$E:$E, MATCH("min_fwd_draft_m", [1]Calc!$C:$C, 0)), $E185&lt;=INDEX([1]Calc!$E:$E, MATCH("max_fwd_draft_m", [1]Calc!$C:$C, 0)), $G185&lt;=INDEX([1]Calc!$E:$E, MATCH("theta_max_deg", [1]Calc!$C:$C, 0))), "OK", "CHECK"))</f>
        <v>OK</v>
      </c>
      <c r="I185" s="3">
        <f>IF($E185="","", INDEX([1]Calc!$E:$E, MATCH("D_vessel_m", [1]Calc!$C:$C, 0)) - $E185 + $B185)</f>
        <v>1.9112508231881176</v>
      </c>
      <c r="J185" s="3">
        <f>IF($F185="","", INDEX([1]Calc!$E:$E, MATCH("D_vessel_m", [1]Calc!$C:$C, 0)) - $F185 + $B185)</f>
        <v>1.9112508231881176</v>
      </c>
      <c r="K185" s="2" t="str">
        <f t="shared" si="8"/>
        <v>Even Keel</v>
      </c>
    </row>
    <row r="186" spans="1:11" x14ac:dyDescent="0.6">
      <c r="A186" s="2" t="str">
        <f>IF('December_Tide_2025 (2)'!A186="","",'December_Tide_2025 (2)'!A186)</f>
        <v>2025-12-08 16:00:00</v>
      </c>
      <c r="B186" s="3">
        <f>IF('December_Tide_2025 (2)'!B186="","",'December_Tide_2025 (2)'!B186)</f>
        <v>1.17</v>
      </c>
      <c r="C186" s="3">
        <f>IF($A186="","", INDEX([1]Calc!$E:$E, MATCH("KminusZ_m", [1]Calc!$C:$C, 0)) + $B186 - INDEX([1]Calc!$E:$E, MATCH("L_ramp_m", [1]Calc!$C:$C, 0)) * TAN(RADIANS(INDEX([1]Calc!$E:$E, MATCH("theta_max_deg", [1]Calc!$C:$C, 0)))))</f>
        <v>2.9087491768118823</v>
      </c>
      <c r="D186" s="3"/>
      <c r="E186" s="3">
        <f t="shared" si="6"/>
        <v>2.9087491768118823</v>
      </c>
      <c r="F186" s="3">
        <f t="shared" si="7"/>
        <v>2.9087491768118823</v>
      </c>
      <c r="G186" s="3">
        <f>IF($E186="","", DEGREES(ATAN((INDEX([1]Calc!$E:$E, MATCH("KminusZ_m", [1]Calc!$C:$C, 0)) - $E186 + $B186) / INDEX([1]Calc!$E:$E, MATCH("L_ramp_m", [1]Calc!$C:$C, 0)))))</f>
        <v>6.0000000000000009</v>
      </c>
      <c r="H186" s="2" t="str">
        <f>IF($E186="","", IF(AND($E186&gt;=INDEX([1]Calc!$E:$E, MATCH("min_fwd_draft_m", [1]Calc!$C:$C, 0)), $E186&lt;=INDEX([1]Calc!$E:$E, MATCH("max_fwd_draft_m", [1]Calc!$C:$C, 0)), $G186&lt;=INDEX([1]Calc!$E:$E, MATCH("theta_max_deg", [1]Calc!$C:$C, 0))), "OK", "CHECK"))</f>
        <v>OK</v>
      </c>
      <c r="I186" s="3">
        <f>IF($E186="","", INDEX([1]Calc!$E:$E, MATCH("D_vessel_m", [1]Calc!$C:$C, 0)) - $E186 + $B186)</f>
        <v>1.9112508231881176</v>
      </c>
      <c r="J186" s="3">
        <f>IF($F186="","", INDEX([1]Calc!$E:$E, MATCH("D_vessel_m", [1]Calc!$C:$C, 0)) - $F186 + $B186)</f>
        <v>1.9112508231881176</v>
      </c>
      <c r="K186" s="2" t="str">
        <f t="shared" si="8"/>
        <v>Even Keel</v>
      </c>
    </row>
    <row r="187" spans="1:11" x14ac:dyDescent="0.6">
      <c r="A187" s="2" t="str">
        <f>IF('December_Tide_2025 (2)'!A187="","",'December_Tide_2025 (2)'!A187)</f>
        <v>2025-12-08 17:00:00</v>
      </c>
      <c r="B187" s="3">
        <f>IF('December_Tide_2025 (2)'!B187="","",'December_Tide_2025 (2)'!B187)</f>
        <v>1.59</v>
      </c>
      <c r="C187" s="3">
        <f>IF($A187="","", INDEX([1]Calc!$E:$E, MATCH("KminusZ_m", [1]Calc!$C:$C, 0)) + $B187 - INDEX([1]Calc!$E:$E, MATCH("L_ramp_m", [1]Calc!$C:$C, 0)) * TAN(RADIANS(INDEX([1]Calc!$E:$E, MATCH("theta_max_deg", [1]Calc!$C:$C, 0)))))</f>
        <v>3.3287491768118822</v>
      </c>
      <c r="D187" s="3"/>
      <c r="E187" s="3">
        <f t="shared" si="6"/>
        <v>3.3287491768118822</v>
      </c>
      <c r="F187" s="3">
        <f t="shared" si="7"/>
        <v>3.3287491768118822</v>
      </c>
      <c r="G187" s="3">
        <f>IF($E187="","", DEGREES(ATAN((INDEX([1]Calc!$E:$E, MATCH("KminusZ_m", [1]Calc!$C:$C, 0)) - $E187 + $B187) / INDEX([1]Calc!$E:$E, MATCH("L_ramp_m", [1]Calc!$C:$C, 0)))))</f>
        <v>6.0000000000000009</v>
      </c>
      <c r="H187" s="2" t="str">
        <f>IF($E187="","", IF(AND($E187&gt;=INDEX([1]Calc!$E:$E, MATCH("min_fwd_draft_m", [1]Calc!$C:$C, 0)), $E187&lt;=INDEX([1]Calc!$E:$E, MATCH("max_fwd_draft_m", [1]Calc!$C:$C, 0)), $G187&lt;=INDEX([1]Calc!$E:$E, MATCH("theta_max_deg", [1]Calc!$C:$C, 0))), "OK", "CHECK"))</f>
        <v>OK</v>
      </c>
      <c r="I187" s="3">
        <f>IF($E187="","", INDEX([1]Calc!$E:$E, MATCH("D_vessel_m", [1]Calc!$C:$C, 0)) - $E187 + $B187)</f>
        <v>1.9112508231881178</v>
      </c>
      <c r="J187" s="3">
        <f>IF($F187="","", INDEX([1]Calc!$E:$E, MATCH("D_vessel_m", [1]Calc!$C:$C, 0)) - $F187 + $B187)</f>
        <v>1.9112508231881178</v>
      </c>
      <c r="K187" s="2" t="str">
        <f t="shared" si="8"/>
        <v>Even Keel</v>
      </c>
    </row>
    <row r="188" spans="1:11" x14ac:dyDescent="0.6">
      <c r="A188" s="2" t="str">
        <f>IF('December_Tide_2025 (2)'!A188="","",'December_Tide_2025 (2)'!A188)</f>
        <v>2025-12-08 18:00:00</v>
      </c>
      <c r="B188" s="3">
        <f>IF('December_Tide_2025 (2)'!B188="","",'December_Tide_2025 (2)'!B188)</f>
        <v>2.06</v>
      </c>
      <c r="C188" s="3">
        <f>IF($A188="","", INDEX([1]Calc!$E:$E, MATCH("KminusZ_m", [1]Calc!$C:$C, 0)) + $B188 - INDEX([1]Calc!$E:$E, MATCH("L_ramp_m", [1]Calc!$C:$C, 0)) * TAN(RADIANS(INDEX([1]Calc!$E:$E, MATCH("theta_max_deg", [1]Calc!$C:$C, 0)))))</f>
        <v>3.7987491768118828</v>
      </c>
      <c r="D188" s="3"/>
      <c r="E188" s="3">
        <f t="shared" si="6"/>
        <v>3.7987491768118828</v>
      </c>
      <c r="F188" s="3">
        <f t="shared" si="7"/>
        <v>3.7987491768118828</v>
      </c>
      <c r="G188" s="3">
        <f>IF($E188="","", DEGREES(ATAN((INDEX([1]Calc!$E:$E, MATCH("KminusZ_m", [1]Calc!$C:$C, 0)) - $E188 + $B188) / INDEX([1]Calc!$E:$E, MATCH("L_ramp_m", [1]Calc!$C:$C, 0)))))</f>
        <v>5.9999999999999982</v>
      </c>
      <c r="H188" s="2" t="str">
        <f>IF($E188="","", IF(AND($E188&gt;=INDEX([1]Calc!$E:$E, MATCH("min_fwd_draft_m", [1]Calc!$C:$C, 0)), $E188&lt;=INDEX([1]Calc!$E:$E, MATCH("max_fwd_draft_m", [1]Calc!$C:$C, 0)), $G188&lt;=INDEX([1]Calc!$E:$E, MATCH("theta_max_deg", [1]Calc!$C:$C, 0))), "OK", "CHECK"))</f>
        <v>CHECK</v>
      </c>
      <c r="I188" s="3">
        <f>IF($E188="","", INDEX([1]Calc!$E:$E, MATCH("D_vessel_m", [1]Calc!$C:$C, 0)) - $E188 + $B188)</f>
        <v>1.9112508231881171</v>
      </c>
      <c r="J188" s="3">
        <f>IF($F188="","", INDEX([1]Calc!$E:$E, MATCH("D_vessel_m", [1]Calc!$C:$C, 0)) - $F188 + $B188)</f>
        <v>1.9112508231881171</v>
      </c>
      <c r="K188" s="2" t="str">
        <f t="shared" si="8"/>
        <v>Even Keel</v>
      </c>
    </row>
    <row r="189" spans="1:11" x14ac:dyDescent="0.6">
      <c r="A189" s="2" t="str">
        <f>IF('December_Tide_2025 (2)'!A189="","",'December_Tide_2025 (2)'!A189)</f>
        <v>2025-12-08 19:00:00</v>
      </c>
      <c r="B189" s="3">
        <f>IF('December_Tide_2025 (2)'!B189="","",'December_Tide_2025 (2)'!B189)</f>
        <v>2.46</v>
      </c>
      <c r="C189" s="3">
        <f>IF($A189="","", INDEX([1]Calc!$E:$E, MATCH("KminusZ_m", [1]Calc!$C:$C, 0)) + $B189 - INDEX([1]Calc!$E:$E, MATCH("L_ramp_m", [1]Calc!$C:$C, 0)) * TAN(RADIANS(INDEX([1]Calc!$E:$E, MATCH("theta_max_deg", [1]Calc!$C:$C, 0)))))</f>
        <v>4.1987491768118819</v>
      </c>
      <c r="D189" s="3"/>
      <c r="E189" s="3">
        <f t="shared" si="6"/>
        <v>4.1987491768118819</v>
      </c>
      <c r="F189" s="3">
        <f t="shared" si="7"/>
        <v>4.1987491768118819</v>
      </c>
      <c r="G189" s="3">
        <f>IF($E189="","", DEGREES(ATAN((INDEX([1]Calc!$E:$E, MATCH("KminusZ_m", [1]Calc!$C:$C, 0)) - $E189 + $B189) / INDEX([1]Calc!$E:$E, MATCH("L_ramp_m", [1]Calc!$C:$C, 0)))))</f>
        <v>6.0000000000000027</v>
      </c>
      <c r="H189" s="2" t="str">
        <f>IF($E189="","", IF(AND($E189&gt;=INDEX([1]Calc!$E:$E, MATCH("min_fwd_draft_m", [1]Calc!$C:$C, 0)), $E189&lt;=INDEX([1]Calc!$E:$E, MATCH("max_fwd_draft_m", [1]Calc!$C:$C, 0)), $G189&lt;=INDEX([1]Calc!$E:$E, MATCH("theta_max_deg", [1]Calc!$C:$C, 0))), "OK", "CHECK"))</f>
        <v>CHECK</v>
      </c>
      <c r="I189" s="3">
        <f>IF($E189="","", INDEX([1]Calc!$E:$E, MATCH("D_vessel_m", [1]Calc!$C:$C, 0)) - $E189 + $B189)</f>
        <v>1.911250823188118</v>
      </c>
      <c r="J189" s="3">
        <f>IF($F189="","", INDEX([1]Calc!$E:$E, MATCH("D_vessel_m", [1]Calc!$C:$C, 0)) - $F189 + $B189)</f>
        <v>1.911250823188118</v>
      </c>
      <c r="K189" s="2" t="str">
        <f t="shared" si="8"/>
        <v>Even Keel</v>
      </c>
    </row>
    <row r="190" spans="1:11" x14ac:dyDescent="0.6">
      <c r="A190" s="2" t="str">
        <f>IF('December_Tide_2025 (2)'!A190="","",'December_Tide_2025 (2)'!A190)</f>
        <v>2025-12-08 20:00:00</v>
      </c>
      <c r="B190" s="3">
        <f>IF('December_Tide_2025 (2)'!B190="","",'December_Tide_2025 (2)'!B190)</f>
        <v>2.7</v>
      </c>
      <c r="C190" s="3">
        <f>IF($A190="","", INDEX([1]Calc!$E:$E, MATCH("KminusZ_m", [1]Calc!$C:$C, 0)) + $B190 - INDEX([1]Calc!$E:$E, MATCH("L_ramp_m", [1]Calc!$C:$C, 0)) * TAN(RADIANS(INDEX([1]Calc!$E:$E, MATCH("theta_max_deg", [1]Calc!$C:$C, 0)))))</f>
        <v>4.4387491768118821</v>
      </c>
      <c r="D190" s="3"/>
      <c r="E190" s="3">
        <f t="shared" si="6"/>
        <v>4.4387491768118821</v>
      </c>
      <c r="F190" s="3">
        <f t="shared" si="7"/>
        <v>4.4387491768118821</v>
      </c>
      <c r="G190" s="3">
        <f>IF($E190="","", DEGREES(ATAN((INDEX([1]Calc!$E:$E, MATCH("KminusZ_m", [1]Calc!$C:$C, 0)) - $E190 + $B190) / INDEX([1]Calc!$E:$E, MATCH("L_ramp_m", [1]Calc!$C:$C, 0)))))</f>
        <v>6.0000000000000027</v>
      </c>
      <c r="H190" s="2" t="str">
        <f>IF($E190="","", IF(AND($E190&gt;=INDEX([1]Calc!$E:$E, MATCH("min_fwd_draft_m", [1]Calc!$C:$C, 0)), $E190&lt;=INDEX([1]Calc!$E:$E, MATCH("max_fwd_draft_m", [1]Calc!$C:$C, 0)), $G190&lt;=INDEX([1]Calc!$E:$E, MATCH("theta_max_deg", [1]Calc!$C:$C, 0))), "OK", "CHECK"))</f>
        <v>CHECK</v>
      </c>
      <c r="I190" s="3">
        <f>IF($E190="","", INDEX([1]Calc!$E:$E, MATCH("D_vessel_m", [1]Calc!$C:$C, 0)) - $E190 + $B190)</f>
        <v>1.911250823188118</v>
      </c>
      <c r="J190" s="3">
        <f>IF($F190="","", INDEX([1]Calc!$E:$E, MATCH("D_vessel_m", [1]Calc!$C:$C, 0)) - $F190 + $B190)</f>
        <v>1.911250823188118</v>
      </c>
      <c r="K190" s="2" t="str">
        <f t="shared" si="8"/>
        <v>Even Keel</v>
      </c>
    </row>
    <row r="191" spans="1:11" x14ac:dyDescent="0.6">
      <c r="A191" s="2" t="str">
        <f>IF('December_Tide_2025 (2)'!A191="","",'December_Tide_2025 (2)'!A191)</f>
        <v>2025-12-08 21:00:00</v>
      </c>
      <c r="B191" s="3">
        <f>IF('December_Tide_2025 (2)'!B191="","",'December_Tide_2025 (2)'!B191)</f>
        <v>2.71</v>
      </c>
      <c r="C191" s="3">
        <f>IF($A191="","", INDEX([1]Calc!$E:$E, MATCH("KminusZ_m", [1]Calc!$C:$C, 0)) + $B191 - INDEX([1]Calc!$E:$E, MATCH("L_ramp_m", [1]Calc!$C:$C, 0)) * TAN(RADIANS(INDEX([1]Calc!$E:$E, MATCH("theta_max_deg", [1]Calc!$C:$C, 0)))))</f>
        <v>4.4487491768118819</v>
      </c>
      <c r="D191" s="3"/>
      <c r="E191" s="3">
        <f t="shared" si="6"/>
        <v>4.4487491768118819</v>
      </c>
      <c r="F191" s="3">
        <f t="shared" si="7"/>
        <v>4.4487491768118819</v>
      </c>
      <c r="G191" s="3">
        <f>IF($E191="","", DEGREES(ATAN((INDEX([1]Calc!$E:$E, MATCH("KminusZ_m", [1]Calc!$C:$C, 0)) - $E191 + $B191) / INDEX([1]Calc!$E:$E, MATCH("L_ramp_m", [1]Calc!$C:$C, 0)))))</f>
        <v>6.0000000000000027</v>
      </c>
      <c r="H191" s="2" t="str">
        <f>IF($E191="","", IF(AND($E191&gt;=INDEX([1]Calc!$E:$E, MATCH("min_fwd_draft_m", [1]Calc!$C:$C, 0)), $E191&lt;=INDEX([1]Calc!$E:$E, MATCH("max_fwd_draft_m", [1]Calc!$C:$C, 0)), $G191&lt;=INDEX([1]Calc!$E:$E, MATCH("theta_max_deg", [1]Calc!$C:$C, 0))), "OK", "CHECK"))</f>
        <v>CHECK</v>
      </c>
      <c r="I191" s="3">
        <f>IF($E191="","", INDEX([1]Calc!$E:$E, MATCH("D_vessel_m", [1]Calc!$C:$C, 0)) - $E191 + $B191)</f>
        <v>1.911250823188118</v>
      </c>
      <c r="J191" s="3">
        <f>IF($F191="","", INDEX([1]Calc!$E:$E, MATCH("D_vessel_m", [1]Calc!$C:$C, 0)) - $F191 + $B191)</f>
        <v>1.911250823188118</v>
      </c>
      <c r="K191" s="2" t="str">
        <f t="shared" si="8"/>
        <v>Even Keel</v>
      </c>
    </row>
    <row r="192" spans="1:11" x14ac:dyDescent="0.6">
      <c r="A192" s="2" t="str">
        <f>IF('December_Tide_2025 (2)'!A192="","",'December_Tide_2025 (2)'!A192)</f>
        <v>2025-12-08 22:00:00</v>
      </c>
      <c r="B192" s="3">
        <f>IF('December_Tide_2025 (2)'!B192="","",'December_Tide_2025 (2)'!B192)</f>
        <v>2.4900000000000002</v>
      </c>
      <c r="C192" s="3">
        <f>IF($A192="","", INDEX([1]Calc!$E:$E, MATCH("KminusZ_m", [1]Calc!$C:$C, 0)) + $B192 - INDEX([1]Calc!$E:$E, MATCH("L_ramp_m", [1]Calc!$C:$C, 0)) * TAN(RADIANS(INDEX([1]Calc!$E:$E, MATCH("theta_max_deg", [1]Calc!$C:$C, 0)))))</f>
        <v>4.228749176811883</v>
      </c>
      <c r="D192" s="3"/>
      <c r="E192" s="3">
        <f t="shared" si="6"/>
        <v>4.228749176811883</v>
      </c>
      <c r="F192" s="3">
        <f t="shared" si="7"/>
        <v>4.228749176811883</v>
      </c>
      <c r="G192" s="3">
        <f>IF($E192="","", DEGREES(ATAN((INDEX([1]Calc!$E:$E, MATCH("KminusZ_m", [1]Calc!$C:$C, 0)) - $E192 + $B192) / INDEX([1]Calc!$E:$E, MATCH("L_ramp_m", [1]Calc!$C:$C, 0)))))</f>
        <v>5.9999999999999982</v>
      </c>
      <c r="H192" s="2" t="str">
        <f>IF($E192="","", IF(AND($E192&gt;=INDEX([1]Calc!$E:$E, MATCH("min_fwd_draft_m", [1]Calc!$C:$C, 0)), $E192&lt;=INDEX([1]Calc!$E:$E, MATCH("max_fwd_draft_m", [1]Calc!$C:$C, 0)), $G192&lt;=INDEX([1]Calc!$E:$E, MATCH("theta_max_deg", [1]Calc!$C:$C, 0))), "OK", "CHECK"))</f>
        <v>CHECK</v>
      </c>
      <c r="I192" s="3">
        <f>IF($E192="","", INDEX([1]Calc!$E:$E, MATCH("D_vessel_m", [1]Calc!$C:$C, 0)) - $E192 + $B192)</f>
        <v>1.9112508231881171</v>
      </c>
      <c r="J192" s="3">
        <f>IF($F192="","", INDEX([1]Calc!$E:$E, MATCH("D_vessel_m", [1]Calc!$C:$C, 0)) - $F192 + $B192)</f>
        <v>1.9112508231881171</v>
      </c>
      <c r="K192" s="2" t="str">
        <f t="shared" si="8"/>
        <v>Even Keel</v>
      </c>
    </row>
    <row r="193" spans="1:11" x14ac:dyDescent="0.6">
      <c r="A193" s="2" t="str">
        <f>IF('December_Tide_2025 (2)'!A193="","",'December_Tide_2025 (2)'!A193)</f>
        <v>2025-12-08 23:00:00</v>
      </c>
      <c r="B193" s="3">
        <f>IF('December_Tide_2025 (2)'!B193="","",'December_Tide_2025 (2)'!B193)</f>
        <v>2.1</v>
      </c>
      <c r="C193" s="3">
        <f>IF($A193="","", INDEX([1]Calc!$E:$E, MATCH("KminusZ_m", [1]Calc!$C:$C, 0)) + $B193 - INDEX([1]Calc!$E:$E, MATCH("L_ramp_m", [1]Calc!$C:$C, 0)) * TAN(RADIANS(INDEX([1]Calc!$E:$E, MATCH("theta_max_deg", [1]Calc!$C:$C, 0)))))</f>
        <v>3.838749176811882</v>
      </c>
      <c r="D193" s="3"/>
      <c r="E193" s="3">
        <f t="shared" si="6"/>
        <v>3.838749176811882</v>
      </c>
      <c r="F193" s="3">
        <f t="shared" si="7"/>
        <v>3.838749176811882</v>
      </c>
      <c r="G193" s="3">
        <f>IF($E193="","", DEGREES(ATAN((INDEX([1]Calc!$E:$E, MATCH("KminusZ_m", [1]Calc!$C:$C, 0)) - $E193 + $B193) / INDEX([1]Calc!$E:$E, MATCH("L_ramp_m", [1]Calc!$C:$C, 0)))))</f>
        <v>6.0000000000000027</v>
      </c>
      <c r="H193" s="2" t="str">
        <f>IF($E193="","", IF(AND($E193&gt;=INDEX([1]Calc!$E:$E, MATCH("min_fwd_draft_m", [1]Calc!$C:$C, 0)), $E193&lt;=INDEX([1]Calc!$E:$E, MATCH("max_fwd_draft_m", [1]Calc!$C:$C, 0)), $G193&lt;=INDEX([1]Calc!$E:$E, MATCH("theta_max_deg", [1]Calc!$C:$C, 0))), "OK", "CHECK"))</f>
        <v>CHECK</v>
      </c>
      <c r="I193" s="3">
        <f>IF($E193="","", INDEX([1]Calc!$E:$E, MATCH("D_vessel_m", [1]Calc!$C:$C, 0)) - $E193 + $B193)</f>
        <v>1.911250823188118</v>
      </c>
      <c r="J193" s="3">
        <f>IF($F193="","", INDEX([1]Calc!$E:$E, MATCH("D_vessel_m", [1]Calc!$C:$C, 0)) - $F193 + $B193)</f>
        <v>1.911250823188118</v>
      </c>
      <c r="K193" s="2" t="str">
        <f t="shared" si="8"/>
        <v>Even Keel</v>
      </c>
    </row>
    <row r="194" spans="1:11" x14ac:dyDescent="0.6">
      <c r="A194" s="2" t="str">
        <f>IF('December_Tide_2025 (2)'!A194="","",'December_Tide_2025 (2)'!A194)</f>
        <v>2025-12-09 00:00:00</v>
      </c>
      <c r="B194" s="3">
        <f>IF('December_Tide_2025 (2)'!B194="","",'December_Tide_2025 (2)'!B194)</f>
        <v>1.63</v>
      </c>
      <c r="C194" s="3">
        <f>IF($A194="","", INDEX([1]Calc!$E:$E, MATCH("KminusZ_m", [1]Calc!$C:$C, 0)) + $B194 - INDEX([1]Calc!$E:$E, MATCH("L_ramp_m", [1]Calc!$C:$C, 0)) * TAN(RADIANS(INDEX([1]Calc!$E:$E, MATCH("theta_max_deg", [1]Calc!$C:$C, 0)))))</f>
        <v>3.3687491768118822</v>
      </c>
      <c r="D194" s="3"/>
      <c r="E194" s="3">
        <f t="shared" ref="E194:E257" si="9">IF($C194="","", IF($D194="", $C194, $C194 - $D194/2))</f>
        <v>3.3687491768118822</v>
      </c>
      <c r="F194" s="3">
        <f t="shared" ref="F194:F257" si="10">IF($C194="","", IF($D194="", $C194, $C194 + $D194/2))</f>
        <v>3.3687491768118822</v>
      </c>
      <c r="G194" s="3">
        <f>IF($E194="","", DEGREES(ATAN((INDEX([1]Calc!$E:$E, MATCH("KminusZ_m", [1]Calc!$C:$C, 0)) - $E194 + $B194) / INDEX([1]Calc!$E:$E, MATCH("L_ramp_m", [1]Calc!$C:$C, 0)))))</f>
        <v>6.0000000000000009</v>
      </c>
      <c r="H194" s="2" t="str">
        <f>IF($E194="","", IF(AND($E194&gt;=INDEX([1]Calc!$E:$E, MATCH("min_fwd_draft_m", [1]Calc!$C:$C, 0)), $E194&lt;=INDEX([1]Calc!$E:$E, MATCH("max_fwd_draft_m", [1]Calc!$C:$C, 0)), $G194&lt;=INDEX([1]Calc!$E:$E, MATCH("theta_max_deg", [1]Calc!$C:$C, 0))), "OK", "CHECK"))</f>
        <v>OK</v>
      </c>
      <c r="I194" s="3">
        <f>IF($E194="","", INDEX([1]Calc!$E:$E, MATCH("D_vessel_m", [1]Calc!$C:$C, 0)) - $E194 + $B194)</f>
        <v>1.9112508231881176</v>
      </c>
      <c r="J194" s="3">
        <f>IF($F194="","", INDEX([1]Calc!$E:$E, MATCH("D_vessel_m", [1]Calc!$C:$C, 0)) - $F194 + $B194)</f>
        <v>1.9112508231881176</v>
      </c>
      <c r="K194" s="2" t="str">
        <f t="shared" ref="K194:K257" si="11">IF(D194=0, "Even Keel", "")</f>
        <v>Even Keel</v>
      </c>
    </row>
    <row r="195" spans="1:11" x14ac:dyDescent="0.6">
      <c r="A195" s="2" t="str">
        <f>IF('December_Tide_2025 (2)'!A195="","",'December_Tide_2025 (2)'!A195)</f>
        <v>2025-12-09 01:00:00</v>
      </c>
      <c r="B195" s="3">
        <f>IF('December_Tide_2025 (2)'!B195="","",'December_Tide_2025 (2)'!B195)</f>
        <v>1.21</v>
      </c>
      <c r="C195" s="3">
        <f>IF($A195="","", INDEX([1]Calc!$E:$E, MATCH("KminusZ_m", [1]Calc!$C:$C, 0)) + $B195 - INDEX([1]Calc!$E:$E, MATCH("L_ramp_m", [1]Calc!$C:$C, 0)) * TAN(RADIANS(INDEX([1]Calc!$E:$E, MATCH("theta_max_deg", [1]Calc!$C:$C, 0)))))</f>
        <v>2.9487491768118823</v>
      </c>
      <c r="D195" s="3"/>
      <c r="E195" s="3">
        <f t="shared" si="9"/>
        <v>2.9487491768118823</v>
      </c>
      <c r="F195" s="3">
        <f t="shared" si="10"/>
        <v>2.9487491768118823</v>
      </c>
      <c r="G195" s="3">
        <f>IF($E195="","", DEGREES(ATAN((INDEX([1]Calc!$E:$E, MATCH("KminusZ_m", [1]Calc!$C:$C, 0)) - $E195 + $B195) / INDEX([1]Calc!$E:$E, MATCH("L_ramp_m", [1]Calc!$C:$C, 0)))))</f>
        <v>6.0000000000000009</v>
      </c>
      <c r="H195" s="2" t="str">
        <f>IF($E195="","", IF(AND($E195&gt;=INDEX([1]Calc!$E:$E, MATCH("min_fwd_draft_m", [1]Calc!$C:$C, 0)), $E195&lt;=INDEX([1]Calc!$E:$E, MATCH("max_fwd_draft_m", [1]Calc!$C:$C, 0)), $G195&lt;=INDEX([1]Calc!$E:$E, MATCH("theta_max_deg", [1]Calc!$C:$C, 0))), "OK", "CHECK"))</f>
        <v>OK</v>
      </c>
      <c r="I195" s="3">
        <f>IF($E195="","", INDEX([1]Calc!$E:$E, MATCH("D_vessel_m", [1]Calc!$C:$C, 0)) - $E195 + $B195)</f>
        <v>1.9112508231881176</v>
      </c>
      <c r="J195" s="3">
        <f>IF($F195="","", INDEX([1]Calc!$E:$E, MATCH("D_vessel_m", [1]Calc!$C:$C, 0)) - $F195 + $B195)</f>
        <v>1.9112508231881176</v>
      </c>
      <c r="K195" s="2" t="str">
        <f t="shared" si="11"/>
        <v>Even Keel</v>
      </c>
    </row>
    <row r="196" spans="1:11" x14ac:dyDescent="0.6">
      <c r="A196" s="2" t="str">
        <f>IF('December_Tide_2025 (2)'!A196="","",'December_Tide_2025 (2)'!A196)</f>
        <v>2025-12-09 02:00:00</v>
      </c>
      <c r="B196" s="3">
        <f>IF('December_Tide_2025 (2)'!B196="","",'December_Tide_2025 (2)'!B196)</f>
        <v>0.93</v>
      </c>
      <c r="C196" s="3">
        <f>IF($A196="","", INDEX([1]Calc!$E:$E, MATCH("KminusZ_m", [1]Calc!$C:$C, 0)) + $B196 - INDEX([1]Calc!$E:$E, MATCH("L_ramp_m", [1]Calc!$C:$C, 0)) * TAN(RADIANS(INDEX([1]Calc!$E:$E, MATCH("theta_max_deg", [1]Calc!$C:$C, 0)))))</f>
        <v>2.6687491768118825</v>
      </c>
      <c r="D196" s="3"/>
      <c r="E196" s="3">
        <f t="shared" si="9"/>
        <v>2.6687491768118825</v>
      </c>
      <c r="F196" s="3">
        <f t="shared" si="10"/>
        <v>2.6687491768118825</v>
      </c>
      <c r="G196" s="3">
        <f>IF($E196="","", DEGREES(ATAN((INDEX([1]Calc!$E:$E, MATCH("KminusZ_m", [1]Calc!$C:$C, 0)) - $E196 + $B196) / INDEX([1]Calc!$E:$E, MATCH("L_ramp_m", [1]Calc!$C:$C, 0)))))</f>
        <v>6.0000000000000009</v>
      </c>
      <c r="H196" s="2" t="str">
        <f>IF($E196="","", IF(AND($E196&gt;=INDEX([1]Calc!$E:$E, MATCH("min_fwd_draft_m", [1]Calc!$C:$C, 0)), $E196&lt;=INDEX([1]Calc!$E:$E, MATCH("max_fwd_draft_m", [1]Calc!$C:$C, 0)), $G196&lt;=INDEX([1]Calc!$E:$E, MATCH("theta_max_deg", [1]Calc!$C:$C, 0))), "OK", "CHECK"))</f>
        <v>OK</v>
      </c>
      <c r="I196" s="3">
        <f>IF($E196="","", INDEX([1]Calc!$E:$E, MATCH("D_vessel_m", [1]Calc!$C:$C, 0)) - $E196 + $B196)</f>
        <v>1.9112508231881176</v>
      </c>
      <c r="J196" s="3">
        <f>IF($F196="","", INDEX([1]Calc!$E:$E, MATCH("D_vessel_m", [1]Calc!$C:$C, 0)) - $F196 + $B196)</f>
        <v>1.9112508231881176</v>
      </c>
      <c r="K196" s="2" t="str">
        <f t="shared" si="11"/>
        <v>Even Keel</v>
      </c>
    </row>
    <row r="197" spans="1:11" x14ac:dyDescent="0.6">
      <c r="A197" s="2" t="str">
        <f>IF('December_Tide_2025 (2)'!A197="","",'December_Tide_2025 (2)'!A197)</f>
        <v>2025-12-09 03:00:00</v>
      </c>
      <c r="B197" s="3">
        <f>IF('December_Tide_2025 (2)'!B197="","",'December_Tide_2025 (2)'!B197)</f>
        <v>0.87</v>
      </c>
      <c r="C197" s="3">
        <f>IF($A197="","", INDEX([1]Calc!$E:$E, MATCH("KminusZ_m", [1]Calc!$C:$C, 0)) + $B197 - INDEX([1]Calc!$E:$E, MATCH("L_ramp_m", [1]Calc!$C:$C, 0)) * TAN(RADIANS(INDEX([1]Calc!$E:$E, MATCH("theta_max_deg", [1]Calc!$C:$C, 0)))))</f>
        <v>2.6087491768118825</v>
      </c>
      <c r="D197" s="3"/>
      <c r="E197" s="3">
        <f t="shared" si="9"/>
        <v>2.6087491768118825</v>
      </c>
      <c r="F197" s="3">
        <f t="shared" si="10"/>
        <v>2.6087491768118825</v>
      </c>
      <c r="G197" s="3">
        <f>IF($E197="","", DEGREES(ATAN((INDEX([1]Calc!$E:$E, MATCH("KminusZ_m", [1]Calc!$C:$C, 0)) - $E197 + $B197) / INDEX([1]Calc!$E:$E, MATCH("L_ramp_m", [1]Calc!$C:$C, 0)))))</f>
        <v>6.0000000000000009</v>
      </c>
      <c r="H197" s="2" t="str">
        <f>IF($E197="","", IF(AND($E197&gt;=INDEX([1]Calc!$E:$E, MATCH("min_fwd_draft_m", [1]Calc!$C:$C, 0)), $E197&lt;=INDEX([1]Calc!$E:$E, MATCH("max_fwd_draft_m", [1]Calc!$C:$C, 0)), $G197&lt;=INDEX([1]Calc!$E:$E, MATCH("theta_max_deg", [1]Calc!$C:$C, 0))), "OK", "CHECK"))</f>
        <v>OK</v>
      </c>
      <c r="I197" s="3">
        <f>IF($E197="","", INDEX([1]Calc!$E:$E, MATCH("D_vessel_m", [1]Calc!$C:$C, 0)) - $E197 + $B197)</f>
        <v>1.9112508231881176</v>
      </c>
      <c r="J197" s="3">
        <f>IF($F197="","", INDEX([1]Calc!$E:$E, MATCH("D_vessel_m", [1]Calc!$C:$C, 0)) - $F197 + $B197)</f>
        <v>1.9112508231881176</v>
      </c>
      <c r="K197" s="2" t="str">
        <f t="shared" si="11"/>
        <v>Even Keel</v>
      </c>
    </row>
    <row r="198" spans="1:11" x14ac:dyDescent="0.6">
      <c r="A198" s="2" t="str">
        <f>IF('December_Tide_2025 (2)'!A198="","",'December_Tide_2025 (2)'!A198)</f>
        <v>2025-12-09 04:00:00</v>
      </c>
      <c r="B198" s="3">
        <f>IF('December_Tide_2025 (2)'!B198="","",'December_Tide_2025 (2)'!B198)</f>
        <v>1.05</v>
      </c>
      <c r="C198" s="3">
        <f>IF($A198="","", INDEX([1]Calc!$E:$E, MATCH("KminusZ_m", [1]Calc!$C:$C, 0)) + $B198 - INDEX([1]Calc!$E:$E, MATCH("L_ramp_m", [1]Calc!$C:$C, 0)) * TAN(RADIANS(INDEX([1]Calc!$E:$E, MATCH("theta_max_deg", [1]Calc!$C:$C, 0)))))</f>
        <v>2.7887491768118822</v>
      </c>
      <c r="D198" s="3"/>
      <c r="E198" s="3">
        <f t="shared" si="9"/>
        <v>2.7887491768118822</v>
      </c>
      <c r="F198" s="3">
        <f t="shared" si="10"/>
        <v>2.7887491768118822</v>
      </c>
      <c r="G198" s="3">
        <f>IF($E198="","", DEGREES(ATAN((INDEX([1]Calc!$E:$E, MATCH("KminusZ_m", [1]Calc!$C:$C, 0)) - $E198 + $B198) / INDEX([1]Calc!$E:$E, MATCH("L_ramp_m", [1]Calc!$C:$C, 0)))))</f>
        <v>6.0000000000000009</v>
      </c>
      <c r="H198" s="2" t="str">
        <f>IF($E198="","", IF(AND($E198&gt;=INDEX([1]Calc!$E:$E, MATCH("min_fwd_draft_m", [1]Calc!$C:$C, 0)), $E198&lt;=INDEX([1]Calc!$E:$E, MATCH("max_fwd_draft_m", [1]Calc!$C:$C, 0)), $G198&lt;=INDEX([1]Calc!$E:$E, MATCH("theta_max_deg", [1]Calc!$C:$C, 0))), "OK", "CHECK"))</f>
        <v>OK</v>
      </c>
      <c r="I198" s="3">
        <f>IF($E198="","", INDEX([1]Calc!$E:$E, MATCH("D_vessel_m", [1]Calc!$C:$C, 0)) - $E198 + $B198)</f>
        <v>1.9112508231881178</v>
      </c>
      <c r="J198" s="3">
        <f>IF($F198="","", INDEX([1]Calc!$E:$E, MATCH("D_vessel_m", [1]Calc!$C:$C, 0)) - $F198 + $B198)</f>
        <v>1.9112508231881178</v>
      </c>
      <c r="K198" s="2" t="str">
        <f t="shared" si="11"/>
        <v>Even Keel</v>
      </c>
    </row>
    <row r="199" spans="1:11" x14ac:dyDescent="0.6">
      <c r="A199" s="2" t="str">
        <f>IF('December_Tide_2025 (2)'!A199="","",'December_Tide_2025 (2)'!A199)</f>
        <v>2025-12-09 05:00:00</v>
      </c>
      <c r="B199" s="3">
        <f>IF('December_Tide_2025 (2)'!B199="","",'December_Tide_2025 (2)'!B199)</f>
        <v>1.41</v>
      </c>
      <c r="C199" s="3">
        <f>IF($A199="","", INDEX([1]Calc!$E:$E, MATCH("KminusZ_m", [1]Calc!$C:$C, 0)) + $B199 - INDEX([1]Calc!$E:$E, MATCH("L_ramp_m", [1]Calc!$C:$C, 0)) * TAN(RADIANS(INDEX([1]Calc!$E:$E, MATCH("theta_max_deg", [1]Calc!$C:$C, 0)))))</f>
        <v>3.1487491768118825</v>
      </c>
      <c r="D199" s="3"/>
      <c r="E199" s="3">
        <f t="shared" si="9"/>
        <v>3.1487491768118825</v>
      </c>
      <c r="F199" s="3">
        <f t="shared" si="10"/>
        <v>3.1487491768118825</v>
      </c>
      <c r="G199" s="3">
        <f>IF($E199="","", DEGREES(ATAN((INDEX([1]Calc!$E:$E, MATCH("KminusZ_m", [1]Calc!$C:$C, 0)) - $E199 + $B199) / INDEX([1]Calc!$E:$E, MATCH("L_ramp_m", [1]Calc!$C:$C, 0)))))</f>
        <v>6</v>
      </c>
      <c r="H199" s="2" t="str">
        <f>IF($E199="","", IF(AND($E199&gt;=INDEX([1]Calc!$E:$E, MATCH("min_fwd_draft_m", [1]Calc!$C:$C, 0)), $E199&lt;=INDEX([1]Calc!$E:$E, MATCH("max_fwd_draft_m", [1]Calc!$C:$C, 0)), $G199&lt;=INDEX([1]Calc!$E:$E, MATCH("theta_max_deg", [1]Calc!$C:$C, 0))), "OK", "CHECK"))</f>
        <v>OK</v>
      </c>
      <c r="I199" s="3">
        <f>IF($E199="","", INDEX([1]Calc!$E:$E, MATCH("D_vessel_m", [1]Calc!$C:$C, 0)) - $E199 + $B199)</f>
        <v>1.9112508231881173</v>
      </c>
      <c r="J199" s="3">
        <f>IF($F199="","", INDEX([1]Calc!$E:$E, MATCH("D_vessel_m", [1]Calc!$C:$C, 0)) - $F199 + $B199)</f>
        <v>1.9112508231881173</v>
      </c>
      <c r="K199" s="2" t="str">
        <f t="shared" si="11"/>
        <v>Even Keel</v>
      </c>
    </row>
    <row r="200" spans="1:11" x14ac:dyDescent="0.6">
      <c r="A200" s="2" t="str">
        <f>IF('December_Tide_2025 (2)'!A200="","",'December_Tide_2025 (2)'!A200)</f>
        <v>2025-12-09 06:00:00</v>
      </c>
      <c r="B200" s="3">
        <f>IF('December_Tide_2025 (2)'!B200="","",'December_Tide_2025 (2)'!B200)</f>
        <v>1.87</v>
      </c>
      <c r="C200" s="3">
        <f>IF($A200="","", INDEX([1]Calc!$E:$E, MATCH("KminusZ_m", [1]Calc!$C:$C, 0)) + $B200 - INDEX([1]Calc!$E:$E, MATCH("L_ramp_m", [1]Calc!$C:$C, 0)) * TAN(RADIANS(INDEX([1]Calc!$E:$E, MATCH("theta_max_deg", [1]Calc!$C:$C, 0)))))</f>
        <v>3.6087491768118825</v>
      </c>
      <c r="D200" s="3"/>
      <c r="E200" s="3">
        <f t="shared" si="9"/>
        <v>3.6087491768118825</v>
      </c>
      <c r="F200" s="3">
        <f t="shared" si="10"/>
        <v>3.6087491768118825</v>
      </c>
      <c r="G200" s="3">
        <f>IF($E200="","", DEGREES(ATAN((INDEX([1]Calc!$E:$E, MATCH("KminusZ_m", [1]Calc!$C:$C, 0)) - $E200 + $B200) / INDEX([1]Calc!$E:$E, MATCH("L_ramp_m", [1]Calc!$C:$C, 0)))))</f>
        <v>6.0000000000000009</v>
      </c>
      <c r="H200" s="2" t="str">
        <f>IF($E200="","", IF(AND($E200&gt;=INDEX([1]Calc!$E:$E, MATCH("min_fwd_draft_m", [1]Calc!$C:$C, 0)), $E200&lt;=INDEX([1]Calc!$E:$E, MATCH("max_fwd_draft_m", [1]Calc!$C:$C, 0)), $G200&lt;=INDEX([1]Calc!$E:$E, MATCH("theta_max_deg", [1]Calc!$C:$C, 0))), "OK", "CHECK"))</f>
        <v>CHECK</v>
      </c>
      <c r="I200" s="3">
        <f>IF($E200="","", INDEX([1]Calc!$E:$E, MATCH("D_vessel_m", [1]Calc!$C:$C, 0)) - $E200 + $B200)</f>
        <v>1.9112508231881176</v>
      </c>
      <c r="J200" s="3">
        <f>IF($F200="","", INDEX([1]Calc!$E:$E, MATCH("D_vessel_m", [1]Calc!$C:$C, 0)) - $F200 + $B200)</f>
        <v>1.9112508231881176</v>
      </c>
      <c r="K200" s="2" t="str">
        <f t="shared" si="11"/>
        <v>Even Keel</v>
      </c>
    </row>
    <row r="201" spans="1:11" x14ac:dyDescent="0.6">
      <c r="A201" s="2" t="str">
        <f>IF('December_Tide_2025 (2)'!A201="","",'December_Tide_2025 (2)'!A201)</f>
        <v>2025-12-09 07:00:00</v>
      </c>
      <c r="B201" s="3">
        <f>IF('December_Tide_2025 (2)'!B201="","",'December_Tide_2025 (2)'!B201)</f>
        <v>2.3199999999999998</v>
      </c>
      <c r="C201" s="3">
        <f>IF($A201="","", INDEX([1]Calc!$E:$E, MATCH("KminusZ_m", [1]Calc!$C:$C, 0)) + $B201 - INDEX([1]Calc!$E:$E, MATCH("L_ramp_m", [1]Calc!$C:$C, 0)) * TAN(RADIANS(INDEX([1]Calc!$E:$E, MATCH("theta_max_deg", [1]Calc!$C:$C, 0)))))</f>
        <v>4.0587491768118831</v>
      </c>
      <c r="D201" s="3"/>
      <c r="E201" s="3">
        <f t="shared" si="9"/>
        <v>4.0587491768118831</v>
      </c>
      <c r="F201" s="3">
        <f t="shared" si="10"/>
        <v>4.0587491768118831</v>
      </c>
      <c r="G201" s="3">
        <f>IF($E201="","", DEGREES(ATAN((INDEX([1]Calc!$E:$E, MATCH("KminusZ_m", [1]Calc!$C:$C, 0)) - $E201 + $B201) / INDEX([1]Calc!$E:$E, MATCH("L_ramp_m", [1]Calc!$C:$C, 0)))))</f>
        <v>5.9999999999999964</v>
      </c>
      <c r="H201" s="2" t="str">
        <f>IF($E201="","", IF(AND($E201&gt;=INDEX([1]Calc!$E:$E, MATCH("min_fwd_draft_m", [1]Calc!$C:$C, 0)), $E201&lt;=INDEX([1]Calc!$E:$E, MATCH("max_fwd_draft_m", [1]Calc!$C:$C, 0)), $G201&lt;=INDEX([1]Calc!$E:$E, MATCH("theta_max_deg", [1]Calc!$C:$C, 0))), "OK", "CHECK"))</f>
        <v>CHECK</v>
      </c>
      <c r="I201" s="3">
        <f>IF($E201="","", INDEX([1]Calc!$E:$E, MATCH("D_vessel_m", [1]Calc!$C:$C, 0)) - $E201 + $B201)</f>
        <v>1.9112508231881167</v>
      </c>
      <c r="J201" s="3">
        <f>IF($F201="","", INDEX([1]Calc!$E:$E, MATCH("D_vessel_m", [1]Calc!$C:$C, 0)) - $F201 + $B201)</f>
        <v>1.9112508231881167</v>
      </c>
      <c r="K201" s="2" t="str">
        <f t="shared" si="11"/>
        <v>Even Keel</v>
      </c>
    </row>
    <row r="202" spans="1:11" x14ac:dyDescent="0.6">
      <c r="A202" s="2" t="str">
        <f>IF('December_Tide_2025 (2)'!A202="","",'December_Tide_2025 (2)'!A202)</f>
        <v>2025-12-09 08:00:00</v>
      </c>
      <c r="B202" s="3">
        <f>IF('December_Tide_2025 (2)'!B202="","",'December_Tide_2025 (2)'!B202)</f>
        <v>2.63</v>
      </c>
      <c r="C202" s="3">
        <f>IF($A202="","", INDEX([1]Calc!$E:$E, MATCH("KminusZ_m", [1]Calc!$C:$C, 0)) + $B202 - INDEX([1]Calc!$E:$E, MATCH("L_ramp_m", [1]Calc!$C:$C, 0)) * TAN(RADIANS(INDEX([1]Calc!$E:$E, MATCH("theta_max_deg", [1]Calc!$C:$C, 0)))))</f>
        <v>4.3687491768118818</v>
      </c>
      <c r="D202" s="3"/>
      <c r="E202" s="3">
        <f t="shared" si="9"/>
        <v>4.3687491768118818</v>
      </c>
      <c r="F202" s="3">
        <f t="shared" si="10"/>
        <v>4.3687491768118818</v>
      </c>
      <c r="G202" s="3">
        <f>IF($E202="","", DEGREES(ATAN((INDEX([1]Calc!$E:$E, MATCH("KminusZ_m", [1]Calc!$C:$C, 0)) - $E202 + $B202) / INDEX([1]Calc!$E:$E, MATCH("L_ramp_m", [1]Calc!$C:$C, 0)))))</f>
        <v>6.0000000000000027</v>
      </c>
      <c r="H202" s="2" t="str">
        <f>IF($E202="","", IF(AND($E202&gt;=INDEX([1]Calc!$E:$E, MATCH("min_fwd_draft_m", [1]Calc!$C:$C, 0)), $E202&lt;=INDEX([1]Calc!$E:$E, MATCH("max_fwd_draft_m", [1]Calc!$C:$C, 0)), $G202&lt;=INDEX([1]Calc!$E:$E, MATCH("theta_max_deg", [1]Calc!$C:$C, 0))), "OK", "CHECK"))</f>
        <v>CHECK</v>
      </c>
      <c r="I202" s="3">
        <f>IF($E202="","", INDEX([1]Calc!$E:$E, MATCH("D_vessel_m", [1]Calc!$C:$C, 0)) - $E202 + $B202)</f>
        <v>1.911250823188118</v>
      </c>
      <c r="J202" s="3">
        <f>IF($F202="","", INDEX([1]Calc!$E:$E, MATCH("D_vessel_m", [1]Calc!$C:$C, 0)) - $F202 + $B202)</f>
        <v>1.911250823188118</v>
      </c>
      <c r="K202" s="2" t="str">
        <f t="shared" si="11"/>
        <v>Even Keel</v>
      </c>
    </row>
    <row r="203" spans="1:11" x14ac:dyDescent="0.6">
      <c r="A203" s="2" t="str">
        <f>IF('December_Tide_2025 (2)'!A203="","",'December_Tide_2025 (2)'!A203)</f>
        <v>2025-12-09 09:00:00</v>
      </c>
      <c r="B203" s="3">
        <f>IF('December_Tide_2025 (2)'!B203="","",'December_Tide_2025 (2)'!B203)</f>
        <v>2.74</v>
      </c>
      <c r="C203" s="3">
        <f>IF($A203="","", INDEX([1]Calc!$E:$E, MATCH("KminusZ_m", [1]Calc!$C:$C, 0)) + $B203 - INDEX([1]Calc!$E:$E, MATCH("L_ramp_m", [1]Calc!$C:$C, 0)) * TAN(RADIANS(INDEX([1]Calc!$E:$E, MATCH("theta_max_deg", [1]Calc!$C:$C, 0)))))</f>
        <v>4.478749176811883</v>
      </c>
      <c r="D203" s="3"/>
      <c r="E203" s="3">
        <f t="shared" si="9"/>
        <v>4.478749176811883</v>
      </c>
      <c r="F203" s="3">
        <f t="shared" si="10"/>
        <v>4.478749176811883</v>
      </c>
      <c r="G203" s="3">
        <f>IF($E203="","", DEGREES(ATAN((INDEX([1]Calc!$E:$E, MATCH("KminusZ_m", [1]Calc!$C:$C, 0)) - $E203 + $B203) / INDEX([1]Calc!$E:$E, MATCH("L_ramp_m", [1]Calc!$C:$C, 0)))))</f>
        <v>5.9999999999999982</v>
      </c>
      <c r="H203" s="2" t="str">
        <f>IF($E203="","", IF(AND($E203&gt;=INDEX([1]Calc!$E:$E, MATCH("min_fwd_draft_m", [1]Calc!$C:$C, 0)), $E203&lt;=INDEX([1]Calc!$E:$E, MATCH("max_fwd_draft_m", [1]Calc!$C:$C, 0)), $G203&lt;=INDEX([1]Calc!$E:$E, MATCH("theta_max_deg", [1]Calc!$C:$C, 0))), "OK", "CHECK"))</f>
        <v>CHECK</v>
      </c>
      <c r="I203" s="3">
        <f>IF($E203="","", INDEX([1]Calc!$E:$E, MATCH("D_vessel_m", [1]Calc!$C:$C, 0)) - $E203 + $B203)</f>
        <v>1.9112508231881171</v>
      </c>
      <c r="J203" s="3">
        <f>IF($F203="","", INDEX([1]Calc!$E:$E, MATCH("D_vessel_m", [1]Calc!$C:$C, 0)) - $F203 + $B203)</f>
        <v>1.9112508231881171</v>
      </c>
      <c r="K203" s="2" t="str">
        <f t="shared" si="11"/>
        <v>Even Keel</v>
      </c>
    </row>
    <row r="204" spans="1:11" x14ac:dyDescent="0.6">
      <c r="A204" s="2" t="str">
        <f>IF('December_Tide_2025 (2)'!A204="","",'December_Tide_2025 (2)'!A204)</f>
        <v>2025-12-09 10:00:00</v>
      </c>
      <c r="B204" s="3">
        <f>IF('December_Tide_2025 (2)'!B204="","",'December_Tide_2025 (2)'!B204)</f>
        <v>2.61</v>
      </c>
      <c r="C204" s="3">
        <f>IF($A204="","", INDEX([1]Calc!$E:$E, MATCH("KminusZ_m", [1]Calc!$C:$C, 0)) + $B204 - INDEX([1]Calc!$E:$E, MATCH("L_ramp_m", [1]Calc!$C:$C, 0)) * TAN(RADIANS(INDEX([1]Calc!$E:$E, MATCH("theta_max_deg", [1]Calc!$C:$C, 0)))))</f>
        <v>4.3487491768118822</v>
      </c>
      <c r="D204" s="3"/>
      <c r="E204" s="3">
        <f t="shared" si="9"/>
        <v>4.3487491768118822</v>
      </c>
      <c r="F204" s="3">
        <f t="shared" si="10"/>
        <v>4.3487491768118822</v>
      </c>
      <c r="G204" s="3">
        <f>IF($E204="","", DEGREES(ATAN((INDEX([1]Calc!$E:$E, MATCH("KminusZ_m", [1]Calc!$C:$C, 0)) - $E204 + $B204) / INDEX([1]Calc!$E:$E, MATCH("L_ramp_m", [1]Calc!$C:$C, 0)))))</f>
        <v>6.0000000000000009</v>
      </c>
      <c r="H204" s="2" t="str">
        <f>IF($E204="","", IF(AND($E204&gt;=INDEX([1]Calc!$E:$E, MATCH("min_fwd_draft_m", [1]Calc!$C:$C, 0)), $E204&lt;=INDEX([1]Calc!$E:$E, MATCH("max_fwd_draft_m", [1]Calc!$C:$C, 0)), $G204&lt;=INDEX([1]Calc!$E:$E, MATCH("theta_max_deg", [1]Calc!$C:$C, 0))), "OK", "CHECK"))</f>
        <v>CHECK</v>
      </c>
      <c r="I204" s="3">
        <f>IF($E204="","", INDEX([1]Calc!$E:$E, MATCH("D_vessel_m", [1]Calc!$C:$C, 0)) - $E204 + $B204)</f>
        <v>1.9112508231881176</v>
      </c>
      <c r="J204" s="3">
        <f>IF($F204="","", INDEX([1]Calc!$E:$E, MATCH("D_vessel_m", [1]Calc!$C:$C, 0)) - $F204 + $B204)</f>
        <v>1.9112508231881176</v>
      </c>
      <c r="K204" s="2" t="str">
        <f t="shared" si="11"/>
        <v>Even Keel</v>
      </c>
    </row>
    <row r="205" spans="1:11" x14ac:dyDescent="0.6">
      <c r="A205" s="2" t="str">
        <f>IF('December_Tide_2025 (2)'!A205="","",'December_Tide_2025 (2)'!A205)</f>
        <v>2025-12-09 11:00:00</v>
      </c>
      <c r="B205" s="3">
        <f>IF('December_Tide_2025 (2)'!B205="","",'December_Tide_2025 (2)'!B205)</f>
        <v>2.27</v>
      </c>
      <c r="C205" s="3">
        <f>IF($A205="","", INDEX([1]Calc!$E:$E, MATCH("KminusZ_m", [1]Calc!$C:$C, 0)) + $B205 - INDEX([1]Calc!$E:$E, MATCH("L_ramp_m", [1]Calc!$C:$C, 0)) * TAN(RADIANS(INDEX([1]Calc!$E:$E, MATCH("theta_max_deg", [1]Calc!$C:$C, 0)))))</f>
        <v>4.0087491768118824</v>
      </c>
      <c r="D205" s="3"/>
      <c r="E205" s="3">
        <f t="shared" si="9"/>
        <v>4.0087491768118824</v>
      </c>
      <c r="F205" s="3">
        <f t="shared" si="10"/>
        <v>4.0087491768118824</v>
      </c>
      <c r="G205" s="3">
        <f>IF($E205="","", DEGREES(ATAN((INDEX([1]Calc!$E:$E, MATCH("KminusZ_m", [1]Calc!$C:$C, 0)) - $E205 + $B205) / INDEX([1]Calc!$E:$E, MATCH("L_ramp_m", [1]Calc!$C:$C, 0)))))</f>
        <v>6.0000000000000009</v>
      </c>
      <c r="H205" s="2" t="str">
        <f>IF($E205="","", IF(AND($E205&gt;=INDEX([1]Calc!$E:$E, MATCH("min_fwd_draft_m", [1]Calc!$C:$C, 0)), $E205&lt;=INDEX([1]Calc!$E:$E, MATCH("max_fwd_draft_m", [1]Calc!$C:$C, 0)), $G205&lt;=INDEX([1]Calc!$E:$E, MATCH("theta_max_deg", [1]Calc!$C:$C, 0))), "OK", "CHECK"))</f>
        <v>CHECK</v>
      </c>
      <c r="I205" s="3">
        <f>IF($E205="","", INDEX([1]Calc!$E:$E, MATCH("D_vessel_m", [1]Calc!$C:$C, 0)) - $E205 + $B205)</f>
        <v>1.9112508231881176</v>
      </c>
      <c r="J205" s="3">
        <f>IF($F205="","", INDEX([1]Calc!$E:$E, MATCH("D_vessel_m", [1]Calc!$C:$C, 0)) - $F205 + $B205)</f>
        <v>1.9112508231881176</v>
      </c>
      <c r="K205" s="2" t="str">
        <f t="shared" si="11"/>
        <v>Even Keel</v>
      </c>
    </row>
    <row r="206" spans="1:11" x14ac:dyDescent="0.6">
      <c r="A206" s="2" t="str">
        <f>IF('December_Tide_2025 (2)'!A206="","",'December_Tide_2025 (2)'!A206)</f>
        <v>2025-12-09 12:00:00</v>
      </c>
      <c r="B206" s="3">
        <f>IF('December_Tide_2025 (2)'!B206="","",'December_Tide_2025 (2)'!B206)</f>
        <v>1.82</v>
      </c>
      <c r="C206" s="3">
        <f>IF($A206="","", INDEX([1]Calc!$E:$E, MATCH("KminusZ_m", [1]Calc!$C:$C, 0)) + $B206 - INDEX([1]Calc!$E:$E, MATCH("L_ramp_m", [1]Calc!$C:$C, 0)) * TAN(RADIANS(INDEX([1]Calc!$E:$E, MATCH("theta_max_deg", [1]Calc!$C:$C, 0)))))</f>
        <v>3.5587491768118826</v>
      </c>
      <c r="D206" s="3"/>
      <c r="E206" s="3">
        <f t="shared" si="9"/>
        <v>3.5587491768118826</v>
      </c>
      <c r="F206" s="3">
        <f t="shared" si="10"/>
        <v>3.5587491768118826</v>
      </c>
      <c r="G206" s="3">
        <f>IF($E206="","", DEGREES(ATAN((INDEX([1]Calc!$E:$E, MATCH("KminusZ_m", [1]Calc!$C:$C, 0)) - $E206 + $B206) / INDEX([1]Calc!$E:$E, MATCH("L_ramp_m", [1]Calc!$C:$C, 0)))))</f>
        <v>6</v>
      </c>
      <c r="H206" s="2" t="str">
        <f>IF($E206="","", IF(AND($E206&gt;=INDEX([1]Calc!$E:$E, MATCH("min_fwd_draft_m", [1]Calc!$C:$C, 0)), $E206&lt;=INDEX([1]Calc!$E:$E, MATCH("max_fwd_draft_m", [1]Calc!$C:$C, 0)), $G206&lt;=INDEX([1]Calc!$E:$E, MATCH("theta_max_deg", [1]Calc!$C:$C, 0))), "OK", "CHECK"))</f>
        <v>CHECK</v>
      </c>
      <c r="I206" s="3">
        <f>IF($E206="","", INDEX([1]Calc!$E:$E, MATCH("D_vessel_m", [1]Calc!$C:$C, 0)) - $E206 + $B206)</f>
        <v>1.9112508231881173</v>
      </c>
      <c r="J206" s="3">
        <f>IF($F206="","", INDEX([1]Calc!$E:$E, MATCH("D_vessel_m", [1]Calc!$C:$C, 0)) - $F206 + $B206)</f>
        <v>1.9112508231881173</v>
      </c>
      <c r="K206" s="2" t="str">
        <f t="shared" si="11"/>
        <v>Even Keel</v>
      </c>
    </row>
    <row r="207" spans="1:11" x14ac:dyDescent="0.6">
      <c r="A207" s="2" t="str">
        <f>IF('December_Tide_2025 (2)'!A207="","",'December_Tide_2025 (2)'!A207)</f>
        <v>2025-12-09 13:00:00</v>
      </c>
      <c r="B207" s="3">
        <f>IF('December_Tide_2025 (2)'!B207="","",'December_Tide_2025 (2)'!B207)</f>
        <v>1.36</v>
      </c>
      <c r="C207" s="3">
        <f>IF($A207="","", INDEX([1]Calc!$E:$E, MATCH("KminusZ_m", [1]Calc!$C:$C, 0)) + $B207 - INDEX([1]Calc!$E:$E, MATCH("L_ramp_m", [1]Calc!$C:$C, 0)) * TAN(RADIANS(INDEX([1]Calc!$E:$E, MATCH("theta_max_deg", [1]Calc!$C:$C, 0)))))</f>
        <v>3.0987491768118827</v>
      </c>
      <c r="D207" s="3"/>
      <c r="E207" s="3">
        <f t="shared" si="9"/>
        <v>3.0987491768118827</v>
      </c>
      <c r="F207" s="3">
        <f t="shared" si="10"/>
        <v>3.0987491768118827</v>
      </c>
      <c r="G207" s="3">
        <f>IF($E207="","", DEGREES(ATAN((INDEX([1]Calc!$E:$E, MATCH("KminusZ_m", [1]Calc!$C:$C, 0)) - $E207 + $B207) / INDEX([1]Calc!$E:$E, MATCH("L_ramp_m", [1]Calc!$C:$C, 0)))))</f>
        <v>6</v>
      </c>
      <c r="H207" s="2" t="str">
        <f>IF($E207="","", IF(AND($E207&gt;=INDEX([1]Calc!$E:$E, MATCH("min_fwd_draft_m", [1]Calc!$C:$C, 0)), $E207&lt;=INDEX([1]Calc!$E:$E, MATCH("max_fwd_draft_m", [1]Calc!$C:$C, 0)), $G207&lt;=INDEX([1]Calc!$E:$E, MATCH("theta_max_deg", [1]Calc!$C:$C, 0))), "OK", "CHECK"))</f>
        <v>OK</v>
      </c>
      <c r="I207" s="3">
        <f>IF($E207="","", INDEX([1]Calc!$E:$E, MATCH("D_vessel_m", [1]Calc!$C:$C, 0)) - $E207 + $B207)</f>
        <v>1.9112508231881173</v>
      </c>
      <c r="J207" s="3">
        <f>IF($F207="","", INDEX([1]Calc!$E:$E, MATCH("D_vessel_m", [1]Calc!$C:$C, 0)) - $F207 + $B207)</f>
        <v>1.9112508231881173</v>
      </c>
      <c r="K207" s="2" t="str">
        <f t="shared" si="11"/>
        <v>Even Keel</v>
      </c>
    </row>
    <row r="208" spans="1:11" x14ac:dyDescent="0.6">
      <c r="A208" s="2" t="str">
        <f>IF('December_Tide_2025 (2)'!A208="","",'December_Tide_2025 (2)'!A208)</f>
        <v>2025-12-09 14:00:00</v>
      </c>
      <c r="B208" s="3">
        <f>IF('December_Tide_2025 (2)'!B208="","",'December_Tide_2025 (2)'!B208)</f>
        <v>1.02</v>
      </c>
      <c r="C208" s="3">
        <f>IF($A208="","", INDEX([1]Calc!$E:$E, MATCH("KminusZ_m", [1]Calc!$C:$C, 0)) + $B208 - INDEX([1]Calc!$E:$E, MATCH("L_ramp_m", [1]Calc!$C:$C, 0)) * TAN(RADIANS(INDEX([1]Calc!$E:$E, MATCH("theta_max_deg", [1]Calc!$C:$C, 0)))))</f>
        <v>2.7587491768118819</v>
      </c>
      <c r="D208" s="3"/>
      <c r="E208" s="3">
        <f t="shared" si="9"/>
        <v>2.7587491768118819</v>
      </c>
      <c r="F208" s="3">
        <f t="shared" si="10"/>
        <v>2.7587491768118819</v>
      </c>
      <c r="G208" s="3">
        <f>IF($E208="","", DEGREES(ATAN((INDEX([1]Calc!$E:$E, MATCH("KminusZ_m", [1]Calc!$C:$C, 0)) - $E208 + $B208) / INDEX([1]Calc!$E:$E, MATCH("L_ramp_m", [1]Calc!$C:$C, 0)))))</f>
        <v>6.0000000000000027</v>
      </c>
      <c r="H208" s="2" t="str">
        <f>IF($E208="","", IF(AND($E208&gt;=INDEX([1]Calc!$E:$E, MATCH("min_fwd_draft_m", [1]Calc!$C:$C, 0)), $E208&lt;=INDEX([1]Calc!$E:$E, MATCH("max_fwd_draft_m", [1]Calc!$C:$C, 0)), $G208&lt;=INDEX([1]Calc!$E:$E, MATCH("theta_max_deg", [1]Calc!$C:$C, 0))), "OK", "CHECK"))</f>
        <v>OK</v>
      </c>
      <c r="I208" s="3">
        <f>IF($E208="","", INDEX([1]Calc!$E:$E, MATCH("D_vessel_m", [1]Calc!$C:$C, 0)) - $E208 + $B208)</f>
        <v>1.911250823188118</v>
      </c>
      <c r="J208" s="3">
        <f>IF($F208="","", INDEX([1]Calc!$E:$E, MATCH("D_vessel_m", [1]Calc!$C:$C, 0)) - $F208 + $B208)</f>
        <v>1.911250823188118</v>
      </c>
      <c r="K208" s="2" t="str">
        <f t="shared" si="11"/>
        <v>Even Keel</v>
      </c>
    </row>
    <row r="209" spans="1:11" x14ac:dyDescent="0.6">
      <c r="A209" s="2" t="str">
        <f>IF('December_Tide_2025 (2)'!A209="","",'December_Tide_2025 (2)'!A209)</f>
        <v>2025-12-09 15:00:00</v>
      </c>
      <c r="B209" s="3">
        <f>IF('December_Tide_2025 (2)'!B209="","",'December_Tide_2025 (2)'!B209)</f>
        <v>0.87</v>
      </c>
      <c r="C209" s="3">
        <f>IF($A209="","", INDEX([1]Calc!$E:$E, MATCH("KminusZ_m", [1]Calc!$C:$C, 0)) + $B209 - INDEX([1]Calc!$E:$E, MATCH("L_ramp_m", [1]Calc!$C:$C, 0)) * TAN(RADIANS(INDEX([1]Calc!$E:$E, MATCH("theta_max_deg", [1]Calc!$C:$C, 0)))))</f>
        <v>2.6087491768118825</v>
      </c>
      <c r="D209" s="3"/>
      <c r="E209" s="3">
        <f t="shared" si="9"/>
        <v>2.6087491768118825</v>
      </c>
      <c r="F209" s="3">
        <f t="shared" si="10"/>
        <v>2.6087491768118825</v>
      </c>
      <c r="G209" s="3">
        <f>IF($E209="","", DEGREES(ATAN((INDEX([1]Calc!$E:$E, MATCH("KminusZ_m", [1]Calc!$C:$C, 0)) - $E209 + $B209) / INDEX([1]Calc!$E:$E, MATCH("L_ramp_m", [1]Calc!$C:$C, 0)))))</f>
        <v>6.0000000000000009</v>
      </c>
      <c r="H209" s="2" t="str">
        <f>IF($E209="","", IF(AND($E209&gt;=INDEX([1]Calc!$E:$E, MATCH("min_fwd_draft_m", [1]Calc!$C:$C, 0)), $E209&lt;=INDEX([1]Calc!$E:$E, MATCH("max_fwd_draft_m", [1]Calc!$C:$C, 0)), $G209&lt;=INDEX([1]Calc!$E:$E, MATCH("theta_max_deg", [1]Calc!$C:$C, 0))), "OK", "CHECK"))</f>
        <v>OK</v>
      </c>
      <c r="I209" s="3">
        <f>IF($E209="","", INDEX([1]Calc!$E:$E, MATCH("D_vessel_m", [1]Calc!$C:$C, 0)) - $E209 + $B209)</f>
        <v>1.9112508231881176</v>
      </c>
      <c r="J209" s="3">
        <f>IF($F209="","", INDEX([1]Calc!$E:$E, MATCH("D_vessel_m", [1]Calc!$C:$C, 0)) - $F209 + $B209)</f>
        <v>1.9112508231881176</v>
      </c>
      <c r="K209" s="2" t="str">
        <f t="shared" si="11"/>
        <v>Even Keel</v>
      </c>
    </row>
    <row r="210" spans="1:11" x14ac:dyDescent="0.6">
      <c r="A210" s="2" t="str">
        <f>IF('December_Tide_2025 (2)'!A210="","",'December_Tide_2025 (2)'!A210)</f>
        <v>2025-12-09 16:00:00</v>
      </c>
      <c r="B210" s="3">
        <f>IF('December_Tide_2025 (2)'!B210="","",'December_Tide_2025 (2)'!B210)</f>
        <v>0.95</v>
      </c>
      <c r="C210" s="3">
        <f>IF($A210="","", INDEX([1]Calc!$E:$E, MATCH("KminusZ_m", [1]Calc!$C:$C, 0)) + $B210 - INDEX([1]Calc!$E:$E, MATCH("L_ramp_m", [1]Calc!$C:$C, 0)) * TAN(RADIANS(INDEX([1]Calc!$E:$E, MATCH("theta_max_deg", [1]Calc!$C:$C, 0)))))</f>
        <v>2.6887491768118825</v>
      </c>
      <c r="D210" s="3"/>
      <c r="E210" s="3">
        <f t="shared" si="9"/>
        <v>2.6887491768118825</v>
      </c>
      <c r="F210" s="3">
        <f t="shared" si="10"/>
        <v>2.6887491768118825</v>
      </c>
      <c r="G210" s="3">
        <f>IF($E210="","", DEGREES(ATAN((INDEX([1]Calc!$E:$E, MATCH("KminusZ_m", [1]Calc!$C:$C, 0)) - $E210 + $B210) / INDEX([1]Calc!$E:$E, MATCH("L_ramp_m", [1]Calc!$C:$C, 0)))))</f>
        <v>6</v>
      </c>
      <c r="H210" s="2" t="str">
        <f>IF($E210="","", IF(AND($E210&gt;=INDEX([1]Calc!$E:$E, MATCH("min_fwd_draft_m", [1]Calc!$C:$C, 0)), $E210&lt;=INDEX([1]Calc!$E:$E, MATCH("max_fwd_draft_m", [1]Calc!$C:$C, 0)), $G210&lt;=INDEX([1]Calc!$E:$E, MATCH("theta_max_deg", [1]Calc!$C:$C, 0))), "OK", "CHECK"))</f>
        <v>OK</v>
      </c>
      <c r="I210" s="3">
        <f>IF($E210="","", INDEX([1]Calc!$E:$E, MATCH("D_vessel_m", [1]Calc!$C:$C, 0)) - $E210 + $B210)</f>
        <v>1.9112508231881173</v>
      </c>
      <c r="J210" s="3">
        <f>IF($F210="","", INDEX([1]Calc!$E:$E, MATCH("D_vessel_m", [1]Calc!$C:$C, 0)) - $F210 + $B210)</f>
        <v>1.9112508231881173</v>
      </c>
      <c r="K210" s="2" t="str">
        <f t="shared" si="11"/>
        <v>Even Keel</v>
      </c>
    </row>
    <row r="211" spans="1:11" x14ac:dyDescent="0.6">
      <c r="A211" s="2" t="str">
        <f>IF('December_Tide_2025 (2)'!A211="","",'December_Tide_2025 (2)'!A211)</f>
        <v>2025-12-09 17:00:00</v>
      </c>
      <c r="B211" s="3">
        <f>IF('December_Tide_2025 (2)'!B211="","",'December_Tide_2025 (2)'!B211)</f>
        <v>1.25</v>
      </c>
      <c r="C211" s="3">
        <f>IF($A211="","", INDEX([1]Calc!$E:$E, MATCH("KminusZ_m", [1]Calc!$C:$C, 0)) + $B211 - INDEX([1]Calc!$E:$E, MATCH("L_ramp_m", [1]Calc!$C:$C, 0)) * TAN(RADIANS(INDEX([1]Calc!$E:$E, MATCH("theta_max_deg", [1]Calc!$C:$C, 0)))))</f>
        <v>2.9887491768118823</v>
      </c>
      <c r="D211" s="3"/>
      <c r="E211" s="3">
        <f t="shared" si="9"/>
        <v>2.9887491768118823</v>
      </c>
      <c r="F211" s="3">
        <f t="shared" si="10"/>
        <v>2.9887491768118823</v>
      </c>
      <c r="G211" s="3">
        <f>IF($E211="","", DEGREES(ATAN((INDEX([1]Calc!$E:$E, MATCH("KminusZ_m", [1]Calc!$C:$C, 0)) - $E211 + $B211) / INDEX([1]Calc!$E:$E, MATCH("L_ramp_m", [1]Calc!$C:$C, 0)))))</f>
        <v>6.0000000000000009</v>
      </c>
      <c r="H211" s="2" t="str">
        <f>IF($E211="","", IF(AND($E211&gt;=INDEX([1]Calc!$E:$E, MATCH("min_fwd_draft_m", [1]Calc!$C:$C, 0)), $E211&lt;=INDEX([1]Calc!$E:$E, MATCH("max_fwd_draft_m", [1]Calc!$C:$C, 0)), $G211&lt;=INDEX([1]Calc!$E:$E, MATCH("theta_max_deg", [1]Calc!$C:$C, 0))), "OK", "CHECK"))</f>
        <v>OK</v>
      </c>
      <c r="I211" s="3">
        <f>IF($E211="","", INDEX([1]Calc!$E:$E, MATCH("D_vessel_m", [1]Calc!$C:$C, 0)) - $E211 + $B211)</f>
        <v>1.9112508231881176</v>
      </c>
      <c r="J211" s="3">
        <f>IF($F211="","", INDEX([1]Calc!$E:$E, MATCH("D_vessel_m", [1]Calc!$C:$C, 0)) - $F211 + $B211)</f>
        <v>1.9112508231881176</v>
      </c>
      <c r="K211" s="2" t="str">
        <f t="shared" si="11"/>
        <v>Even Keel</v>
      </c>
    </row>
    <row r="212" spans="1:11" x14ac:dyDescent="0.6">
      <c r="A212" s="2" t="str">
        <f>IF('December_Tide_2025 (2)'!A212="","",'December_Tide_2025 (2)'!A212)</f>
        <v>2025-12-09 18:00:00</v>
      </c>
      <c r="B212" s="3">
        <f>IF('December_Tide_2025 (2)'!B212="","",'December_Tide_2025 (2)'!B212)</f>
        <v>1.68</v>
      </c>
      <c r="C212" s="3">
        <f>IF($A212="","", INDEX([1]Calc!$E:$E, MATCH("KminusZ_m", [1]Calc!$C:$C, 0)) + $B212 - INDEX([1]Calc!$E:$E, MATCH("L_ramp_m", [1]Calc!$C:$C, 0)) * TAN(RADIANS(INDEX([1]Calc!$E:$E, MATCH("theta_max_deg", [1]Calc!$C:$C, 0)))))</f>
        <v>3.4187491768118821</v>
      </c>
      <c r="D212" s="3"/>
      <c r="E212" s="3">
        <f t="shared" si="9"/>
        <v>3.4187491768118821</v>
      </c>
      <c r="F212" s="3">
        <f t="shared" si="10"/>
        <v>3.4187491768118821</v>
      </c>
      <c r="G212" s="3">
        <f>IF($E212="","", DEGREES(ATAN((INDEX([1]Calc!$E:$E, MATCH("KminusZ_m", [1]Calc!$C:$C, 0)) - $E212 + $B212) / INDEX([1]Calc!$E:$E, MATCH("L_ramp_m", [1]Calc!$C:$C, 0)))))</f>
        <v>6.0000000000000009</v>
      </c>
      <c r="H212" s="2" t="str">
        <f>IF($E212="","", IF(AND($E212&gt;=INDEX([1]Calc!$E:$E, MATCH("min_fwd_draft_m", [1]Calc!$C:$C, 0)), $E212&lt;=INDEX([1]Calc!$E:$E, MATCH("max_fwd_draft_m", [1]Calc!$C:$C, 0)), $G212&lt;=INDEX([1]Calc!$E:$E, MATCH("theta_max_deg", [1]Calc!$C:$C, 0))), "OK", "CHECK"))</f>
        <v>OK</v>
      </c>
      <c r="I212" s="3">
        <f>IF($E212="","", INDEX([1]Calc!$E:$E, MATCH("D_vessel_m", [1]Calc!$C:$C, 0)) - $E212 + $B212)</f>
        <v>1.9112508231881178</v>
      </c>
      <c r="J212" s="3">
        <f>IF($F212="","", INDEX([1]Calc!$E:$E, MATCH("D_vessel_m", [1]Calc!$C:$C, 0)) - $F212 + $B212)</f>
        <v>1.9112508231881178</v>
      </c>
      <c r="K212" s="2" t="str">
        <f t="shared" si="11"/>
        <v>Even Keel</v>
      </c>
    </row>
    <row r="213" spans="1:11" x14ac:dyDescent="0.6">
      <c r="A213" s="2" t="str">
        <f>IF('December_Tide_2025 (2)'!A213="","",'December_Tide_2025 (2)'!A213)</f>
        <v>2025-12-09 19:00:00</v>
      </c>
      <c r="B213" s="3">
        <f>IF('December_Tide_2025 (2)'!B213="","",'December_Tide_2025 (2)'!B213)</f>
        <v>2.15</v>
      </c>
      <c r="C213" s="3">
        <f>IF($A213="","", INDEX([1]Calc!$E:$E, MATCH("KminusZ_m", [1]Calc!$C:$C, 0)) + $B213 - INDEX([1]Calc!$E:$E, MATCH("L_ramp_m", [1]Calc!$C:$C, 0)) * TAN(RADIANS(INDEX([1]Calc!$E:$E, MATCH("theta_max_deg", [1]Calc!$C:$C, 0)))))</f>
        <v>3.8887491768118827</v>
      </c>
      <c r="D213" s="3"/>
      <c r="E213" s="3">
        <f t="shared" si="9"/>
        <v>3.8887491768118827</v>
      </c>
      <c r="F213" s="3">
        <f t="shared" si="10"/>
        <v>3.8887491768118827</v>
      </c>
      <c r="G213" s="3">
        <f>IF($E213="","", DEGREES(ATAN((INDEX([1]Calc!$E:$E, MATCH("KminusZ_m", [1]Calc!$C:$C, 0)) - $E213 + $B213) / INDEX([1]Calc!$E:$E, MATCH("L_ramp_m", [1]Calc!$C:$C, 0)))))</f>
        <v>5.9999999999999982</v>
      </c>
      <c r="H213" s="2" t="str">
        <f>IF($E213="","", IF(AND($E213&gt;=INDEX([1]Calc!$E:$E, MATCH("min_fwd_draft_m", [1]Calc!$C:$C, 0)), $E213&lt;=INDEX([1]Calc!$E:$E, MATCH("max_fwd_draft_m", [1]Calc!$C:$C, 0)), $G213&lt;=INDEX([1]Calc!$E:$E, MATCH("theta_max_deg", [1]Calc!$C:$C, 0))), "OK", "CHECK"))</f>
        <v>CHECK</v>
      </c>
      <c r="I213" s="3">
        <f>IF($E213="","", INDEX([1]Calc!$E:$E, MATCH("D_vessel_m", [1]Calc!$C:$C, 0)) - $E213 + $B213)</f>
        <v>1.9112508231881171</v>
      </c>
      <c r="J213" s="3">
        <f>IF($F213="","", INDEX([1]Calc!$E:$E, MATCH("D_vessel_m", [1]Calc!$C:$C, 0)) - $F213 + $B213)</f>
        <v>1.9112508231881171</v>
      </c>
      <c r="K213" s="2" t="str">
        <f t="shared" si="11"/>
        <v>Even Keel</v>
      </c>
    </row>
    <row r="214" spans="1:11" x14ac:dyDescent="0.6">
      <c r="A214" s="2" t="str">
        <f>IF('December_Tide_2025 (2)'!A214="","",'December_Tide_2025 (2)'!A214)</f>
        <v>2025-12-09 20:00:00</v>
      </c>
      <c r="B214" s="3">
        <f>IF('December_Tide_2025 (2)'!B214="","",'December_Tide_2025 (2)'!B214)</f>
        <v>2.5299999999999998</v>
      </c>
      <c r="C214" s="3">
        <f>IF($A214="","", INDEX([1]Calc!$E:$E, MATCH("KminusZ_m", [1]Calc!$C:$C, 0)) + $B214 - INDEX([1]Calc!$E:$E, MATCH("L_ramp_m", [1]Calc!$C:$C, 0)) * TAN(RADIANS(INDEX([1]Calc!$E:$E, MATCH("theta_max_deg", [1]Calc!$C:$C, 0)))))</f>
        <v>4.2687491768118822</v>
      </c>
      <c r="D214" s="3"/>
      <c r="E214" s="3">
        <f t="shared" si="9"/>
        <v>4.2687491768118822</v>
      </c>
      <c r="F214" s="3">
        <f t="shared" si="10"/>
        <v>4.2687491768118822</v>
      </c>
      <c r="G214" s="3">
        <f>IF($E214="","", DEGREES(ATAN((INDEX([1]Calc!$E:$E, MATCH("KminusZ_m", [1]Calc!$C:$C, 0)) - $E214 + $B214) / INDEX([1]Calc!$E:$E, MATCH("L_ramp_m", [1]Calc!$C:$C, 0)))))</f>
        <v>6.0000000000000009</v>
      </c>
      <c r="H214" s="2" t="str">
        <f>IF($E214="","", IF(AND($E214&gt;=INDEX([1]Calc!$E:$E, MATCH("min_fwd_draft_m", [1]Calc!$C:$C, 0)), $E214&lt;=INDEX([1]Calc!$E:$E, MATCH("max_fwd_draft_m", [1]Calc!$C:$C, 0)), $G214&lt;=INDEX([1]Calc!$E:$E, MATCH("theta_max_deg", [1]Calc!$C:$C, 0))), "OK", "CHECK"))</f>
        <v>CHECK</v>
      </c>
      <c r="I214" s="3">
        <f>IF($E214="","", INDEX([1]Calc!$E:$E, MATCH("D_vessel_m", [1]Calc!$C:$C, 0)) - $E214 + $B214)</f>
        <v>1.9112508231881176</v>
      </c>
      <c r="J214" s="3">
        <f>IF($F214="","", INDEX([1]Calc!$E:$E, MATCH("D_vessel_m", [1]Calc!$C:$C, 0)) - $F214 + $B214)</f>
        <v>1.9112508231881176</v>
      </c>
      <c r="K214" s="2" t="str">
        <f t="shared" si="11"/>
        <v>Even Keel</v>
      </c>
    </row>
    <row r="215" spans="1:11" x14ac:dyDescent="0.6">
      <c r="A215" s="2" t="str">
        <f>IF('December_Tide_2025 (2)'!A215="","",'December_Tide_2025 (2)'!A215)</f>
        <v>2025-12-09 21:00:00</v>
      </c>
      <c r="B215" s="3">
        <f>IF('December_Tide_2025 (2)'!B215="","",'December_Tide_2025 (2)'!B215)</f>
        <v>2.72</v>
      </c>
      <c r="C215" s="3">
        <f>IF($A215="","", INDEX([1]Calc!$E:$E, MATCH("KminusZ_m", [1]Calc!$C:$C, 0)) + $B215 - INDEX([1]Calc!$E:$E, MATCH("L_ramp_m", [1]Calc!$C:$C, 0)) * TAN(RADIANS(INDEX([1]Calc!$E:$E, MATCH("theta_max_deg", [1]Calc!$C:$C, 0)))))</f>
        <v>4.4587491768118834</v>
      </c>
      <c r="D215" s="3"/>
      <c r="E215" s="3">
        <f t="shared" si="9"/>
        <v>4.4587491768118834</v>
      </c>
      <c r="F215" s="3">
        <f t="shared" si="10"/>
        <v>4.4587491768118834</v>
      </c>
      <c r="G215" s="3">
        <f>IF($E215="","", DEGREES(ATAN((INDEX([1]Calc!$E:$E, MATCH("KminusZ_m", [1]Calc!$C:$C, 0)) - $E215 + $B215) / INDEX([1]Calc!$E:$E, MATCH("L_ramp_m", [1]Calc!$C:$C, 0)))))</f>
        <v>5.9999999999999964</v>
      </c>
      <c r="H215" s="2" t="str">
        <f>IF($E215="","", IF(AND($E215&gt;=INDEX([1]Calc!$E:$E, MATCH("min_fwd_draft_m", [1]Calc!$C:$C, 0)), $E215&lt;=INDEX([1]Calc!$E:$E, MATCH("max_fwd_draft_m", [1]Calc!$C:$C, 0)), $G215&lt;=INDEX([1]Calc!$E:$E, MATCH("theta_max_deg", [1]Calc!$C:$C, 0))), "OK", "CHECK"))</f>
        <v>CHECK</v>
      </c>
      <c r="I215" s="3">
        <f>IF($E215="","", INDEX([1]Calc!$E:$E, MATCH("D_vessel_m", [1]Calc!$C:$C, 0)) - $E215 + $B215)</f>
        <v>1.9112508231881167</v>
      </c>
      <c r="J215" s="3">
        <f>IF($F215="","", INDEX([1]Calc!$E:$E, MATCH("D_vessel_m", [1]Calc!$C:$C, 0)) - $F215 + $B215)</f>
        <v>1.9112508231881167</v>
      </c>
      <c r="K215" s="2" t="str">
        <f t="shared" si="11"/>
        <v>Even Keel</v>
      </c>
    </row>
    <row r="216" spans="1:11" x14ac:dyDescent="0.6">
      <c r="A216" s="2" t="str">
        <f>IF('December_Tide_2025 (2)'!A216="","",'December_Tide_2025 (2)'!A216)</f>
        <v>2025-12-09 22:00:00</v>
      </c>
      <c r="B216" s="3">
        <f>IF('December_Tide_2025 (2)'!B216="","",'December_Tide_2025 (2)'!B216)</f>
        <v>2.69</v>
      </c>
      <c r="C216" s="3">
        <f>IF($A216="","", INDEX([1]Calc!$E:$E, MATCH("KminusZ_m", [1]Calc!$C:$C, 0)) + $B216 - INDEX([1]Calc!$E:$E, MATCH("L_ramp_m", [1]Calc!$C:$C, 0)) * TAN(RADIANS(INDEX([1]Calc!$E:$E, MATCH("theta_max_deg", [1]Calc!$C:$C, 0)))))</f>
        <v>4.4287491768118823</v>
      </c>
      <c r="D216" s="3"/>
      <c r="E216" s="3">
        <f t="shared" si="9"/>
        <v>4.4287491768118823</v>
      </c>
      <c r="F216" s="3">
        <f t="shared" si="10"/>
        <v>4.4287491768118823</v>
      </c>
      <c r="G216" s="3">
        <f>IF($E216="","", DEGREES(ATAN((INDEX([1]Calc!$E:$E, MATCH("KminusZ_m", [1]Calc!$C:$C, 0)) - $E216 + $B216) / INDEX([1]Calc!$E:$E, MATCH("L_ramp_m", [1]Calc!$C:$C, 0)))))</f>
        <v>6.0000000000000009</v>
      </c>
      <c r="H216" s="2" t="str">
        <f>IF($E216="","", IF(AND($E216&gt;=INDEX([1]Calc!$E:$E, MATCH("min_fwd_draft_m", [1]Calc!$C:$C, 0)), $E216&lt;=INDEX([1]Calc!$E:$E, MATCH("max_fwd_draft_m", [1]Calc!$C:$C, 0)), $G216&lt;=INDEX([1]Calc!$E:$E, MATCH("theta_max_deg", [1]Calc!$C:$C, 0))), "OK", "CHECK"))</f>
        <v>CHECK</v>
      </c>
      <c r="I216" s="3">
        <f>IF($E216="","", INDEX([1]Calc!$E:$E, MATCH("D_vessel_m", [1]Calc!$C:$C, 0)) - $E216 + $B216)</f>
        <v>1.9112508231881176</v>
      </c>
      <c r="J216" s="3">
        <f>IF($F216="","", INDEX([1]Calc!$E:$E, MATCH("D_vessel_m", [1]Calc!$C:$C, 0)) - $F216 + $B216)</f>
        <v>1.9112508231881176</v>
      </c>
      <c r="K216" s="2" t="str">
        <f t="shared" si="11"/>
        <v>Even Keel</v>
      </c>
    </row>
    <row r="217" spans="1:11" x14ac:dyDescent="0.6">
      <c r="A217" s="2" t="str">
        <f>IF('December_Tide_2025 (2)'!A217="","",'December_Tide_2025 (2)'!A217)</f>
        <v>2025-12-09 23:00:00</v>
      </c>
      <c r="B217" s="3">
        <f>IF('December_Tide_2025 (2)'!B217="","",'December_Tide_2025 (2)'!B217)</f>
        <v>2.4300000000000002</v>
      </c>
      <c r="C217" s="3">
        <f>IF($A217="","", INDEX([1]Calc!$E:$E, MATCH("KminusZ_m", [1]Calc!$C:$C, 0)) + $B217 - INDEX([1]Calc!$E:$E, MATCH("L_ramp_m", [1]Calc!$C:$C, 0)) * TAN(RADIANS(INDEX([1]Calc!$E:$E, MATCH("theta_max_deg", [1]Calc!$C:$C, 0)))))</f>
        <v>4.1687491768118825</v>
      </c>
      <c r="D217" s="3"/>
      <c r="E217" s="3">
        <f t="shared" si="9"/>
        <v>4.1687491768118825</v>
      </c>
      <c r="F217" s="3">
        <f t="shared" si="10"/>
        <v>4.1687491768118825</v>
      </c>
      <c r="G217" s="3">
        <f>IF($E217="","", DEGREES(ATAN((INDEX([1]Calc!$E:$E, MATCH("KminusZ_m", [1]Calc!$C:$C, 0)) - $E217 + $B217) / INDEX([1]Calc!$E:$E, MATCH("L_ramp_m", [1]Calc!$C:$C, 0)))))</f>
        <v>6.0000000000000009</v>
      </c>
      <c r="H217" s="2" t="str">
        <f>IF($E217="","", IF(AND($E217&gt;=INDEX([1]Calc!$E:$E, MATCH("min_fwd_draft_m", [1]Calc!$C:$C, 0)), $E217&lt;=INDEX([1]Calc!$E:$E, MATCH("max_fwd_draft_m", [1]Calc!$C:$C, 0)), $G217&lt;=INDEX([1]Calc!$E:$E, MATCH("theta_max_deg", [1]Calc!$C:$C, 0))), "OK", "CHECK"))</f>
        <v>CHECK</v>
      </c>
      <c r="I217" s="3">
        <f>IF($E217="","", INDEX([1]Calc!$E:$E, MATCH("D_vessel_m", [1]Calc!$C:$C, 0)) - $E217 + $B217)</f>
        <v>1.9112508231881176</v>
      </c>
      <c r="J217" s="3">
        <f>IF($F217="","", INDEX([1]Calc!$E:$E, MATCH("D_vessel_m", [1]Calc!$C:$C, 0)) - $F217 + $B217)</f>
        <v>1.9112508231881176</v>
      </c>
      <c r="K217" s="2" t="str">
        <f t="shared" si="11"/>
        <v>Even Keel</v>
      </c>
    </row>
    <row r="218" spans="1:11" x14ac:dyDescent="0.6">
      <c r="A218" s="2" t="str">
        <f>IF('December_Tide_2025 (2)'!A218="","",'December_Tide_2025 (2)'!A218)</f>
        <v>2025-12-10 00:00:00</v>
      </c>
      <c r="B218" s="3">
        <f>IF('December_Tide_2025 (2)'!B218="","",'December_Tide_2025 (2)'!B218)</f>
        <v>2.0099999999999998</v>
      </c>
      <c r="C218" s="3">
        <f>IF($A218="","", INDEX([1]Calc!$E:$E, MATCH("KminusZ_m", [1]Calc!$C:$C, 0)) + $B218 - INDEX([1]Calc!$E:$E, MATCH("L_ramp_m", [1]Calc!$C:$C, 0)) * TAN(RADIANS(INDEX([1]Calc!$E:$E, MATCH("theta_max_deg", [1]Calc!$C:$C, 0)))))</f>
        <v>3.7487491768118821</v>
      </c>
      <c r="D218" s="3"/>
      <c r="E218" s="3">
        <f t="shared" si="9"/>
        <v>3.7487491768118821</v>
      </c>
      <c r="F218" s="3">
        <f t="shared" si="10"/>
        <v>3.7487491768118821</v>
      </c>
      <c r="G218" s="3">
        <f>IF($E218="","", DEGREES(ATAN((INDEX([1]Calc!$E:$E, MATCH("KminusZ_m", [1]Calc!$C:$C, 0)) - $E218 + $B218) / INDEX([1]Calc!$E:$E, MATCH("L_ramp_m", [1]Calc!$C:$C, 0)))))</f>
        <v>6.0000000000000009</v>
      </c>
      <c r="H218" s="2" t="str">
        <f>IF($E218="","", IF(AND($E218&gt;=INDEX([1]Calc!$E:$E, MATCH("min_fwd_draft_m", [1]Calc!$C:$C, 0)), $E218&lt;=INDEX([1]Calc!$E:$E, MATCH("max_fwd_draft_m", [1]Calc!$C:$C, 0)), $G218&lt;=INDEX([1]Calc!$E:$E, MATCH("theta_max_deg", [1]Calc!$C:$C, 0))), "OK", "CHECK"))</f>
        <v>CHECK</v>
      </c>
      <c r="I218" s="3">
        <f>IF($E218="","", INDEX([1]Calc!$E:$E, MATCH("D_vessel_m", [1]Calc!$C:$C, 0)) - $E218 + $B218)</f>
        <v>1.9112508231881176</v>
      </c>
      <c r="J218" s="3">
        <f>IF($F218="","", INDEX([1]Calc!$E:$E, MATCH("D_vessel_m", [1]Calc!$C:$C, 0)) - $F218 + $B218)</f>
        <v>1.9112508231881176</v>
      </c>
      <c r="K218" s="2" t="str">
        <f t="shared" si="11"/>
        <v>Even Keel</v>
      </c>
    </row>
    <row r="219" spans="1:11" x14ac:dyDescent="0.6">
      <c r="A219" s="2" t="str">
        <f>IF('December_Tide_2025 (2)'!A219="","",'December_Tide_2025 (2)'!A219)</f>
        <v>2025-12-10 01:00:00</v>
      </c>
      <c r="B219" s="3">
        <f>IF('December_Tide_2025 (2)'!B219="","",'December_Tide_2025 (2)'!B219)</f>
        <v>1.54</v>
      </c>
      <c r="C219" s="3">
        <f>IF($A219="","", INDEX([1]Calc!$E:$E, MATCH("KminusZ_m", [1]Calc!$C:$C, 0)) + $B219 - INDEX([1]Calc!$E:$E, MATCH("L_ramp_m", [1]Calc!$C:$C, 0)) * TAN(RADIANS(INDEX([1]Calc!$E:$E, MATCH("theta_max_deg", [1]Calc!$C:$C, 0)))))</f>
        <v>3.2787491768118824</v>
      </c>
      <c r="D219" s="3"/>
      <c r="E219" s="3">
        <f t="shared" si="9"/>
        <v>3.2787491768118824</v>
      </c>
      <c r="F219" s="3">
        <f t="shared" si="10"/>
        <v>3.2787491768118824</v>
      </c>
      <c r="G219" s="3">
        <f>IF($E219="","", DEGREES(ATAN((INDEX([1]Calc!$E:$E, MATCH("KminusZ_m", [1]Calc!$C:$C, 0)) - $E219 + $B219) / INDEX([1]Calc!$E:$E, MATCH("L_ramp_m", [1]Calc!$C:$C, 0)))))</f>
        <v>6.0000000000000009</v>
      </c>
      <c r="H219" s="2" t="str">
        <f>IF($E219="","", IF(AND($E219&gt;=INDEX([1]Calc!$E:$E, MATCH("min_fwd_draft_m", [1]Calc!$C:$C, 0)), $E219&lt;=INDEX([1]Calc!$E:$E, MATCH("max_fwd_draft_m", [1]Calc!$C:$C, 0)), $G219&lt;=INDEX([1]Calc!$E:$E, MATCH("theta_max_deg", [1]Calc!$C:$C, 0))), "OK", "CHECK"))</f>
        <v>OK</v>
      </c>
      <c r="I219" s="3">
        <f>IF($E219="","", INDEX([1]Calc!$E:$E, MATCH("D_vessel_m", [1]Calc!$C:$C, 0)) - $E219 + $B219)</f>
        <v>1.9112508231881176</v>
      </c>
      <c r="J219" s="3">
        <f>IF($F219="","", INDEX([1]Calc!$E:$E, MATCH("D_vessel_m", [1]Calc!$C:$C, 0)) - $F219 + $B219)</f>
        <v>1.9112508231881176</v>
      </c>
      <c r="K219" s="2" t="str">
        <f t="shared" si="11"/>
        <v>Even Keel</v>
      </c>
    </row>
    <row r="220" spans="1:11" x14ac:dyDescent="0.6">
      <c r="A220" s="2" t="str">
        <f>IF('December_Tide_2025 (2)'!A220="","",'December_Tide_2025 (2)'!A220)</f>
        <v>2025-12-10 02:00:00</v>
      </c>
      <c r="B220" s="3">
        <f>IF('December_Tide_2025 (2)'!B220="","",'December_Tide_2025 (2)'!B220)</f>
        <v>1.1399999999999999</v>
      </c>
      <c r="C220" s="3">
        <f>IF($A220="","", INDEX([1]Calc!$E:$E, MATCH("KminusZ_m", [1]Calc!$C:$C, 0)) + $B220 - INDEX([1]Calc!$E:$E, MATCH("L_ramp_m", [1]Calc!$C:$C, 0)) * TAN(RADIANS(INDEX([1]Calc!$E:$E, MATCH("theta_max_deg", [1]Calc!$C:$C, 0)))))</f>
        <v>2.878749176811882</v>
      </c>
      <c r="D220" s="3"/>
      <c r="E220" s="3">
        <f t="shared" si="9"/>
        <v>2.878749176811882</v>
      </c>
      <c r="F220" s="3">
        <f t="shared" si="10"/>
        <v>2.878749176811882</v>
      </c>
      <c r="G220" s="3">
        <f>IF($E220="","", DEGREES(ATAN((INDEX([1]Calc!$E:$E, MATCH("KminusZ_m", [1]Calc!$C:$C, 0)) - $E220 + $B220) / INDEX([1]Calc!$E:$E, MATCH("L_ramp_m", [1]Calc!$C:$C, 0)))))</f>
        <v>6.0000000000000009</v>
      </c>
      <c r="H220" s="2" t="str">
        <f>IF($E220="","", IF(AND($E220&gt;=INDEX([1]Calc!$E:$E, MATCH("min_fwd_draft_m", [1]Calc!$C:$C, 0)), $E220&lt;=INDEX([1]Calc!$E:$E, MATCH("max_fwd_draft_m", [1]Calc!$C:$C, 0)), $G220&lt;=INDEX([1]Calc!$E:$E, MATCH("theta_max_deg", [1]Calc!$C:$C, 0))), "OK", "CHECK"))</f>
        <v>OK</v>
      </c>
      <c r="I220" s="3">
        <f>IF($E220="","", INDEX([1]Calc!$E:$E, MATCH("D_vessel_m", [1]Calc!$C:$C, 0)) - $E220 + $B220)</f>
        <v>1.9112508231881178</v>
      </c>
      <c r="J220" s="3">
        <f>IF($F220="","", INDEX([1]Calc!$E:$E, MATCH("D_vessel_m", [1]Calc!$C:$C, 0)) - $F220 + $B220)</f>
        <v>1.9112508231881178</v>
      </c>
      <c r="K220" s="2" t="str">
        <f t="shared" si="11"/>
        <v>Even Keel</v>
      </c>
    </row>
    <row r="221" spans="1:11" x14ac:dyDescent="0.6">
      <c r="A221" s="2" t="str">
        <f>IF('December_Tide_2025 (2)'!A221="","",'December_Tide_2025 (2)'!A221)</f>
        <v>2025-12-10 03:00:00</v>
      </c>
      <c r="B221" s="3">
        <f>IF('December_Tide_2025 (2)'!B221="","",'December_Tide_2025 (2)'!B221)</f>
        <v>0.9</v>
      </c>
      <c r="C221" s="3">
        <f>IF($A221="","", INDEX([1]Calc!$E:$E, MATCH("KminusZ_m", [1]Calc!$C:$C, 0)) + $B221 - INDEX([1]Calc!$E:$E, MATCH("L_ramp_m", [1]Calc!$C:$C, 0)) * TAN(RADIANS(INDEX([1]Calc!$E:$E, MATCH("theta_max_deg", [1]Calc!$C:$C, 0)))))</f>
        <v>2.6387491768118823</v>
      </c>
      <c r="D221" s="3"/>
      <c r="E221" s="3">
        <f t="shared" si="9"/>
        <v>2.6387491768118823</v>
      </c>
      <c r="F221" s="3">
        <f t="shared" si="10"/>
        <v>2.6387491768118823</v>
      </c>
      <c r="G221" s="3">
        <f>IF($E221="","", DEGREES(ATAN((INDEX([1]Calc!$E:$E, MATCH("KminusZ_m", [1]Calc!$C:$C, 0)) - $E221 + $B221) / INDEX([1]Calc!$E:$E, MATCH("L_ramp_m", [1]Calc!$C:$C, 0)))))</f>
        <v>6.0000000000000009</v>
      </c>
      <c r="H221" s="2" t="str">
        <f>IF($E221="","", IF(AND($E221&gt;=INDEX([1]Calc!$E:$E, MATCH("min_fwd_draft_m", [1]Calc!$C:$C, 0)), $E221&lt;=INDEX([1]Calc!$E:$E, MATCH("max_fwd_draft_m", [1]Calc!$C:$C, 0)), $G221&lt;=INDEX([1]Calc!$E:$E, MATCH("theta_max_deg", [1]Calc!$C:$C, 0))), "OK", "CHECK"))</f>
        <v>OK</v>
      </c>
      <c r="I221" s="3">
        <f>IF($E221="","", INDEX([1]Calc!$E:$E, MATCH("D_vessel_m", [1]Calc!$C:$C, 0)) - $E221 + $B221)</f>
        <v>1.9112508231881176</v>
      </c>
      <c r="J221" s="3">
        <f>IF($F221="","", INDEX([1]Calc!$E:$E, MATCH("D_vessel_m", [1]Calc!$C:$C, 0)) - $F221 + $B221)</f>
        <v>1.9112508231881176</v>
      </c>
      <c r="K221" s="2" t="str">
        <f t="shared" si="11"/>
        <v>Even Keel</v>
      </c>
    </row>
    <row r="222" spans="1:11" x14ac:dyDescent="0.6">
      <c r="A222" s="2" t="str">
        <f>IF('December_Tide_2025 (2)'!A222="","",'December_Tide_2025 (2)'!A222)</f>
        <v>2025-12-10 04:00:00</v>
      </c>
      <c r="B222" s="3">
        <f>IF('December_Tide_2025 (2)'!B222="","",'December_Tide_2025 (2)'!B222)</f>
        <v>0.89</v>
      </c>
      <c r="C222" s="3">
        <f>IF($A222="","", INDEX([1]Calc!$E:$E, MATCH("KminusZ_m", [1]Calc!$C:$C, 0)) + $B222 - INDEX([1]Calc!$E:$E, MATCH("L_ramp_m", [1]Calc!$C:$C, 0)) * TAN(RADIANS(INDEX([1]Calc!$E:$E, MATCH("theta_max_deg", [1]Calc!$C:$C, 0)))))</f>
        <v>2.6287491768118825</v>
      </c>
      <c r="D222" s="3"/>
      <c r="E222" s="3">
        <f t="shared" si="9"/>
        <v>2.6287491768118825</v>
      </c>
      <c r="F222" s="3">
        <f t="shared" si="10"/>
        <v>2.6287491768118825</v>
      </c>
      <c r="G222" s="3">
        <f>IF($E222="","", DEGREES(ATAN((INDEX([1]Calc!$E:$E, MATCH("KminusZ_m", [1]Calc!$C:$C, 0)) - $E222 + $B222) / INDEX([1]Calc!$E:$E, MATCH("L_ramp_m", [1]Calc!$C:$C, 0)))))</f>
        <v>6.0000000000000009</v>
      </c>
      <c r="H222" s="2" t="str">
        <f>IF($E222="","", IF(AND($E222&gt;=INDEX([1]Calc!$E:$E, MATCH("min_fwd_draft_m", [1]Calc!$C:$C, 0)), $E222&lt;=INDEX([1]Calc!$E:$E, MATCH("max_fwd_draft_m", [1]Calc!$C:$C, 0)), $G222&lt;=INDEX([1]Calc!$E:$E, MATCH("theta_max_deg", [1]Calc!$C:$C, 0))), "OK", "CHECK"))</f>
        <v>OK</v>
      </c>
      <c r="I222" s="3">
        <f>IF($E222="","", INDEX([1]Calc!$E:$E, MATCH("D_vessel_m", [1]Calc!$C:$C, 0)) - $E222 + $B222)</f>
        <v>1.9112508231881176</v>
      </c>
      <c r="J222" s="3">
        <f>IF($F222="","", INDEX([1]Calc!$E:$E, MATCH("D_vessel_m", [1]Calc!$C:$C, 0)) - $F222 + $B222)</f>
        <v>1.9112508231881176</v>
      </c>
      <c r="K222" s="2" t="str">
        <f t="shared" si="11"/>
        <v>Even Keel</v>
      </c>
    </row>
    <row r="223" spans="1:11" x14ac:dyDescent="0.6">
      <c r="A223" s="2" t="str">
        <f>IF('December_Tide_2025 (2)'!A223="","",'December_Tide_2025 (2)'!A223)</f>
        <v>2025-12-10 05:00:00</v>
      </c>
      <c r="B223" s="3">
        <f>IF('December_Tide_2025 (2)'!B223="","",'December_Tide_2025 (2)'!B223)</f>
        <v>1.1100000000000001</v>
      </c>
      <c r="C223" s="3">
        <f>IF($A223="","", INDEX([1]Calc!$E:$E, MATCH("KminusZ_m", [1]Calc!$C:$C, 0)) + $B223 - INDEX([1]Calc!$E:$E, MATCH("L_ramp_m", [1]Calc!$C:$C, 0)) * TAN(RADIANS(INDEX([1]Calc!$E:$E, MATCH("theta_max_deg", [1]Calc!$C:$C, 0)))))</f>
        <v>2.8487491768118827</v>
      </c>
      <c r="D223" s="3"/>
      <c r="E223" s="3">
        <f t="shared" si="9"/>
        <v>2.8487491768118827</v>
      </c>
      <c r="F223" s="3">
        <f t="shared" si="10"/>
        <v>2.8487491768118827</v>
      </c>
      <c r="G223" s="3">
        <f>IF($E223="","", DEGREES(ATAN((INDEX([1]Calc!$E:$E, MATCH("KminusZ_m", [1]Calc!$C:$C, 0)) - $E223 + $B223) / INDEX([1]Calc!$E:$E, MATCH("L_ramp_m", [1]Calc!$C:$C, 0)))))</f>
        <v>6</v>
      </c>
      <c r="H223" s="2" t="str">
        <f>IF($E223="","", IF(AND($E223&gt;=INDEX([1]Calc!$E:$E, MATCH("min_fwd_draft_m", [1]Calc!$C:$C, 0)), $E223&lt;=INDEX([1]Calc!$E:$E, MATCH("max_fwd_draft_m", [1]Calc!$C:$C, 0)), $G223&lt;=INDEX([1]Calc!$E:$E, MATCH("theta_max_deg", [1]Calc!$C:$C, 0))), "OK", "CHECK"))</f>
        <v>OK</v>
      </c>
      <c r="I223" s="3">
        <f>IF($E223="","", INDEX([1]Calc!$E:$E, MATCH("D_vessel_m", [1]Calc!$C:$C, 0)) - $E223 + $B223)</f>
        <v>1.9112508231881173</v>
      </c>
      <c r="J223" s="3">
        <f>IF($F223="","", INDEX([1]Calc!$E:$E, MATCH("D_vessel_m", [1]Calc!$C:$C, 0)) - $F223 + $B223)</f>
        <v>1.9112508231881173</v>
      </c>
      <c r="K223" s="2" t="str">
        <f t="shared" si="11"/>
        <v>Even Keel</v>
      </c>
    </row>
    <row r="224" spans="1:11" x14ac:dyDescent="0.6">
      <c r="A224" s="2" t="str">
        <f>IF('December_Tide_2025 (2)'!A224="","",'December_Tide_2025 (2)'!A224)</f>
        <v>2025-12-10 06:00:00</v>
      </c>
      <c r="B224" s="3">
        <f>IF('December_Tide_2025 (2)'!B224="","",'December_Tide_2025 (2)'!B224)</f>
        <v>1.5</v>
      </c>
      <c r="C224" s="3">
        <f>IF($A224="","", INDEX([1]Calc!$E:$E, MATCH("KminusZ_m", [1]Calc!$C:$C, 0)) + $B224 - INDEX([1]Calc!$E:$E, MATCH("L_ramp_m", [1]Calc!$C:$C, 0)) * TAN(RADIANS(INDEX([1]Calc!$E:$E, MATCH("theta_max_deg", [1]Calc!$C:$C, 0)))))</f>
        <v>3.2387491768118823</v>
      </c>
      <c r="D224" s="3"/>
      <c r="E224" s="3">
        <f t="shared" si="9"/>
        <v>3.2387491768118823</v>
      </c>
      <c r="F224" s="3">
        <f t="shared" si="10"/>
        <v>3.2387491768118823</v>
      </c>
      <c r="G224" s="3">
        <f>IF($E224="","", DEGREES(ATAN((INDEX([1]Calc!$E:$E, MATCH("KminusZ_m", [1]Calc!$C:$C, 0)) - $E224 + $B224) / INDEX([1]Calc!$E:$E, MATCH("L_ramp_m", [1]Calc!$C:$C, 0)))))</f>
        <v>6.0000000000000009</v>
      </c>
      <c r="H224" s="2" t="str">
        <f>IF($E224="","", IF(AND($E224&gt;=INDEX([1]Calc!$E:$E, MATCH("min_fwd_draft_m", [1]Calc!$C:$C, 0)), $E224&lt;=INDEX([1]Calc!$E:$E, MATCH("max_fwd_draft_m", [1]Calc!$C:$C, 0)), $G224&lt;=INDEX([1]Calc!$E:$E, MATCH("theta_max_deg", [1]Calc!$C:$C, 0))), "OK", "CHECK"))</f>
        <v>OK</v>
      </c>
      <c r="I224" s="3">
        <f>IF($E224="","", INDEX([1]Calc!$E:$E, MATCH("D_vessel_m", [1]Calc!$C:$C, 0)) - $E224 + $B224)</f>
        <v>1.9112508231881176</v>
      </c>
      <c r="J224" s="3">
        <f>IF($F224="","", INDEX([1]Calc!$E:$E, MATCH("D_vessel_m", [1]Calc!$C:$C, 0)) - $F224 + $B224)</f>
        <v>1.9112508231881176</v>
      </c>
      <c r="K224" s="2" t="str">
        <f t="shared" si="11"/>
        <v>Even Keel</v>
      </c>
    </row>
    <row r="225" spans="1:11" x14ac:dyDescent="0.6">
      <c r="A225" s="2" t="str">
        <f>IF('December_Tide_2025 (2)'!A225="","",'December_Tide_2025 (2)'!A225)</f>
        <v>2025-12-10 07:00:00</v>
      </c>
      <c r="B225" s="3">
        <f>IF('December_Tide_2025 (2)'!B225="","",'December_Tide_2025 (2)'!B225)</f>
        <v>1.97</v>
      </c>
      <c r="C225" s="3">
        <f>IF($A225="","", INDEX([1]Calc!$E:$E, MATCH("KminusZ_m", [1]Calc!$C:$C, 0)) + $B225 - INDEX([1]Calc!$E:$E, MATCH("L_ramp_m", [1]Calc!$C:$C, 0)) * TAN(RADIANS(INDEX([1]Calc!$E:$E, MATCH("theta_max_deg", [1]Calc!$C:$C, 0)))))</f>
        <v>3.7087491768118821</v>
      </c>
      <c r="D225" s="3"/>
      <c r="E225" s="3">
        <f t="shared" si="9"/>
        <v>3.7087491768118821</v>
      </c>
      <c r="F225" s="3">
        <f t="shared" si="10"/>
        <v>3.7087491768118821</v>
      </c>
      <c r="G225" s="3">
        <f>IF($E225="","", DEGREES(ATAN((INDEX([1]Calc!$E:$E, MATCH("KminusZ_m", [1]Calc!$C:$C, 0)) - $E225 + $B225) / INDEX([1]Calc!$E:$E, MATCH("L_ramp_m", [1]Calc!$C:$C, 0)))))</f>
        <v>6.0000000000000009</v>
      </c>
      <c r="H225" s="2" t="str">
        <f>IF($E225="","", IF(AND($E225&gt;=INDEX([1]Calc!$E:$E, MATCH("min_fwd_draft_m", [1]Calc!$C:$C, 0)), $E225&lt;=INDEX([1]Calc!$E:$E, MATCH("max_fwd_draft_m", [1]Calc!$C:$C, 0)), $G225&lt;=INDEX([1]Calc!$E:$E, MATCH("theta_max_deg", [1]Calc!$C:$C, 0))), "OK", "CHECK"))</f>
        <v>CHECK</v>
      </c>
      <c r="I225" s="3">
        <f>IF($E225="","", INDEX([1]Calc!$E:$E, MATCH("D_vessel_m", [1]Calc!$C:$C, 0)) - $E225 + $B225)</f>
        <v>1.9112508231881178</v>
      </c>
      <c r="J225" s="3">
        <f>IF($F225="","", INDEX([1]Calc!$E:$E, MATCH("D_vessel_m", [1]Calc!$C:$C, 0)) - $F225 + $B225)</f>
        <v>1.9112508231881178</v>
      </c>
      <c r="K225" s="2" t="str">
        <f t="shared" si="11"/>
        <v>Even Keel</v>
      </c>
    </row>
    <row r="226" spans="1:11" x14ac:dyDescent="0.6">
      <c r="A226" s="2" t="str">
        <f>IF('December_Tide_2025 (2)'!A226="","",'December_Tide_2025 (2)'!A226)</f>
        <v>2025-12-10 08:00:00</v>
      </c>
      <c r="B226" s="3">
        <f>IF('December_Tide_2025 (2)'!B226="","",'December_Tide_2025 (2)'!B226)</f>
        <v>2.39</v>
      </c>
      <c r="C226" s="3">
        <f>IF($A226="","", INDEX([1]Calc!$E:$E, MATCH("KminusZ_m", [1]Calc!$C:$C, 0)) + $B226 - INDEX([1]Calc!$E:$E, MATCH("L_ramp_m", [1]Calc!$C:$C, 0)) * TAN(RADIANS(INDEX([1]Calc!$E:$E, MATCH("theta_max_deg", [1]Calc!$C:$C, 0)))))</f>
        <v>4.1287491768118834</v>
      </c>
      <c r="D226" s="3"/>
      <c r="E226" s="3">
        <f t="shared" si="9"/>
        <v>4.1287491768118834</v>
      </c>
      <c r="F226" s="3">
        <f t="shared" si="10"/>
        <v>4.1287491768118834</v>
      </c>
      <c r="G226" s="3">
        <f>IF($E226="","", DEGREES(ATAN((INDEX([1]Calc!$E:$E, MATCH("KminusZ_m", [1]Calc!$C:$C, 0)) - $E226 + $B226) / INDEX([1]Calc!$E:$E, MATCH("L_ramp_m", [1]Calc!$C:$C, 0)))))</f>
        <v>5.9999999999999964</v>
      </c>
      <c r="H226" s="2" t="str">
        <f>IF($E226="","", IF(AND($E226&gt;=INDEX([1]Calc!$E:$E, MATCH("min_fwd_draft_m", [1]Calc!$C:$C, 0)), $E226&lt;=INDEX([1]Calc!$E:$E, MATCH("max_fwd_draft_m", [1]Calc!$C:$C, 0)), $G226&lt;=INDEX([1]Calc!$E:$E, MATCH("theta_max_deg", [1]Calc!$C:$C, 0))), "OK", "CHECK"))</f>
        <v>CHECK</v>
      </c>
      <c r="I226" s="3">
        <f>IF($E226="","", INDEX([1]Calc!$E:$E, MATCH("D_vessel_m", [1]Calc!$C:$C, 0)) - $E226 + $B226)</f>
        <v>1.9112508231881167</v>
      </c>
      <c r="J226" s="3">
        <f>IF($F226="","", INDEX([1]Calc!$E:$E, MATCH("D_vessel_m", [1]Calc!$C:$C, 0)) - $F226 + $B226)</f>
        <v>1.9112508231881167</v>
      </c>
      <c r="K226" s="2" t="str">
        <f t="shared" si="11"/>
        <v>Even Keel</v>
      </c>
    </row>
    <row r="227" spans="1:11" x14ac:dyDescent="0.6">
      <c r="A227" s="2" t="str">
        <f>IF('December_Tide_2025 (2)'!A227="","",'December_Tide_2025 (2)'!A227)</f>
        <v>2025-12-10 09:00:00</v>
      </c>
      <c r="B227" s="3">
        <f>IF('December_Tide_2025 (2)'!B227="","",'December_Tide_2025 (2)'!B227)</f>
        <v>2.67</v>
      </c>
      <c r="C227" s="3">
        <f>IF($A227="","", INDEX([1]Calc!$E:$E, MATCH("KminusZ_m", [1]Calc!$C:$C, 0)) + $B227 - INDEX([1]Calc!$E:$E, MATCH("L_ramp_m", [1]Calc!$C:$C, 0)) * TAN(RADIANS(INDEX([1]Calc!$E:$E, MATCH("theta_max_deg", [1]Calc!$C:$C, 0)))))</f>
        <v>4.4087491768118827</v>
      </c>
      <c r="D227" s="3"/>
      <c r="E227" s="3">
        <f t="shared" si="9"/>
        <v>4.4087491768118827</v>
      </c>
      <c r="F227" s="3">
        <f t="shared" si="10"/>
        <v>4.4087491768118827</v>
      </c>
      <c r="G227" s="3">
        <f>IF($E227="","", DEGREES(ATAN((INDEX([1]Calc!$E:$E, MATCH("KminusZ_m", [1]Calc!$C:$C, 0)) - $E227 + $B227) / INDEX([1]Calc!$E:$E, MATCH("L_ramp_m", [1]Calc!$C:$C, 0)))))</f>
        <v>5.9999999999999982</v>
      </c>
      <c r="H227" s="2" t="str">
        <f>IF($E227="","", IF(AND($E227&gt;=INDEX([1]Calc!$E:$E, MATCH("min_fwd_draft_m", [1]Calc!$C:$C, 0)), $E227&lt;=INDEX([1]Calc!$E:$E, MATCH("max_fwd_draft_m", [1]Calc!$C:$C, 0)), $G227&lt;=INDEX([1]Calc!$E:$E, MATCH("theta_max_deg", [1]Calc!$C:$C, 0))), "OK", "CHECK"))</f>
        <v>CHECK</v>
      </c>
      <c r="I227" s="3">
        <f>IF($E227="","", INDEX([1]Calc!$E:$E, MATCH("D_vessel_m", [1]Calc!$C:$C, 0)) - $E227 + $B227)</f>
        <v>1.9112508231881171</v>
      </c>
      <c r="J227" s="3">
        <f>IF($F227="","", INDEX([1]Calc!$E:$E, MATCH("D_vessel_m", [1]Calc!$C:$C, 0)) - $F227 + $B227)</f>
        <v>1.9112508231881171</v>
      </c>
      <c r="K227" s="2" t="str">
        <f t="shared" si="11"/>
        <v>Even Keel</v>
      </c>
    </row>
    <row r="228" spans="1:11" x14ac:dyDescent="0.6">
      <c r="A228" s="2" t="str">
        <f>IF('December_Tide_2025 (2)'!A228="","",'December_Tide_2025 (2)'!A228)</f>
        <v>2025-12-10 10:00:00</v>
      </c>
      <c r="B228" s="3">
        <f>IF('December_Tide_2025 (2)'!B228="","",'December_Tide_2025 (2)'!B228)</f>
        <v>2.73</v>
      </c>
      <c r="C228" s="3">
        <f>IF($A228="","", INDEX([1]Calc!$E:$E, MATCH("KminusZ_m", [1]Calc!$C:$C, 0)) + $B228 - INDEX([1]Calc!$E:$E, MATCH("L_ramp_m", [1]Calc!$C:$C, 0)) * TAN(RADIANS(INDEX([1]Calc!$E:$E, MATCH("theta_max_deg", [1]Calc!$C:$C, 0)))))</f>
        <v>4.4687491768118832</v>
      </c>
      <c r="D228" s="3"/>
      <c r="E228" s="3">
        <f t="shared" si="9"/>
        <v>4.4687491768118832</v>
      </c>
      <c r="F228" s="3">
        <f t="shared" si="10"/>
        <v>4.4687491768118832</v>
      </c>
      <c r="G228" s="3">
        <f>IF($E228="","", DEGREES(ATAN((INDEX([1]Calc!$E:$E, MATCH("KminusZ_m", [1]Calc!$C:$C, 0)) - $E228 + $B228) / INDEX([1]Calc!$E:$E, MATCH("L_ramp_m", [1]Calc!$C:$C, 0)))))</f>
        <v>5.9999999999999964</v>
      </c>
      <c r="H228" s="2" t="str">
        <f>IF($E228="","", IF(AND($E228&gt;=INDEX([1]Calc!$E:$E, MATCH("min_fwd_draft_m", [1]Calc!$C:$C, 0)), $E228&lt;=INDEX([1]Calc!$E:$E, MATCH("max_fwd_draft_m", [1]Calc!$C:$C, 0)), $G228&lt;=INDEX([1]Calc!$E:$E, MATCH("theta_max_deg", [1]Calc!$C:$C, 0))), "OK", "CHECK"))</f>
        <v>CHECK</v>
      </c>
      <c r="I228" s="3">
        <f>IF($E228="","", INDEX([1]Calc!$E:$E, MATCH("D_vessel_m", [1]Calc!$C:$C, 0)) - $E228 + $B228)</f>
        <v>1.9112508231881167</v>
      </c>
      <c r="J228" s="3">
        <f>IF($F228="","", INDEX([1]Calc!$E:$E, MATCH("D_vessel_m", [1]Calc!$C:$C, 0)) - $F228 + $B228)</f>
        <v>1.9112508231881167</v>
      </c>
      <c r="K228" s="2" t="str">
        <f t="shared" si="11"/>
        <v>Even Keel</v>
      </c>
    </row>
    <row r="229" spans="1:11" x14ac:dyDescent="0.6">
      <c r="A229" s="2" t="str">
        <f>IF('December_Tide_2025 (2)'!A229="","",'December_Tide_2025 (2)'!A229)</f>
        <v>2025-12-10 11:00:00</v>
      </c>
      <c r="B229" s="3">
        <f>IF('December_Tide_2025 (2)'!B229="","",'December_Tide_2025 (2)'!B229)</f>
        <v>2.5499999999999998</v>
      </c>
      <c r="C229" s="3">
        <f>IF($A229="","", INDEX([1]Calc!$E:$E, MATCH("KminusZ_m", [1]Calc!$C:$C, 0)) + $B229 - INDEX([1]Calc!$E:$E, MATCH("L_ramp_m", [1]Calc!$C:$C, 0)) * TAN(RADIANS(INDEX([1]Calc!$E:$E, MATCH("theta_max_deg", [1]Calc!$C:$C, 0)))))</f>
        <v>4.2887491768118817</v>
      </c>
      <c r="D229" s="3"/>
      <c r="E229" s="3">
        <f t="shared" si="9"/>
        <v>4.2887491768118817</v>
      </c>
      <c r="F229" s="3">
        <f t="shared" si="10"/>
        <v>4.2887491768118817</v>
      </c>
      <c r="G229" s="3">
        <f>IF($E229="","", DEGREES(ATAN((INDEX([1]Calc!$E:$E, MATCH("KminusZ_m", [1]Calc!$C:$C, 0)) - $E229 + $B229) / INDEX([1]Calc!$E:$E, MATCH("L_ramp_m", [1]Calc!$C:$C, 0)))))</f>
        <v>6.0000000000000027</v>
      </c>
      <c r="H229" s="2" t="str">
        <f>IF($E229="","", IF(AND($E229&gt;=INDEX([1]Calc!$E:$E, MATCH("min_fwd_draft_m", [1]Calc!$C:$C, 0)), $E229&lt;=INDEX([1]Calc!$E:$E, MATCH("max_fwd_draft_m", [1]Calc!$C:$C, 0)), $G229&lt;=INDEX([1]Calc!$E:$E, MATCH("theta_max_deg", [1]Calc!$C:$C, 0))), "OK", "CHECK"))</f>
        <v>CHECK</v>
      </c>
      <c r="I229" s="3">
        <f>IF($E229="","", INDEX([1]Calc!$E:$E, MATCH("D_vessel_m", [1]Calc!$C:$C, 0)) - $E229 + $B229)</f>
        <v>1.911250823188118</v>
      </c>
      <c r="J229" s="3">
        <f>IF($F229="","", INDEX([1]Calc!$E:$E, MATCH("D_vessel_m", [1]Calc!$C:$C, 0)) - $F229 + $B229)</f>
        <v>1.911250823188118</v>
      </c>
      <c r="K229" s="2" t="str">
        <f t="shared" si="11"/>
        <v>Even Keel</v>
      </c>
    </row>
    <row r="230" spans="1:11" x14ac:dyDescent="0.6">
      <c r="A230" s="2" t="str">
        <f>IF('December_Tide_2025 (2)'!A230="","",'December_Tide_2025 (2)'!A230)</f>
        <v>2025-12-10 12:00:00</v>
      </c>
      <c r="B230" s="3">
        <f>IF('December_Tide_2025 (2)'!B230="","",'December_Tide_2025 (2)'!B230)</f>
        <v>2.19</v>
      </c>
      <c r="C230" s="3">
        <f>IF($A230="","", INDEX([1]Calc!$E:$E, MATCH("KminusZ_m", [1]Calc!$C:$C, 0)) + $B230 - INDEX([1]Calc!$E:$E, MATCH("L_ramp_m", [1]Calc!$C:$C, 0)) * TAN(RADIANS(INDEX([1]Calc!$E:$E, MATCH("theta_max_deg", [1]Calc!$C:$C, 0)))))</f>
        <v>3.9287491768118818</v>
      </c>
      <c r="D230" s="3"/>
      <c r="E230" s="3">
        <f t="shared" si="9"/>
        <v>3.9287491768118818</v>
      </c>
      <c r="F230" s="3">
        <f t="shared" si="10"/>
        <v>3.9287491768118818</v>
      </c>
      <c r="G230" s="3">
        <f>IF($E230="","", DEGREES(ATAN((INDEX([1]Calc!$E:$E, MATCH("KminusZ_m", [1]Calc!$C:$C, 0)) - $E230 + $B230) / INDEX([1]Calc!$E:$E, MATCH("L_ramp_m", [1]Calc!$C:$C, 0)))))</f>
        <v>6.0000000000000027</v>
      </c>
      <c r="H230" s="2" t="str">
        <f>IF($E230="","", IF(AND($E230&gt;=INDEX([1]Calc!$E:$E, MATCH("min_fwd_draft_m", [1]Calc!$C:$C, 0)), $E230&lt;=INDEX([1]Calc!$E:$E, MATCH("max_fwd_draft_m", [1]Calc!$C:$C, 0)), $G230&lt;=INDEX([1]Calc!$E:$E, MATCH("theta_max_deg", [1]Calc!$C:$C, 0))), "OK", "CHECK"))</f>
        <v>CHECK</v>
      </c>
      <c r="I230" s="3">
        <f>IF($E230="","", INDEX([1]Calc!$E:$E, MATCH("D_vessel_m", [1]Calc!$C:$C, 0)) - $E230 + $B230)</f>
        <v>1.911250823188118</v>
      </c>
      <c r="J230" s="3">
        <f>IF($F230="","", INDEX([1]Calc!$E:$E, MATCH("D_vessel_m", [1]Calc!$C:$C, 0)) - $F230 + $B230)</f>
        <v>1.911250823188118</v>
      </c>
      <c r="K230" s="2" t="str">
        <f t="shared" si="11"/>
        <v>Even Keel</v>
      </c>
    </row>
    <row r="231" spans="1:11" x14ac:dyDescent="0.6">
      <c r="A231" s="2" t="str">
        <f>IF('December_Tide_2025 (2)'!A231="","",'December_Tide_2025 (2)'!A231)</f>
        <v>2025-12-10 13:00:00</v>
      </c>
      <c r="B231" s="3">
        <f>IF('December_Tide_2025 (2)'!B231="","",'December_Tide_2025 (2)'!B231)</f>
        <v>1.73</v>
      </c>
      <c r="C231" s="3">
        <f>IF($A231="","", INDEX([1]Calc!$E:$E, MATCH("KminusZ_m", [1]Calc!$C:$C, 0)) + $B231 - INDEX([1]Calc!$E:$E, MATCH("L_ramp_m", [1]Calc!$C:$C, 0)) * TAN(RADIANS(INDEX([1]Calc!$E:$E, MATCH("theta_max_deg", [1]Calc!$C:$C, 0)))))</f>
        <v>3.4687491768118828</v>
      </c>
      <c r="D231" s="3"/>
      <c r="E231" s="3">
        <f t="shared" si="9"/>
        <v>3.4687491768118828</v>
      </c>
      <c r="F231" s="3">
        <f t="shared" si="10"/>
        <v>3.4687491768118828</v>
      </c>
      <c r="G231" s="3">
        <f>IF($E231="","", DEGREES(ATAN((INDEX([1]Calc!$E:$E, MATCH("KminusZ_m", [1]Calc!$C:$C, 0)) - $E231 + $B231) / INDEX([1]Calc!$E:$E, MATCH("L_ramp_m", [1]Calc!$C:$C, 0)))))</f>
        <v>5.9999999999999982</v>
      </c>
      <c r="H231" s="2" t="str">
        <f>IF($E231="","", IF(AND($E231&gt;=INDEX([1]Calc!$E:$E, MATCH("min_fwd_draft_m", [1]Calc!$C:$C, 0)), $E231&lt;=INDEX([1]Calc!$E:$E, MATCH("max_fwd_draft_m", [1]Calc!$C:$C, 0)), $G231&lt;=INDEX([1]Calc!$E:$E, MATCH("theta_max_deg", [1]Calc!$C:$C, 0))), "OK", "CHECK"))</f>
        <v>OK</v>
      </c>
      <c r="I231" s="3">
        <f>IF($E231="","", INDEX([1]Calc!$E:$E, MATCH("D_vessel_m", [1]Calc!$C:$C, 0)) - $E231 + $B231)</f>
        <v>1.9112508231881171</v>
      </c>
      <c r="J231" s="3">
        <f>IF($F231="","", INDEX([1]Calc!$E:$E, MATCH("D_vessel_m", [1]Calc!$C:$C, 0)) - $F231 + $B231)</f>
        <v>1.9112508231881171</v>
      </c>
      <c r="K231" s="2" t="str">
        <f t="shared" si="11"/>
        <v>Even Keel</v>
      </c>
    </row>
    <row r="232" spans="1:11" x14ac:dyDescent="0.6">
      <c r="A232" s="2" t="str">
        <f>IF('December_Tide_2025 (2)'!A232="","",'December_Tide_2025 (2)'!A232)</f>
        <v>2025-12-10 14:00:00</v>
      </c>
      <c r="B232" s="3">
        <f>IF('December_Tide_2025 (2)'!B232="","",'December_Tide_2025 (2)'!B232)</f>
        <v>1.28</v>
      </c>
      <c r="C232" s="3">
        <f>IF($A232="","", INDEX([1]Calc!$E:$E, MATCH("KminusZ_m", [1]Calc!$C:$C, 0)) + $B232 - INDEX([1]Calc!$E:$E, MATCH("L_ramp_m", [1]Calc!$C:$C, 0)) * TAN(RADIANS(INDEX([1]Calc!$E:$E, MATCH("theta_max_deg", [1]Calc!$C:$C, 0)))))</f>
        <v>3.0187491768118826</v>
      </c>
      <c r="D232" s="3"/>
      <c r="E232" s="3">
        <f t="shared" si="9"/>
        <v>3.0187491768118826</v>
      </c>
      <c r="F232" s="3">
        <f t="shared" si="10"/>
        <v>3.0187491768118826</v>
      </c>
      <c r="G232" s="3">
        <f>IF($E232="","", DEGREES(ATAN((INDEX([1]Calc!$E:$E, MATCH("KminusZ_m", [1]Calc!$C:$C, 0)) - $E232 + $B232) / INDEX([1]Calc!$E:$E, MATCH("L_ramp_m", [1]Calc!$C:$C, 0)))))</f>
        <v>6</v>
      </c>
      <c r="H232" s="2" t="str">
        <f>IF($E232="","", IF(AND($E232&gt;=INDEX([1]Calc!$E:$E, MATCH("min_fwd_draft_m", [1]Calc!$C:$C, 0)), $E232&lt;=INDEX([1]Calc!$E:$E, MATCH("max_fwd_draft_m", [1]Calc!$C:$C, 0)), $G232&lt;=INDEX([1]Calc!$E:$E, MATCH("theta_max_deg", [1]Calc!$C:$C, 0))), "OK", "CHECK"))</f>
        <v>OK</v>
      </c>
      <c r="I232" s="3">
        <f>IF($E232="","", INDEX([1]Calc!$E:$E, MATCH("D_vessel_m", [1]Calc!$C:$C, 0)) - $E232 + $B232)</f>
        <v>1.9112508231881173</v>
      </c>
      <c r="J232" s="3">
        <f>IF($F232="","", INDEX([1]Calc!$E:$E, MATCH("D_vessel_m", [1]Calc!$C:$C, 0)) - $F232 + $B232)</f>
        <v>1.9112508231881173</v>
      </c>
      <c r="K232" s="2" t="str">
        <f t="shared" si="11"/>
        <v>Even Keel</v>
      </c>
    </row>
    <row r="233" spans="1:11" x14ac:dyDescent="0.6">
      <c r="A233" s="2" t="str">
        <f>IF('December_Tide_2025 (2)'!A233="","",'December_Tide_2025 (2)'!A233)</f>
        <v>2025-12-10 15:00:00</v>
      </c>
      <c r="B233" s="3">
        <f>IF('December_Tide_2025 (2)'!B233="","",'December_Tide_2025 (2)'!B233)</f>
        <v>0.97</v>
      </c>
      <c r="C233" s="3">
        <f>IF($A233="","", INDEX([1]Calc!$E:$E, MATCH("KminusZ_m", [1]Calc!$C:$C, 0)) + $B233 - INDEX([1]Calc!$E:$E, MATCH("L_ramp_m", [1]Calc!$C:$C, 0)) * TAN(RADIANS(INDEX([1]Calc!$E:$E, MATCH("theta_max_deg", [1]Calc!$C:$C, 0)))))</f>
        <v>2.7087491768118821</v>
      </c>
      <c r="D233" s="3"/>
      <c r="E233" s="3">
        <f t="shared" si="9"/>
        <v>2.7087491768118821</v>
      </c>
      <c r="F233" s="3">
        <f t="shared" si="10"/>
        <v>2.7087491768118821</v>
      </c>
      <c r="G233" s="3">
        <f>IF($E233="","", DEGREES(ATAN((INDEX([1]Calc!$E:$E, MATCH("KminusZ_m", [1]Calc!$C:$C, 0)) - $E233 + $B233) / INDEX([1]Calc!$E:$E, MATCH("L_ramp_m", [1]Calc!$C:$C, 0)))))</f>
        <v>6.0000000000000009</v>
      </c>
      <c r="H233" s="2" t="str">
        <f>IF($E233="","", IF(AND($E233&gt;=INDEX([1]Calc!$E:$E, MATCH("min_fwd_draft_m", [1]Calc!$C:$C, 0)), $E233&lt;=INDEX([1]Calc!$E:$E, MATCH("max_fwd_draft_m", [1]Calc!$C:$C, 0)), $G233&lt;=INDEX([1]Calc!$E:$E, MATCH("theta_max_deg", [1]Calc!$C:$C, 0))), "OK", "CHECK"))</f>
        <v>OK</v>
      </c>
      <c r="I233" s="3">
        <f>IF($E233="","", INDEX([1]Calc!$E:$E, MATCH("D_vessel_m", [1]Calc!$C:$C, 0)) - $E233 + $B233)</f>
        <v>1.9112508231881178</v>
      </c>
      <c r="J233" s="3">
        <f>IF($F233="","", INDEX([1]Calc!$E:$E, MATCH("D_vessel_m", [1]Calc!$C:$C, 0)) - $F233 + $B233)</f>
        <v>1.9112508231881178</v>
      </c>
      <c r="K233" s="2" t="str">
        <f t="shared" si="11"/>
        <v>Even Keel</v>
      </c>
    </row>
    <row r="234" spans="1:11" x14ac:dyDescent="0.6">
      <c r="A234" s="2" t="str">
        <f>IF('December_Tide_2025 (2)'!A234="","",'December_Tide_2025 (2)'!A234)</f>
        <v>2025-12-10 16:00:00</v>
      </c>
      <c r="B234" s="3">
        <f>IF('December_Tide_2025 (2)'!B234="","",'December_Tide_2025 (2)'!B234)</f>
        <v>0.86</v>
      </c>
      <c r="C234" s="3">
        <f>IF($A234="","", INDEX([1]Calc!$E:$E, MATCH("KminusZ_m", [1]Calc!$C:$C, 0)) + $B234 - INDEX([1]Calc!$E:$E, MATCH("L_ramp_m", [1]Calc!$C:$C, 0)) * TAN(RADIANS(INDEX([1]Calc!$E:$E, MATCH("theta_max_deg", [1]Calc!$C:$C, 0)))))</f>
        <v>2.5987491768118822</v>
      </c>
      <c r="D234" s="3"/>
      <c r="E234" s="3">
        <f t="shared" si="9"/>
        <v>2.5987491768118822</v>
      </c>
      <c r="F234" s="3">
        <f t="shared" si="10"/>
        <v>2.5987491768118822</v>
      </c>
      <c r="G234" s="3">
        <f>IF($E234="","", DEGREES(ATAN((INDEX([1]Calc!$E:$E, MATCH("KminusZ_m", [1]Calc!$C:$C, 0)) - $E234 + $B234) / INDEX([1]Calc!$E:$E, MATCH("L_ramp_m", [1]Calc!$C:$C, 0)))))</f>
        <v>6.0000000000000009</v>
      </c>
      <c r="H234" s="2" t="str">
        <f>IF($E234="","", IF(AND($E234&gt;=INDEX([1]Calc!$E:$E, MATCH("min_fwd_draft_m", [1]Calc!$C:$C, 0)), $E234&lt;=INDEX([1]Calc!$E:$E, MATCH("max_fwd_draft_m", [1]Calc!$C:$C, 0)), $G234&lt;=INDEX([1]Calc!$E:$E, MATCH("theta_max_deg", [1]Calc!$C:$C, 0))), "OK", "CHECK"))</f>
        <v>OK</v>
      </c>
      <c r="I234" s="3">
        <f>IF($E234="","", INDEX([1]Calc!$E:$E, MATCH("D_vessel_m", [1]Calc!$C:$C, 0)) - $E234 + $B234)</f>
        <v>1.9112508231881176</v>
      </c>
      <c r="J234" s="3">
        <f>IF($F234="","", INDEX([1]Calc!$E:$E, MATCH("D_vessel_m", [1]Calc!$C:$C, 0)) - $F234 + $B234)</f>
        <v>1.9112508231881176</v>
      </c>
      <c r="K234" s="2" t="str">
        <f t="shared" si="11"/>
        <v>Even Keel</v>
      </c>
    </row>
    <row r="235" spans="1:11" x14ac:dyDescent="0.6">
      <c r="A235" s="2" t="str">
        <f>IF('December_Tide_2025 (2)'!A235="","",'December_Tide_2025 (2)'!A235)</f>
        <v>2025-12-10 17:00:00</v>
      </c>
      <c r="B235" s="3">
        <f>IF('December_Tide_2025 (2)'!B235="","",'December_Tide_2025 (2)'!B235)</f>
        <v>0.99</v>
      </c>
      <c r="C235" s="3">
        <f>IF($A235="","", INDEX([1]Calc!$E:$E, MATCH("KminusZ_m", [1]Calc!$C:$C, 0)) + $B235 - INDEX([1]Calc!$E:$E, MATCH("L_ramp_m", [1]Calc!$C:$C, 0)) * TAN(RADIANS(INDEX([1]Calc!$E:$E, MATCH("theta_max_deg", [1]Calc!$C:$C, 0)))))</f>
        <v>2.7287491768118826</v>
      </c>
      <c r="D235" s="3"/>
      <c r="E235" s="3">
        <f t="shared" si="9"/>
        <v>2.7287491768118826</v>
      </c>
      <c r="F235" s="3">
        <f t="shared" si="10"/>
        <v>2.7287491768118826</v>
      </c>
      <c r="G235" s="3">
        <f>IF($E235="","", DEGREES(ATAN((INDEX([1]Calc!$E:$E, MATCH("KminusZ_m", [1]Calc!$C:$C, 0)) - $E235 + $B235) / INDEX([1]Calc!$E:$E, MATCH("L_ramp_m", [1]Calc!$C:$C, 0)))))</f>
        <v>6</v>
      </c>
      <c r="H235" s="2" t="str">
        <f>IF($E235="","", IF(AND($E235&gt;=INDEX([1]Calc!$E:$E, MATCH("min_fwd_draft_m", [1]Calc!$C:$C, 0)), $E235&lt;=INDEX([1]Calc!$E:$E, MATCH("max_fwd_draft_m", [1]Calc!$C:$C, 0)), $G235&lt;=INDEX([1]Calc!$E:$E, MATCH("theta_max_deg", [1]Calc!$C:$C, 0))), "OK", "CHECK"))</f>
        <v>OK</v>
      </c>
      <c r="I235" s="3">
        <f>IF($E235="","", INDEX([1]Calc!$E:$E, MATCH("D_vessel_m", [1]Calc!$C:$C, 0)) - $E235 + $B235)</f>
        <v>1.9112508231881173</v>
      </c>
      <c r="J235" s="3">
        <f>IF($F235="","", INDEX([1]Calc!$E:$E, MATCH("D_vessel_m", [1]Calc!$C:$C, 0)) - $F235 + $B235)</f>
        <v>1.9112508231881173</v>
      </c>
      <c r="K235" s="2" t="str">
        <f t="shared" si="11"/>
        <v>Even Keel</v>
      </c>
    </row>
    <row r="236" spans="1:11" x14ac:dyDescent="0.6">
      <c r="A236" s="2" t="str">
        <f>IF('December_Tide_2025 (2)'!A236="","",'December_Tide_2025 (2)'!A236)</f>
        <v>2025-12-10 18:00:00</v>
      </c>
      <c r="B236" s="3">
        <f>IF('December_Tide_2025 (2)'!B236="","",'December_Tide_2025 (2)'!B236)</f>
        <v>1.33</v>
      </c>
      <c r="C236" s="3">
        <f>IF($A236="","", INDEX([1]Calc!$E:$E, MATCH("KminusZ_m", [1]Calc!$C:$C, 0)) + $B236 - INDEX([1]Calc!$E:$E, MATCH("L_ramp_m", [1]Calc!$C:$C, 0)) * TAN(RADIANS(INDEX([1]Calc!$E:$E, MATCH("theta_max_deg", [1]Calc!$C:$C, 0)))))</f>
        <v>3.0687491768118824</v>
      </c>
      <c r="D236" s="3"/>
      <c r="E236" s="3">
        <f t="shared" si="9"/>
        <v>3.0687491768118824</v>
      </c>
      <c r="F236" s="3">
        <f t="shared" si="10"/>
        <v>3.0687491768118824</v>
      </c>
      <c r="G236" s="3">
        <f>IF($E236="","", DEGREES(ATAN((INDEX([1]Calc!$E:$E, MATCH("KminusZ_m", [1]Calc!$C:$C, 0)) - $E236 + $B236) / INDEX([1]Calc!$E:$E, MATCH("L_ramp_m", [1]Calc!$C:$C, 0)))))</f>
        <v>6.0000000000000009</v>
      </c>
      <c r="H236" s="2" t="str">
        <f>IF($E236="","", IF(AND($E236&gt;=INDEX([1]Calc!$E:$E, MATCH("min_fwd_draft_m", [1]Calc!$C:$C, 0)), $E236&lt;=INDEX([1]Calc!$E:$E, MATCH("max_fwd_draft_m", [1]Calc!$C:$C, 0)), $G236&lt;=INDEX([1]Calc!$E:$E, MATCH("theta_max_deg", [1]Calc!$C:$C, 0))), "OK", "CHECK"))</f>
        <v>OK</v>
      </c>
      <c r="I236" s="3">
        <f>IF($E236="","", INDEX([1]Calc!$E:$E, MATCH("D_vessel_m", [1]Calc!$C:$C, 0)) - $E236 + $B236)</f>
        <v>1.9112508231881176</v>
      </c>
      <c r="J236" s="3">
        <f>IF($F236="","", INDEX([1]Calc!$E:$E, MATCH("D_vessel_m", [1]Calc!$C:$C, 0)) - $F236 + $B236)</f>
        <v>1.9112508231881176</v>
      </c>
      <c r="K236" s="2" t="str">
        <f t="shared" si="11"/>
        <v>Even Keel</v>
      </c>
    </row>
    <row r="237" spans="1:11" x14ac:dyDescent="0.6">
      <c r="A237" s="2" t="str">
        <f>IF('December_Tide_2025 (2)'!A237="","",'December_Tide_2025 (2)'!A237)</f>
        <v>2025-12-10 19:00:00</v>
      </c>
      <c r="B237" s="3">
        <f>IF('December_Tide_2025 (2)'!B237="","",'December_Tide_2025 (2)'!B237)</f>
        <v>1.78</v>
      </c>
      <c r="C237" s="3">
        <f>IF($A237="","", INDEX([1]Calc!$E:$E, MATCH("KminusZ_m", [1]Calc!$C:$C, 0)) + $B237 - INDEX([1]Calc!$E:$E, MATCH("L_ramp_m", [1]Calc!$C:$C, 0)) * TAN(RADIANS(INDEX([1]Calc!$E:$E, MATCH("theta_max_deg", [1]Calc!$C:$C, 0)))))</f>
        <v>3.5187491768118826</v>
      </c>
      <c r="D237" s="3"/>
      <c r="E237" s="3">
        <f t="shared" si="9"/>
        <v>3.5187491768118826</v>
      </c>
      <c r="F237" s="3">
        <f t="shared" si="10"/>
        <v>3.5187491768118826</v>
      </c>
      <c r="G237" s="3">
        <f>IF($E237="","", DEGREES(ATAN((INDEX([1]Calc!$E:$E, MATCH("KminusZ_m", [1]Calc!$C:$C, 0)) - $E237 + $B237) / INDEX([1]Calc!$E:$E, MATCH("L_ramp_m", [1]Calc!$C:$C, 0)))))</f>
        <v>6</v>
      </c>
      <c r="H237" s="2" t="str">
        <f>IF($E237="","", IF(AND($E237&gt;=INDEX([1]Calc!$E:$E, MATCH("min_fwd_draft_m", [1]Calc!$C:$C, 0)), $E237&lt;=INDEX([1]Calc!$E:$E, MATCH("max_fwd_draft_m", [1]Calc!$C:$C, 0)), $G237&lt;=INDEX([1]Calc!$E:$E, MATCH("theta_max_deg", [1]Calc!$C:$C, 0))), "OK", "CHECK"))</f>
        <v>CHECK</v>
      </c>
      <c r="I237" s="3">
        <f>IF($E237="","", INDEX([1]Calc!$E:$E, MATCH("D_vessel_m", [1]Calc!$C:$C, 0)) - $E237 + $B237)</f>
        <v>1.9112508231881173</v>
      </c>
      <c r="J237" s="3">
        <f>IF($F237="","", INDEX([1]Calc!$E:$E, MATCH("D_vessel_m", [1]Calc!$C:$C, 0)) - $F237 + $B237)</f>
        <v>1.9112508231881173</v>
      </c>
      <c r="K237" s="2" t="str">
        <f t="shared" si="11"/>
        <v>Even Keel</v>
      </c>
    </row>
    <row r="238" spans="1:11" x14ac:dyDescent="0.6">
      <c r="A238" s="2" t="str">
        <f>IF('December_Tide_2025 (2)'!A238="","",'December_Tide_2025 (2)'!A238)</f>
        <v>2025-12-10 20:00:00</v>
      </c>
      <c r="B238" s="3">
        <f>IF('December_Tide_2025 (2)'!B238="","",'December_Tide_2025 (2)'!B238)</f>
        <v>2.2400000000000002</v>
      </c>
      <c r="C238" s="3">
        <f>IF($A238="","", INDEX([1]Calc!$E:$E, MATCH("KminusZ_m", [1]Calc!$C:$C, 0)) + $B238 - INDEX([1]Calc!$E:$E, MATCH("L_ramp_m", [1]Calc!$C:$C, 0)) * TAN(RADIANS(INDEX([1]Calc!$E:$E, MATCH("theta_max_deg", [1]Calc!$C:$C, 0)))))</f>
        <v>3.9787491768118826</v>
      </c>
      <c r="D238" s="3"/>
      <c r="E238" s="3">
        <f t="shared" si="9"/>
        <v>3.9787491768118826</v>
      </c>
      <c r="F238" s="3">
        <f t="shared" si="10"/>
        <v>3.9787491768118826</v>
      </c>
      <c r="G238" s="3">
        <f>IF($E238="","", DEGREES(ATAN((INDEX([1]Calc!$E:$E, MATCH("KminusZ_m", [1]Calc!$C:$C, 0)) - $E238 + $B238) / INDEX([1]Calc!$E:$E, MATCH("L_ramp_m", [1]Calc!$C:$C, 0)))))</f>
        <v>6.0000000000000009</v>
      </c>
      <c r="H238" s="2" t="str">
        <f>IF($E238="","", IF(AND($E238&gt;=INDEX([1]Calc!$E:$E, MATCH("min_fwd_draft_m", [1]Calc!$C:$C, 0)), $E238&lt;=INDEX([1]Calc!$E:$E, MATCH("max_fwd_draft_m", [1]Calc!$C:$C, 0)), $G238&lt;=INDEX([1]Calc!$E:$E, MATCH("theta_max_deg", [1]Calc!$C:$C, 0))), "OK", "CHECK"))</f>
        <v>CHECK</v>
      </c>
      <c r="I238" s="3">
        <f>IF($E238="","", INDEX([1]Calc!$E:$E, MATCH("D_vessel_m", [1]Calc!$C:$C, 0)) - $E238 + $B238)</f>
        <v>1.9112508231881176</v>
      </c>
      <c r="J238" s="3">
        <f>IF($F238="","", INDEX([1]Calc!$E:$E, MATCH("D_vessel_m", [1]Calc!$C:$C, 0)) - $F238 + $B238)</f>
        <v>1.9112508231881176</v>
      </c>
      <c r="K238" s="2" t="str">
        <f t="shared" si="11"/>
        <v>Even Keel</v>
      </c>
    </row>
    <row r="239" spans="1:11" x14ac:dyDescent="0.6">
      <c r="A239" s="2" t="str">
        <f>IF('December_Tide_2025 (2)'!A239="","",'December_Tide_2025 (2)'!A239)</f>
        <v>2025-12-10 21:00:00</v>
      </c>
      <c r="B239" s="3">
        <f>IF('December_Tide_2025 (2)'!B239="","",'December_Tide_2025 (2)'!B239)</f>
        <v>2.58</v>
      </c>
      <c r="C239" s="3">
        <f>IF($A239="","", INDEX([1]Calc!$E:$E, MATCH("KminusZ_m", [1]Calc!$C:$C, 0)) + $B239 - INDEX([1]Calc!$E:$E, MATCH("L_ramp_m", [1]Calc!$C:$C, 0)) * TAN(RADIANS(INDEX([1]Calc!$E:$E, MATCH("theta_max_deg", [1]Calc!$C:$C, 0)))))</f>
        <v>4.3187491768118829</v>
      </c>
      <c r="D239" s="3"/>
      <c r="E239" s="3">
        <f t="shared" si="9"/>
        <v>4.3187491768118829</v>
      </c>
      <c r="F239" s="3">
        <f t="shared" si="10"/>
        <v>4.3187491768118829</v>
      </c>
      <c r="G239" s="3">
        <f>IF($E239="","", DEGREES(ATAN((INDEX([1]Calc!$E:$E, MATCH("KminusZ_m", [1]Calc!$C:$C, 0)) - $E239 + $B239) / INDEX([1]Calc!$E:$E, MATCH("L_ramp_m", [1]Calc!$C:$C, 0)))))</f>
        <v>5.9999999999999982</v>
      </c>
      <c r="H239" s="2" t="str">
        <f>IF($E239="","", IF(AND($E239&gt;=INDEX([1]Calc!$E:$E, MATCH("min_fwd_draft_m", [1]Calc!$C:$C, 0)), $E239&lt;=INDEX([1]Calc!$E:$E, MATCH("max_fwd_draft_m", [1]Calc!$C:$C, 0)), $G239&lt;=INDEX([1]Calc!$E:$E, MATCH("theta_max_deg", [1]Calc!$C:$C, 0))), "OK", "CHECK"))</f>
        <v>CHECK</v>
      </c>
      <c r="I239" s="3">
        <f>IF($E239="","", INDEX([1]Calc!$E:$E, MATCH("D_vessel_m", [1]Calc!$C:$C, 0)) - $E239 + $B239)</f>
        <v>1.9112508231881171</v>
      </c>
      <c r="J239" s="3">
        <f>IF($F239="","", INDEX([1]Calc!$E:$E, MATCH("D_vessel_m", [1]Calc!$C:$C, 0)) - $F239 + $B239)</f>
        <v>1.9112508231881171</v>
      </c>
      <c r="K239" s="2" t="str">
        <f t="shared" si="11"/>
        <v>Even Keel</v>
      </c>
    </row>
    <row r="240" spans="1:11" x14ac:dyDescent="0.6">
      <c r="A240" s="2" t="str">
        <f>IF('December_Tide_2025 (2)'!A240="","",'December_Tide_2025 (2)'!A240)</f>
        <v>2025-12-10 22:00:00</v>
      </c>
      <c r="B240" s="3">
        <f>IF('December_Tide_2025 (2)'!B240="","",'December_Tide_2025 (2)'!B240)</f>
        <v>2.73</v>
      </c>
      <c r="C240" s="3">
        <f>IF($A240="","", INDEX([1]Calc!$E:$E, MATCH("KminusZ_m", [1]Calc!$C:$C, 0)) + $B240 - INDEX([1]Calc!$E:$E, MATCH("L_ramp_m", [1]Calc!$C:$C, 0)) * TAN(RADIANS(INDEX([1]Calc!$E:$E, MATCH("theta_max_deg", [1]Calc!$C:$C, 0)))))</f>
        <v>4.4687491768118832</v>
      </c>
      <c r="D240" s="3"/>
      <c r="E240" s="3">
        <f t="shared" si="9"/>
        <v>4.4687491768118832</v>
      </c>
      <c r="F240" s="3">
        <f t="shared" si="10"/>
        <v>4.4687491768118832</v>
      </c>
      <c r="G240" s="3">
        <f>IF($E240="","", DEGREES(ATAN((INDEX([1]Calc!$E:$E, MATCH("KminusZ_m", [1]Calc!$C:$C, 0)) - $E240 + $B240) / INDEX([1]Calc!$E:$E, MATCH("L_ramp_m", [1]Calc!$C:$C, 0)))))</f>
        <v>5.9999999999999964</v>
      </c>
      <c r="H240" s="2" t="str">
        <f>IF($E240="","", IF(AND($E240&gt;=INDEX([1]Calc!$E:$E, MATCH("min_fwd_draft_m", [1]Calc!$C:$C, 0)), $E240&lt;=INDEX([1]Calc!$E:$E, MATCH("max_fwd_draft_m", [1]Calc!$C:$C, 0)), $G240&lt;=INDEX([1]Calc!$E:$E, MATCH("theta_max_deg", [1]Calc!$C:$C, 0))), "OK", "CHECK"))</f>
        <v>CHECK</v>
      </c>
      <c r="I240" s="3">
        <f>IF($E240="","", INDEX([1]Calc!$E:$E, MATCH("D_vessel_m", [1]Calc!$C:$C, 0)) - $E240 + $B240)</f>
        <v>1.9112508231881167</v>
      </c>
      <c r="J240" s="3">
        <f>IF($F240="","", INDEX([1]Calc!$E:$E, MATCH("D_vessel_m", [1]Calc!$C:$C, 0)) - $F240 + $B240)</f>
        <v>1.9112508231881167</v>
      </c>
      <c r="K240" s="2" t="str">
        <f t="shared" si="11"/>
        <v>Even Keel</v>
      </c>
    </row>
    <row r="241" spans="1:11" x14ac:dyDescent="0.6">
      <c r="A241" s="2" t="str">
        <f>IF('December_Tide_2025 (2)'!A241="","",'December_Tide_2025 (2)'!A241)</f>
        <v>2025-12-10 23:00:00</v>
      </c>
      <c r="B241" s="3">
        <f>IF('December_Tide_2025 (2)'!B241="","",'December_Tide_2025 (2)'!B241)</f>
        <v>2.65</v>
      </c>
      <c r="C241" s="3">
        <f>IF($A241="","", INDEX([1]Calc!$E:$E, MATCH("KminusZ_m", [1]Calc!$C:$C, 0)) + $B241 - INDEX([1]Calc!$E:$E, MATCH("L_ramp_m", [1]Calc!$C:$C, 0)) * TAN(RADIANS(INDEX([1]Calc!$E:$E, MATCH("theta_max_deg", [1]Calc!$C:$C, 0)))))</f>
        <v>4.3887491768118831</v>
      </c>
      <c r="D241" s="3"/>
      <c r="E241" s="3">
        <f t="shared" si="9"/>
        <v>4.3887491768118831</v>
      </c>
      <c r="F241" s="3">
        <f t="shared" si="10"/>
        <v>4.3887491768118831</v>
      </c>
      <c r="G241" s="3">
        <f>IF($E241="","", DEGREES(ATAN((INDEX([1]Calc!$E:$E, MATCH("KminusZ_m", [1]Calc!$C:$C, 0)) - $E241 + $B241) / INDEX([1]Calc!$E:$E, MATCH("L_ramp_m", [1]Calc!$C:$C, 0)))))</f>
        <v>5.9999999999999964</v>
      </c>
      <c r="H241" s="2" t="str">
        <f>IF($E241="","", IF(AND($E241&gt;=INDEX([1]Calc!$E:$E, MATCH("min_fwd_draft_m", [1]Calc!$C:$C, 0)), $E241&lt;=INDEX([1]Calc!$E:$E, MATCH("max_fwd_draft_m", [1]Calc!$C:$C, 0)), $G241&lt;=INDEX([1]Calc!$E:$E, MATCH("theta_max_deg", [1]Calc!$C:$C, 0))), "OK", "CHECK"))</f>
        <v>CHECK</v>
      </c>
      <c r="I241" s="3">
        <f>IF($E241="","", INDEX([1]Calc!$E:$E, MATCH("D_vessel_m", [1]Calc!$C:$C, 0)) - $E241 + $B241)</f>
        <v>1.9112508231881167</v>
      </c>
      <c r="J241" s="3">
        <f>IF($F241="","", INDEX([1]Calc!$E:$E, MATCH("D_vessel_m", [1]Calc!$C:$C, 0)) - $F241 + $B241)</f>
        <v>1.9112508231881167</v>
      </c>
      <c r="K241" s="2" t="str">
        <f t="shared" si="11"/>
        <v>Even Keel</v>
      </c>
    </row>
    <row r="242" spans="1:11" x14ac:dyDescent="0.6">
      <c r="A242" s="2" t="str">
        <f>IF('December_Tide_2025 (2)'!A242="","",'December_Tide_2025 (2)'!A242)</f>
        <v>2025-12-11 00:00:00</v>
      </c>
      <c r="B242" s="3">
        <f>IF('December_Tide_2025 (2)'!B242="","",'December_Tide_2025 (2)'!B242)</f>
        <v>2.35</v>
      </c>
      <c r="C242" s="3">
        <f>IF($A242="","", INDEX([1]Calc!$E:$E, MATCH("KminusZ_m", [1]Calc!$C:$C, 0)) + $B242 - INDEX([1]Calc!$E:$E, MATCH("L_ramp_m", [1]Calc!$C:$C, 0)) * TAN(RADIANS(INDEX([1]Calc!$E:$E, MATCH("theta_max_deg", [1]Calc!$C:$C, 0)))))</f>
        <v>4.0887491768118824</v>
      </c>
      <c r="D242" s="3"/>
      <c r="E242" s="3">
        <f t="shared" si="9"/>
        <v>4.0887491768118824</v>
      </c>
      <c r="F242" s="3">
        <f t="shared" si="10"/>
        <v>4.0887491768118824</v>
      </c>
      <c r="G242" s="3">
        <f>IF($E242="","", DEGREES(ATAN((INDEX([1]Calc!$E:$E, MATCH("KminusZ_m", [1]Calc!$C:$C, 0)) - $E242 + $B242) / INDEX([1]Calc!$E:$E, MATCH("L_ramp_m", [1]Calc!$C:$C, 0)))))</f>
        <v>6.0000000000000009</v>
      </c>
      <c r="H242" s="2" t="str">
        <f>IF($E242="","", IF(AND($E242&gt;=INDEX([1]Calc!$E:$E, MATCH("min_fwd_draft_m", [1]Calc!$C:$C, 0)), $E242&lt;=INDEX([1]Calc!$E:$E, MATCH("max_fwd_draft_m", [1]Calc!$C:$C, 0)), $G242&lt;=INDEX([1]Calc!$E:$E, MATCH("theta_max_deg", [1]Calc!$C:$C, 0))), "OK", "CHECK"))</f>
        <v>CHECK</v>
      </c>
      <c r="I242" s="3">
        <f>IF($E242="","", INDEX([1]Calc!$E:$E, MATCH("D_vessel_m", [1]Calc!$C:$C, 0)) - $E242 + $B242)</f>
        <v>1.9112508231881176</v>
      </c>
      <c r="J242" s="3">
        <f>IF($F242="","", INDEX([1]Calc!$E:$E, MATCH("D_vessel_m", [1]Calc!$C:$C, 0)) - $F242 + $B242)</f>
        <v>1.9112508231881176</v>
      </c>
      <c r="K242" s="2" t="str">
        <f t="shared" si="11"/>
        <v>Even Keel</v>
      </c>
    </row>
    <row r="243" spans="1:11" x14ac:dyDescent="0.6">
      <c r="A243" s="2" t="str">
        <f>IF('December_Tide_2025 (2)'!A243="","",'December_Tide_2025 (2)'!A243)</f>
        <v>2025-12-11 01:00:00</v>
      </c>
      <c r="B243" s="3">
        <f>IF('December_Tide_2025 (2)'!B243="","",'December_Tide_2025 (2)'!B243)</f>
        <v>1.92</v>
      </c>
      <c r="C243" s="3">
        <f>IF($A243="","", INDEX([1]Calc!$E:$E, MATCH("KminusZ_m", [1]Calc!$C:$C, 0)) + $B243 - INDEX([1]Calc!$E:$E, MATCH("L_ramp_m", [1]Calc!$C:$C, 0)) * TAN(RADIANS(INDEX([1]Calc!$E:$E, MATCH("theta_max_deg", [1]Calc!$C:$C, 0)))))</f>
        <v>3.6587491768118823</v>
      </c>
      <c r="D243" s="3"/>
      <c r="E243" s="3">
        <f t="shared" si="9"/>
        <v>3.6587491768118823</v>
      </c>
      <c r="F243" s="3">
        <f t="shared" si="10"/>
        <v>3.6587491768118823</v>
      </c>
      <c r="G243" s="3">
        <f>IF($E243="","", DEGREES(ATAN((INDEX([1]Calc!$E:$E, MATCH("KminusZ_m", [1]Calc!$C:$C, 0)) - $E243 + $B243) / INDEX([1]Calc!$E:$E, MATCH("L_ramp_m", [1]Calc!$C:$C, 0)))))</f>
        <v>6.0000000000000009</v>
      </c>
      <c r="H243" s="2" t="str">
        <f>IF($E243="","", IF(AND($E243&gt;=INDEX([1]Calc!$E:$E, MATCH("min_fwd_draft_m", [1]Calc!$C:$C, 0)), $E243&lt;=INDEX([1]Calc!$E:$E, MATCH("max_fwd_draft_m", [1]Calc!$C:$C, 0)), $G243&lt;=INDEX([1]Calc!$E:$E, MATCH("theta_max_deg", [1]Calc!$C:$C, 0))), "OK", "CHECK"))</f>
        <v>CHECK</v>
      </c>
      <c r="I243" s="3">
        <f>IF($E243="","", INDEX([1]Calc!$E:$E, MATCH("D_vessel_m", [1]Calc!$C:$C, 0)) - $E243 + $B243)</f>
        <v>1.9112508231881176</v>
      </c>
      <c r="J243" s="3">
        <f>IF($F243="","", INDEX([1]Calc!$E:$E, MATCH("D_vessel_m", [1]Calc!$C:$C, 0)) - $F243 + $B243)</f>
        <v>1.9112508231881176</v>
      </c>
      <c r="K243" s="2" t="str">
        <f t="shared" si="11"/>
        <v>Even Keel</v>
      </c>
    </row>
    <row r="244" spans="1:11" x14ac:dyDescent="0.6">
      <c r="A244" s="2" t="str">
        <f>IF('December_Tide_2025 (2)'!A244="","",'December_Tide_2025 (2)'!A244)</f>
        <v>2025-12-11 02:00:00</v>
      </c>
      <c r="B244" s="3">
        <f>IF('December_Tide_2025 (2)'!B244="","",'December_Tide_2025 (2)'!B244)</f>
        <v>1.45</v>
      </c>
      <c r="C244" s="3">
        <f>IF($A244="","", INDEX([1]Calc!$E:$E, MATCH("KminusZ_m", [1]Calc!$C:$C, 0)) + $B244 - INDEX([1]Calc!$E:$E, MATCH("L_ramp_m", [1]Calc!$C:$C, 0)) * TAN(RADIANS(INDEX([1]Calc!$E:$E, MATCH("theta_max_deg", [1]Calc!$C:$C, 0)))))</f>
        <v>3.1887491768118825</v>
      </c>
      <c r="D244" s="3"/>
      <c r="E244" s="3">
        <f t="shared" si="9"/>
        <v>3.1887491768118825</v>
      </c>
      <c r="F244" s="3">
        <f t="shared" si="10"/>
        <v>3.1887491768118825</v>
      </c>
      <c r="G244" s="3">
        <f>IF($E244="","", DEGREES(ATAN((INDEX([1]Calc!$E:$E, MATCH("KminusZ_m", [1]Calc!$C:$C, 0)) - $E244 + $B244) / INDEX([1]Calc!$E:$E, MATCH("L_ramp_m", [1]Calc!$C:$C, 0)))))</f>
        <v>6</v>
      </c>
      <c r="H244" s="2" t="str">
        <f>IF($E244="","", IF(AND($E244&gt;=INDEX([1]Calc!$E:$E, MATCH("min_fwd_draft_m", [1]Calc!$C:$C, 0)), $E244&lt;=INDEX([1]Calc!$E:$E, MATCH("max_fwd_draft_m", [1]Calc!$C:$C, 0)), $G244&lt;=INDEX([1]Calc!$E:$E, MATCH("theta_max_deg", [1]Calc!$C:$C, 0))), "OK", "CHECK"))</f>
        <v>OK</v>
      </c>
      <c r="I244" s="3">
        <f>IF($E244="","", INDEX([1]Calc!$E:$E, MATCH("D_vessel_m", [1]Calc!$C:$C, 0)) - $E244 + $B244)</f>
        <v>1.9112508231881173</v>
      </c>
      <c r="J244" s="3">
        <f>IF($F244="","", INDEX([1]Calc!$E:$E, MATCH("D_vessel_m", [1]Calc!$C:$C, 0)) - $F244 + $B244)</f>
        <v>1.9112508231881173</v>
      </c>
      <c r="K244" s="2" t="str">
        <f t="shared" si="11"/>
        <v>Even Keel</v>
      </c>
    </row>
    <row r="245" spans="1:11" x14ac:dyDescent="0.6">
      <c r="A245" s="2" t="str">
        <f>IF('December_Tide_2025 (2)'!A245="","",'December_Tide_2025 (2)'!A245)</f>
        <v>2025-12-11 03:00:00</v>
      </c>
      <c r="B245" s="3">
        <f>IF('December_Tide_2025 (2)'!B245="","",'December_Tide_2025 (2)'!B245)</f>
        <v>1.07</v>
      </c>
      <c r="C245" s="3">
        <f>IF($A245="","", INDEX([1]Calc!$E:$E, MATCH("KminusZ_m", [1]Calc!$C:$C, 0)) + $B245 - INDEX([1]Calc!$E:$E, MATCH("L_ramp_m", [1]Calc!$C:$C, 0)) * TAN(RADIANS(INDEX([1]Calc!$E:$E, MATCH("theta_max_deg", [1]Calc!$C:$C, 0)))))</f>
        <v>2.8087491768118826</v>
      </c>
      <c r="D245" s="3"/>
      <c r="E245" s="3">
        <f t="shared" si="9"/>
        <v>2.8087491768118826</v>
      </c>
      <c r="F245" s="3">
        <f t="shared" si="10"/>
        <v>2.8087491768118826</v>
      </c>
      <c r="G245" s="3">
        <f>IF($E245="","", DEGREES(ATAN((INDEX([1]Calc!$E:$E, MATCH("KminusZ_m", [1]Calc!$C:$C, 0)) - $E245 + $B245) / INDEX([1]Calc!$E:$E, MATCH("L_ramp_m", [1]Calc!$C:$C, 0)))))</f>
        <v>6</v>
      </c>
      <c r="H245" s="2" t="str">
        <f>IF($E245="","", IF(AND($E245&gt;=INDEX([1]Calc!$E:$E, MATCH("min_fwd_draft_m", [1]Calc!$C:$C, 0)), $E245&lt;=INDEX([1]Calc!$E:$E, MATCH("max_fwd_draft_m", [1]Calc!$C:$C, 0)), $G245&lt;=INDEX([1]Calc!$E:$E, MATCH("theta_max_deg", [1]Calc!$C:$C, 0))), "OK", "CHECK"))</f>
        <v>OK</v>
      </c>
      <c r="I245" s="3">
        <f>IF($E245="","", INDEX([1]Calc!$E:$E, MATCH("D_vessel_m", [1]Calc!$C:$C, 0)) - $E245 + $B245)</f>
        <v>1.9112508231881173</v>
      </c>
      <c r="J245" s="3">
        <f>IF($F245="","", INDEX([1]Calc!$E:$E, MATCH("D_vessel_m", [1]Calc!$C:$C, 0)) - $F245 + $B245)</f>
        <v>1.9112508231881173</v>
      </c>
      <c r="K245" s="2" t="str">
        <f t="shared" si="11"/>
        <v>Even Keel</v>
      </c>
    </row>
    <row r="246" spans="1:11" x14ac:dyDescent="0.6">
      <c r="A246" s="2" t="str">
        <f>IF('December_Tide_2025 (2)'!A246="","",'December_Tide_2025 (2)'!A246)</f>
        <v>2025-12-11 04:00:00</v>
      </c>
      <c r="B246" s="3">
        <f>IF('December_Tide_2025 (2)'!B246="","",'December_Tide_2025 (2)'!B246)</f>
        <v>0.88</v>
      </c>
      <c r="C246" s="3">
        <f>IF($A246="","", INDEX([1]Calc!$E:$E, MATCH("KminusZ_m", [1]Calc!$C:$C, 0)) + $B246 - INDEX([1]Calc!$E:$E, MATCH("L_ramp_m", [1]Calc!$C:$C, 0)) * TAN(RADIANS(INDEX([1]Calc!$E:$E, MATCH("theta_max_deg", [1]Calc!$C:$C, 0)))))</f>
        <v>2.6187491768118822</v>
      </c>
      <c r="D246" s="3"/>
      <c r="E246" s="3">
        <f t="shared" si="9"/>
        <v>2.6187491768118822</v>
      </c>
      <c r="F246" s="3">
        <f t="shared" si="10"/>
        <v>2.6187491768118822</v>
      </c>
      <c r="G246" s="3">
        <f>IF($E246="","", DEGREES(ATAN((INDEX([1]Calc!$E:$E, MATCH("KminusZ_m", [1]Calc!$C:$C, 0)) - $E246 + $B246) / INDEX([1]Calc!$E:$E, MATCH("L_ramp_m", [1]Calc!$C:$C, 0)))))</f>
        <v>6.0000000000000009</v>
      </c>
      <c r="H246" s="2" t="str">
        <f>IF($E246="","", IF(AND($E246&gt;=INDEX([1]Calc!$E:$E, MATCH("min_fwd_draft_m", [1]Calc!$C:$C, 0)), $E246&lt;=INDEX([1]Calc!$E:$E, MATCH("max_fwd_draft_m", [1]Calc!$C:$C, 0)), $G246&lt;=INDEX([1]Calc!$E:$E, MATCH("theta_max_deg", [1]Calc!$C:$C, 0))), "OK", "CHECK"))</f>
        <v>OK</v>
      </c>
      <c r="I246" s="3">
        <f>IF($E246="","", INDEX([1]Calc!$E:$E, MATCH("D_vessel_m", [1]Calc!$C:$C, 0)) - $E246 + $B246)</f>
        <v>1.9112508231881176</v>
      </c>
      <c r="J246" s="3">
        <f>IF($F246="","", INDEX([1]Calc!$E:$E, MATCH("D_vessel_m", [1]Calc!$C:$C, 0)) - $F246 + $B246)</f>
        <v>1.9112508231881176</v>
      </c>
      <c r="K246" s="2" t="str">
        <f t="shared" si="11"/>
        <v>Even Keel</v>
      </c>
    </row>
    <row r="247" spans="1:11" x14ac:dyDescent="0.6">
      <c r="A247" s="2" t="str">
        <f>IF('December_Tide_2025 (2)'!A247="","",'December_Tide_2025 (2)'!A247)</f>
        <v>2025-12-11 05:00:00</v>
      </c>
      <c r="B247" s="3">
        <f>IF('December_Tide_2025 (2)'!B247="","",'December_Tide_2025 (2)'!B247)</f>
        <v>0.91</v>
      </c>
      <c r="C247" s="3">
        <f>IF($A247="","", INDEX([1]Calc!$E:$E, MATCH("KminusZ_m", [1]Calc!$C:$C, 0)) + $B247 - INDEX([1]Calc!$E:$E, MATCH("L_ramp_m", [1]Calc!$C:$C, 0)) * TAN(RADIANS(INDEX([1]Calc!$E:$E, MATCH("theta_max_deg", [1]Calc!$C:$C, 0)))))</f>
        <v>2.6487491768118825</v>
      </c>
      <c r="D247" s="3"/>
      <c r="E247" s="3">
        <f t="shared" si="9"/>
        <v>2.6487491768118825</v>
      </c>
      <c r="F247" s="3">
        <f t="shared" si="10"/>
        <v>2.6487491768118825</v>
      </c>
      <c r="G247" s="3">
        <f>IF($E247="","", DEGREES(ATAN((INDEX([1]Calc!$E:$E, MATCH("KminusZ_m", [1]Calc!$C:$C, 0)) - $E247 + $B247) / INDEX([1]Calc!$E:$E, MATCH("L_ramp_m", [1]Calc!$C:$C, 0)))))</f>
        <v>6.0000000000000009</v>
      </c>
      <c r="H247" s="2" t="str">
        <f>IF($E247="","", IF(AND($E247&gt;=INDEX([1]Calc!$E:$E, MATCH("min_fwd_draft_m", [1]Calc!$C:$C, 0)), $E247&lt;=INDEX([1]Calc!$E:$E, MATCH("max_fwd_draft_m", [1]Calc!$C:$C, 0)), $G247&lt;=INDEX([1]Calc!$E:$E, MATCH("theta_max_deg", [1]Calc!$C:$C, 0))), "OK", "CHECK"))</f>
        <v>OK</v>
      </c>
      <c r="I247" s="3">
        <f>IF($E247="","", INDEX([1]Calc!$E:$E, MATCH("D_vessel_m", [1]Calc!$C:$C, 0)) - $E247 + $B247)</f>
        <v>1.9112508231881176</v>
      </c>
      <c r="J247" s="3">
        <f>IF($F247="","", INDEX([1]Calc!$E:$E, MATCH("D_vessel_m", [1]Calc!$C:$C, 0)) - $F247 + $B247)</f>
        <v>1.9112508231881176</v>
      </c>
      <c r="K247" s="2" t="str">
        <f t="shared" si="11"/>
        <v>Even Keel</v>
      </c>
    </row>
    <row r="248" spans="1:11" x14ac:dyDescent="0.6">
      <c r="A248" s="2" t="str">
        <f>IF('December_Tide_2025 (2)'!A248="","",'December_Tide_2025 (2)'!A248)</f>
        <v>2025-12-11 06:00:00</v>
      </c>
      <c r="B248" s="3">
        <f>IF('December_Tide_2025 (2)'!B248="","",'December_Tide_2025 (2)'!B248)</f>
        <v>1.17</v>
      </c>
      <c r="C248" s="3">
        <f>IF($A248="","", INDEX([1]Calc!$E:$E, MATCH("KminusZ_m", [1]Calc!$C:$C, 0)) + $B248 - INDEX([1]Calc!$E:$E, MATCH("L_ramp_m", [1]Calc!$C:$C, 0)) * TAN(RADIANS(INDEX([1]Calc!$E:$E, MATCH("theta_max_deg", [1]Calc!$C:$C, 0)))))</f>
        <v>2.9087491768118823</v>
      </c>
      <c r="D248" s="3"/>
      <c r="E248" s="3">
        <f t="shared" si="9"/>
        <v>2.9087491768118823</v>
      </c>
      <c r="F248" s="3">
        <f t="shared" si="10"/>
        <v>2.9087491768118823</v>
      </c>
      <c r="G248" s="3">
        <f>IF($E248="","", DEGREES(ATAN((INDEX([1]Calc!$E:$E, MATCH("KminusZ_m", [1]Calc!$C:$C, 0)) - $E248 + $B248) / INDEX([1]Calc!$E:$E, MATCH("L_ramp_m", [1]Calc!$C:$C, 0)))))</f>
        <v>6.0000000000000009</v>
      </c>
      <c r="H248" s="2" t="str">
        <f>IF($E248="","", IF(AND($E248&gt;=INDEX([1]Calc!$E:$E, MATCH("min_fwd_draft_m", [1]Calc!$C:$C, 0)), $E248&lt;=INDEX([1]Calc!$E:$E, MATCH("max_fwd_draft_m", [1]Calc!$C:$C, 0)), $G248&lt;=INDEX([1]Calc!$E:$E, MATCH("theta_max_deg", [1]Calc!$C:$C, 0))), "OK", "CHECK"))</f>
        <v>OK</v>
      </c>
      <c r="I248" s="3">
        <f>IF($E248="","", INDEX([1]Calc!$E:$E, MATCH("D_vessel_m", [1]Calc!$C:$C, 0)) - $E248 + $B248)</f>
        <v>1.9112508231881176</v>
      </c>
      <c r="J248" s="3">
        <f>IF($F248="","", INDEX([1]Calc!$E:$E, MATCH("D_vessel_m", [1]Calc!$C:$C, 0)) - $F248 + $B248)</f>
        <v>1.9112508231881176</v>
      </c>
      <c r="K248" s="2" t="str">
        <f t="shared" si="11"/>
        <v>Even Keel</v>
      </c>
    </row>
    <row r="249" spans="1:11" x14ac:dyDescent="0.6">
      <c r="A249" s="2" t="str">
        <f>IF('December_Tide_2025 (2)'!A249="","",'December_Tide_2025 (2)'!A249)</f>
        <v>2025-12-11 07:00:00</v>
      </c>
      <c r="B249" s="3">
        <f>IF('December_Tide_2025 (2)'!B249="","",'December_Tide_2025 (2)'!B249)</f>
        <v>1.59</v>
      </c>
      <c r="C249" s="3">
        <f>IF($A249="","", INDEX([1]Calc!$E:$E, MATCH("KminusZ_m", [1]Calc!$C:$C, 0)) + $B249 - INDEX([1]Calc!$E:$E, MATCH("L_ramp_m", [1]Calc!$C:$C, 0)) * TAN(RADIANS(INDEX([1]Calc!$E:$E, MATCH("theta_max_deg", [1]Calc!$C:$C, 0)))))</f>
        <v>3.3287491768118822</v>
      </c>
      <c r="D249" s="3"/>
      <c r="E249" s="3">
        <f t="shared" si="9"/>
        <v>3.3287491768118822</v>
      </c>
      <c r="F249" s="3">
        <f t="shared" si="10"/>
        <v>3.3287491768118822</v>
      </c>
      <c r="G249" s="3">
        <f>IF($E249="","", DEGREES(ATAN((INDEX([1]Calc!$E:$E, MATCH("KminusZ_m", [1]Calc!$C:$C, 0)) - $E249 + $B249) / INDEX([1]Calc!$E:$E, MATCH("L_ramp_m", [1]Calc!$C:$C, 0)))))</f>
        <v>6.0000000000000009</v>
      </c>
      <c r="H249" s="2" t="str">
        <f>IF($E249="","", IF(AND($E249&gt;=INDEX([1]Calc!$E:$E, MATCH("min_fwd_draft_m", [1]Calc!$C:$C, 0)), $E249&lt;=INDEX([1]Calc!$E:$E, MATCH("max_fwd_draft_m", [1]Calc!$C:$C, 0)), $G249&lt;=INDEX([1]Calc!$E:$E, MATCH("theta_max_deg", [1]Calc!$C:$C, 0))), "OK", "CHECK"))</f>
        <v>OK</v>
      </c>
      <c r="I249" s="3">
        <f>IF($E249="","", INDEX([1]Calc!$E:$E, MATCH("D_vessel_m", [1]Calc!$C:$C, 0)) - $E249 + $B249)</f>
        <v>1.9112508231881178</v>
      </c>
      <c r="J249" s="3">
        <f>IF($F249="","", INDEX([1]Calc!$E:$E, MATCH("D_vessel_m", [1]Calc!$C:$C, 0)) - $F249 + $B249)</f>
        <v>1.9112508231881178</v>
      </c>
      <c r="K249" s="2" t="str">
        <f t="shared" si="11"/>
        <v>Even Keel</v>
      </c>
    </row>
    <row r="250" spans="1:11" x14ac:dyDescent="0.6">
      <c r="A250" s="2" t="str">
        <f>IF('December_Tide_2025 (2)'!A250="","",'December_Tide_2025 (2)'!A250)</f>
        <v>2025-12-11 08:00:00</v>
      </c>
      <c r="B250" s="3">
        <f>IF('December_Tide_2025 (2)'!B250="","",'December_Tide_2025 (2)'!B250)</f>
        <v>2.06</v>
      </c>
      <c r="C250" s="3">
        <f>IF($A250="","", INDEX([1]Calc!$E:$E, MATCH("KminusZ_m", [1]Calc!$C:$C, 0)) + $B250 - INDEX([1]Calc!$E:$E, MATCH("L_ramp_m", [1]Calc!$C:$C, 0)) * TAN(RADIANS(INDEX([1]Calc!$E:$E, MATCH("theta_max_deg", [1]Calc!$C:$C, 0)))))</f>
        <v>3.7987491768118828</v>
      </c>
      <c r="D250" s="3"/>
      <c r="E250" s="3">
        <f t="shared" si="9"/>
        <v>3.7987491768118828</v>
      </c>
      <c r="F250" s="3">
        <f t="shared" si="10"/>
        <v>3.7987491768118828</v>
      </c>
      <c r="G250" s="3">
        <f>IF($E250="","", DEGREES(ATAN((INDEX([1]Calc!$E:$E, MATCH("KminusZ_m", [1]Calc!$C:$C, 0)) - $E250 + $B250) / INDEX([1]Calc!$E:$E, MATCH("L_ramp_m", [1]Calc!$C:$C, 0)))))</f>
        <v>5.9999999999999982</v>
      </c>
      <c r="H250" s="2" t="str">
        <f>IF($E250="","", IF(AND($E250&gt;=INDEX([1]Calc!$E:$E, MATCH("min_fwd_draft_m", [1]Calc!$C:$C, 0)), $E250&lt;=INDEX([1]Calc!$E:$E, MATCH("max_fwd_draft_m", [1]Calc!$C:$C, 0)), $G250&lt;=INDEX([1]Calc!$E:$E, MATCH("theta_max_deg", [1]Calc!$C:$C, 0))), "OK", "CHECK"))</f>
        <v>CHECK</v>
      </c>
      <c r="I250" s="3">
        <f>IF($E250="","", INDEX([1]Calc!$E:$E, MATCH("D_vessel_m", [1]Calc!$C:$C, 0)) - $E250 + $B250)</f>
        <v>1.9112508231881171</v>
      </c>
      <c r="J250" s="3">
        <f>IF($F250="","", INDEX([1]Calc!$E:$E, MATCH("D_vessel_m", [1]Calc!$C:$C, 0)) - $F250 + $B250)</f>
        <v>1.9112508231881171</v>
      </c>
      <c r="K250" s="2" t="str">
        <f t="shared" si="11"/>
        <v>Even Keel</v>
      </c>
    </row>
    <row r="251" spans="1:11" x14ac:dyDescent="0.6">
      <c r="A251" s="2" t="str">
        <f>IF('December_Tide_2025 (2)'!A251="","",'December_Tide_2025 (2)'!A251)</f>
        <v>2025-12-11 09:00:00</v>
      </c>
      <c r="B251" s="3">
        <f>IF('December_Tide_2025 (2)'!B251="","",'December_Tide_2025 (2)'!B251)</f>
        <v>2.46</v>
      </c>
      <c r="C251" s="3">
        <f>IF($A251="","", INDEX([1]Calc!$E:$E, MATCH("KminusZ_m", [1]Calc!$C:$C, 0)) + $B251 - INDEX([1]Calc!$E:$E, MATCH("L_ramp_m", [1]Calc!$C:$C, 0)) * TAN(RADIANS(INDEX([1]Calc!$E:$E, MATCH("theta_max_deg", [1]Calc!$C:$C, 0)))))</f>
        <v>4.1987491768118819</v>
      </c>
      <c r="D251" s="3"/>
      <c r="E251" s="3">
        <f t="shared" si="9"/>
        <v>4.1987491768118819</v>
      </c>
      <c r="F251" s="3">
        <f t="shared" si="10"/>
        <v>4.1987491768118819</v>
      </c>
      <c r="G251" s="3">
        <f>IF($E251="","", DEGREES(ATAN((INDEX([1]Calc!$E:$E, MATCH("KminusZ_m", [1]Calc!$C:$C, 0)) - $E251 + $B251) / INDEX([1]Calc!$E:$E, MATCH("L_ramp_m", [1]Calc!$C:$C, 0)))))</f>
        <v>6.0000000000000027</v>
      </c>
      <c r="H251" s="2" t="str">
        <f>IF($E251="","", IF(AND($E251&gt;=INDEX([1]Calc!$E:$E, MATCH("min_fwd_draft_m", [1]Calc!$C:$C, 0)), $E251&lt;=INDEX([1]Calc!$E:$E, MATCH("max_fwd_draft_m", [1]Calc!$C:$C, 0)), $G251&lt;=INDEX([1]Calc!$E:$E, MATCH("theta_max_deg", [1]Calc!$C:$C, 0))), "OK", "CHECK"))</f>
        <v>CHECK</v>
      </c>
      <c r="I251" s="3">
        <f>IF($E251="","", INDEX([1]Calc!$E:$E, MATCH("D_vessel_m", [1]Calc!$C:$C, 0)) - $E251 + $B251)</f>
        <v>1.911250823188118</v>
      </c>
      <c r="J251" s="3">
        <f>IF($F251="","", INDEX([1]Calc!$E:$E, MATCH("D_vessel_m", [1]Calc!$C:$C, 0)) - $F251 + $B251)</f>
        <v>1.911250823188118</v>
      </c>
      <c r="K251" s="2" t="str">
        <f t="shared" si="11"/>
        <v>Even Keel</v>
      </c>
    </row>
    <row r="252" spans="1:11" x14ac:dyDescent="0.6">
      <c r="A252" s="2" t="str">
        <f>IF('December_Tide_2025 (2)'!A252="","",'December_Tide_2025 (2)'!A252)</f>
        <v>2025-12-11 10:00:00</v>
      </c>
      <c r="B252" s="3">
        <f>IF('December_Tide_2025 (2)'!B252="","",'December_Tide_2025 (2)'!B252)</f>
        <v>2.7</v>
      </c>
      <c r="C252" s="3">
        <f>IF($A252="","", INDEX([1]Calc!$E:$E, MATCH("KminusZ_m", [1]Calc!$C:$C, 0)) + $B252 - INDEX([1]Calc!$E:$E, MATCH("L_ramp_m", [1]Calc!$C:$C, 0)) * TAN(RADIANS(INDEX([1]Calc!$E:$E, MATCH("theta_max_deg", [1]Calc!$C:$C, 0)))))</f>
        <v>4.4387491768118821</v>
      </c>
      <c r="D252" s="3"/>
      <c r="E252" s="3">
        <f t="shared" si="9"/>
        <v>4.4387491768118821</v>
      </c>
      <c r="F252" s="3">
        <f t="shared" si="10"/>
        <v>4.4387491768118821</v>
      </c>
      <c r="G252" s="3">
        <f>IF($E252="","", DEGREES(ATAN((INDEX([1]Calc!$E:$E, MATCH("KminusZ_m", [1]Calc!$C:$C, 0)) - $E252 + $B252) / INDEX([1]Calc!$E:$E, MATCH("L_ramp_m", [1]Calc!$C:$C, 0)))))</f>
        <v>6.0000000000000027</v>
      </c>
      <c r="H252" s="2" t="str">
        <f>IF($E252="","", IF(AND($E252&gt;=INDEX([1]Calc!$E:$E, MATCH("min_fwd_draft_m", [1]Calc!$C:$C, 0)), $E252&lt;=INDEX([1]Calc!$E:$E, MATCH("max_fwd_draft_m", [1]Calc!$C:$C, 0)), $G252&lt;=INDEX([1]Calc!$E:$E, MATCH("theta_max_deg", [1]Calc!$C:$C, 0))), "OK", "CHECK"))</f>
        <v>CHECK</v>
      </c>
      <c r="I252" s="3">
        <f>IF($E252="","", INDEX([1]Calc!$E:$E, MATCH("D_vessel_m", [1]Calc!$C:$C, 0)) - $E252 + $B252)</f>
        <v>1.911250823188118</v>
      </c>
      <c r="J252" s="3">
        <f>IF($F252="","", INDEX([1]Calc!$E:$E, MATCH("D_vessel_m", [1]Calc!$C:$C, 0)) - $F252 + $B252)</f>
        <v>1.911250823188118</v>
      </c>
      <c r="K252" s="2" t="str">
        <f t="shared" si="11"/>
        <v>Even Keel</v>
      </c>
    </row>
    <row r="253" spans="1:11" x14ac:dyDescent="0.6">
      <c r="A253" s="2" t="str">
        <f>IF('December_Tide_2025 (2)'!A253="","",'December_Tide_2025 (2)'!A253)</f>
        <v>2025-12-11 11:00:00</v>
      </c>
      <c r="B253" s="3">
        <f>IF('December_Tide_2025 (2)'!B253="","",'December_Tide_2025 (2)'!B253)</f>
        <v>2.71</v>
      </c>
      <c r="C253" s="3">
        <f>IF($A253="","", INDEX([1]Calc!$E:$E, MATCH("KminusZ_m", [1]Calc!$C:$C, 0)) + $B253 - INDEX([1]Calc!$E:$E, MATCH("L_ramp_m", [1]Calc!$C:$C, 0)) * TAN(RADIANS(INDEX([1]Calc!$E:$E, MATCH("theta_max_deg", [1]Calc!$C:$C, 0)))))</f>
        <v>4.4487491768118819</v>
      </c>
      <c r="D253" s="3"/>
      <c r="E253" s="3">
        <f t="shared" si="9"/>
        <v>4.4487491768118819</v>
      </c>
      <c r="F253" s="3">
        <f t="shared" si="10"/>
        <v>4.4487491768118819</v>
      </c>
      <c r="G253" s="3">
        <f>IF($E253="","", DEGREES(ATAN((INDEX([1]Calc!$E:$E, MATCH("KminusZ_m", [1]Calc!$C:$C, 0)) - $E253 + $B253) / INDEX([1]Calc!$E:$E, MATCH("L_ramp_m", [1]Calc!$C:$C, 0)))))</f>
        <v>6.0000000000000027</v>
      </c>
      <c r="H253" s="2" t="str">
        <f>IF($E253="","", IF(AND($E253&gt;=INDEX([1]Calc!$E:$E, MATCH("min_fwd_draft_m", [1]Calc!$C:$C, 0)), $E253&lt;=INDEX([1]Calc!$E:$E, MATCH("max_fwd_draft_m", [1]Calc!$C:$C, 0)), $G253&lt;=INDEX([1]Calc!$E:$E, MATCH("theta_max_deg", [1]Calc!$C:$C, 0))), "OK", "CHECK"))</f>
        <v>CHECK</v>
      </c>
      <c r="I253" s="3">
        <f>IF($E253="","", INDEX([1]Calc!$E:$E, MATCH("D_vessel_m", [1]Calc!$C:$C, 0)) - $E253 + $B253)</f>
        <v>1.911250823188118</v>
      </c>
      <c r="J253" s="3">
        <f>IF($F253="","", INDEX([1]Calc!$E:$E, MATCH("D_vessel_m", [1]Calc!$C:$C, 0)) - $F253 + $B253)</f>
        <v>1.911250823188118</v>
      </c>
      <c r="K253" s="2" t="str">
        <f t="shared" si="11"/>
        <v>Even Keel</v>
      </c>
    </row>
    <row r="254" spans="1:11" x14ac:dyDescent="0.6">
      <c r="A254" s="2" t="str">
        <f>IF('December_Tide_2025 (2)'!A254="","",'December_Tide_2025 (2)'!A254)</f>
        <v>2025-12-11 12:00:00</v>
      </c>
      <c r="B254" s="3">
        <f>IF('December_Tide_2025 (2)'!B254="","",'December_Tide_2025 (2)'!B254)</f>
        <v>2.4900000000000002</v>
      </c>
      <c r="C254" s="3">
        <f>IF($A254="","", INDEX([1]Calc!$E:$E, MATCH("KminusZ_m", [1]Calc!$C:$C, 0)) + $B254 - INDEX([1]Calc!$E:$E, MATCH("L_ramp_m", [1]Calc!$C:$C, 0)) * TAN(RADIANS(INDEX([1]Calc!$E:$E, MATCH("theta_max_deg", [1]Calc!$C:$C, 0)))))</f>
        <v>4.228749176811883</v>
      </c>
      <c r="D254" s="3"/>
      <c r="E254" s="3">
        <f t="shared" si="9"/>
        <v>4.228749176811883</v>
      </c>
      <c r="F254" s="3">
        <f t="shared" si="10"/>
        <v>4.228749176811883</v>
      </c>
      <c r="G254" s="3">
        <f>IF($E254="","", DEGREES(ATAN((INDEX([1]Calc!$E:$E, MATCH("KminusZ_m", [1]Calc!$C:$C, 0)) - $E254 + $B254) / INDEX([1]Calc!$E:$E, MATCH("L_ramp_m", [1]Calc!$C:$C, 0)))))</f>
        <v>5.9999999999999982</v>
      </c>
      <c r="H254" s="2" t="str">
        <f>IF($E254="","", IF(AND($E254&gt;=INDEX([1]Calc!$E:$E, MATCH("min_fwd_draft_m", [1]Calc!$C:$C, 0)), $E254&lt;=INDEX([1]Calc!$E:$E, MATCH("max_fwd_draft_m", [1]Calc!$C:$C, 0)), $G254&lt;=INDEX([1]Calc!$E:$E, MATCH("theta_max_deg", [1]Calc!$C:$C, 0))), "OK", "CHECK"))</f>
        <v>CHECK</v>
      </c>
      <c r="I254" s="3">
        <f>IF($E254="","", INDEX([1]Calc!$E:$E, MATCH("D_vessel_m", [1]Calc!$C:$C, 0)) - $E254 + $B254)</f>
        <v>1.9112508231881171</v>
      </c>
      <c r="J254" s="3">
        <f>IF($F254="","", INDEX([1]Calc!$E:$E, MATCH("D_vessel_m", [1]Calc!$C:$C, 0)) - $F254 + $B254)</f>
        <v>1.9112508231881171</v>
      </c>
      <c r="K254" s="2" t="str">
        <f t="shared" si="11"/>
        <v>Even Keel</v>
      </c>
    </row>
    <row r="255" spans="1:11" x14ac:dyDescent="0.6">
      <c r="A255" s="2" t="str">
        <f>IF('December_Tide_2025 (2)'!A255="","",'December_Tide_2025 (2)'!A255)</f>
        <v>2025-12-11 13:00:00</v>
      </c>
      <c r="B255" s="3">
        <f>IF('December_Tide_2025 (2)'!B255="","",'December_Tide_2025 (2)'!B255)</f>
        <v>2.1</v>
      </c>
      <c r="C255" s="3">
        <f>IF($A255="","", INDEX([1]Calc!$E:$E, MATCH("KminusZ_m", [1]Calc!$C:$C, 0)) + $B255 - INDEX([1]Calc!$E:$E, MATCH("L_ramp_m", [1]Calc!$C:$C, 0)) * TAN(RADIANS(INDEX([1]Calc!$E:$E, MATCH("theta_max_deg", [1]Calc!$C:$C, 0)))))</f>
        <v>3.838749176811882</v>
      </c>
      <c r="D255" s="3"/>
      <c r="E255" s="3">
        <f t="shared" si="9"/>
        <v>3.838749176811882</v>
      </c>
      <c r="F255" s="3">
        <f t="shared" si="10"/>
        <v>3.838749176811882</v>
      </c>
      <c r="G255" s="3">
        <f>IF($E255="","", DEGREES(ATAN((INDEX([1]Calc!$E:$E, MATCH("KminusZ_m", [1]Calc!$C:$C, 0)) - $E255 + $B255) / INDEX([1]Calc!$E:$E, MATCH("L_ramp_m", [1]Calc!$C:$C, 0)))))</f>
        <v>6.0000000000000027</v>
      </c>
      <c r="H255" s="2" t="str">
        <f>IF($E255="","", IF(AND($E255&gt;=INDEX([1]Calc!$E:$E, MATCH("min_fwd_draft_m", [1]Calc!$C:$C, 0)), $E255&lt;=INDEX([1]Calc!$E:$E, MATCH("max_fwd_draft_m", [1]Calc!$C:$C, 0)), $G255&lt;=INDEX([1]Calc!$E:$E, MATCH("theta_max_deg", [1]Calc!$C:$C, 0))), "OK", "CHECK"))</f>
        <v>CHECK</v>
      </c>
      <c r="I255" s="3">
        <f>IF($E255="","", INDEX([1]Calc!$E:$E, MATCH("D_vessel_m", [1]Calc!$C:$C, 0)) - $E255 + $B255)</f>
        <v>1.911250823188118</v>
      </c>
      <c r="J255" s="3">
        <f>IF($F255="","", INDEX([1]Calc!$E:$E, MATCH("D_vessel_m", [1]Calc!$C:$C, 0)) - $F255 + $B255)</f>
        <v>1.911250823188118</v>
      </c>
      <c r="K255" s="2" t="str">
        <f t="shared" si="11"/>
        <v>Even Keel</v>
      </c>
    </row>
    <row r="256" spans="1:11" x14ac:dyDescent="0.6">
      <c r="A256" s="2" t="str">
        <f>IF('December_Tide_2025 (2)'!A256="","",'December_Tide_2025 (2)'!A256)</f>
        <v>2025-12-11 14:00:00</v>
      </c>
      <c r="B256" s="3">
        <f>IF('December_Tide_2025 (2)'!B256="","",'December_Tide_2025 (2)'!B256)</f>
        <v>1.63</v>
      </c>
      <c r="C256" s="3">
        <f>IF($A256="","", INDEX([1]Calc!$E:$E, MATCH("KminusZ_m", [1]Calc!$C:$C, 0)) + $B256 - INDEX([1]Calc!$E:$E, MATCH("L_ramp_m", [1]Calc!$C:$C, 0)) * TAN(RADIANS(INDEX([1]Calc!$E:$E, MATCH("theta_max_deg", [1]Calc!$C:$C, 0)))))</f>
        <v>3.3687491768118822</v>
      </c>
      <c r="D256" s="3"/>
      <c r="E256" s="3">
        <f t="shared" si="9"/>
        <v>3.3687491768118822</v>
      </c>
      <c r="F256" s="3">
        <f t="shared" si="10"/>
        <v>3.3687491768118822</v>
      </c>
      <c r="G256" s="3">
        <f>IF($E256="","", DEGREES(ATAN((INDEX([1]Calc!$E:$E, MATCH("KminusZ_m", [1]Calc!$C:$C, 0)) - $E256 + $B256) / INDEX([1]Calc!$E:$E, MATCH("L_ramp_m", [1]Calc!$C:$C, 0)))))</f>
        <v>6.0000000000000009</v>
      </c>
      <c r="H256" s="2" t="str">
        <f>IF($E256="","", IF(AND($E256&gt;=INDEX([1]Calc!$E:$E, MATCH("min_fwd_draft_m", [1]Calc!$C:$C, 0)), $E256&lt;=INDEX([1]Calc!$E:$E, MATCH("max_fwd_draft_m", [1]Calc!$C:$C, 0)), $G256&lt;=INDEX([1]Calc!$E:$E, MATCH("theta_max_deg", [1]Calc!$C:$C, 0))), "OK", "CHECK"))</f>
        <v>OK</v>
      </c>
      <c r="I256" s="3">
        <f>IF($E256="","", INDEX([1]Calc!$E:$E, MATCH("D_vessel_m", [1]Calc!$C:$C, 0)) - $E256 + $B256)</f>
        <v>1.9112508231881176</v>
      </c>
      <c r="J256" s="3">
        <f>IF($F256="","", INDEX([1]Calc!$E:$E, MATCH("D_vessel_m", [1]Calc!$C:$C, 0)) - $F256 + $B256)</f>
        <v>1.9112508231881176</v>
      </c>
      <c r="K256" s="2" t="str">
        <f t="shared" si="11"/>
        <v>Even Keel</v>
      </c>
    </row>
    <row r="257" spans="1:11" x14ac:dyDescent="0.6">
      <c r="A257" s="2" t="str">
        <f>IF('December_Tide_2025 (2)'!A257="","",'December_Tide_2025 (2)'!A257)</f>
        <v>2025-12-11 15:00:00</v>
      </c>
      <c r="B257" s="3">
        <f>IF('December_Tide_2025 (2)'!B257="","",'December_Tide_2025 (2)'!B257)</f>
        <v>1.21</v>
      </c>
      <c r="C257" s="3">
        <f>IF($A257="","", INDEX([1]Calc!$E:$E, MATCH("KminusZ_m", [1]Calc!$C:$C, 0)) + $B257 - INDEX([1]Calc!$E:$E, MATCH("L_ramp_m", [1]Calc!$C:$C, 0)) * TAN(RADIANS(INDEX([1]Calc!$E:$E, MATCH("theta_max_deg", [1]Calc!$C:$C, 0)))))</f>
        <v>2.9487491768118823</v>
      </c>
      <c r="D257" s="3"/>
      <c r="E257" s="3">
        <f t="shared" si="9"/>
        <v>2.9487491768118823</v>
      </c>
      <c r="F257" s="3">
        <f t="shared" si="10"/>
        <v>2.9487491768118823</v>
      </c>
      <c r="G257" s="3">
        <f>IF($E257="","", DEGREES(ATAN((INDEX([1]Calc!$E:$E, MATCH("KminusZ_m", [1]Calc!$C:$C, 0)) - $E257 + $B257) / INDEX([1]Calc!$E:$E, MATCH("L_ramp_m", [1]Calc!$C:$C, 0)))))</f>
        <v>6.0000000000000009</v>
      </c>
      <c r="H257" s="2" t="str">
        <f>IF($E257="","", IF(AND($E257&gt;=INDEX([1]Calc!$E:$E, MATCH("min_fwd_draft_m", [1]Calc!$C:$C, 0)), $E257&lt;=INDEX([1]Calc!$E:$E, MATCH("max_fwd_draft_m", [1]Calc!$C:$C, 0)), $G257&lt;=INDEX([1]Calc!$E:$E, MATCH("theta_max_deg", [1]Calc!$C:$C, 0))), "OK", "CHECK"))</f>
        <v>OK</v>
      </c>
      <c r="I257" s="3">
        <f>IF($E257="","", INDEX([1]Calc!$E:$E, MATCH("D_vessel_m", [1]Calc!$C:$C, 0)) - $E257 + $B257)</f>
        <v>1.9112508231881176</v>
      </c>
      <c r="J257" s="3">
        <f>IF($F257="","", INDEX([1]Calc!$E:$E, MATCH("D_vessel_m", [1]Calc!$C:$C, 0)) - $F257 + $B257)</f>
        <v>1.9112508231881176</v>
      </c>
      <c r="K257" s="2" t="str">
        <f t="shared" si="11"/>
        <v>Even Keel</v>
      </c>
    </row>
    <row r="258" spans="1:11" x14ac:dyDescent="0.6">
      <c r="A258" s="2" t="str">
        <f>IF('December_Tide_2025 (2)'!A258="","",'December_Tide_2025 (2)'!A258)</f>
        <v>2025-12-11 16:00:00</v>
      </c>
      <c r="B258" s="3">
        <f>IF('December_Tide_2025 (2)'!B258="","",'December_Tide_2025 (2)'!B258)</f>
        <v>0.93</v>
      </c>
      <c r="C258" s="3">
        <f>IF($A258="","", INDEX([1]Calc!$E:$E, MATCH("KminusZ_m", [1]Calc!$C:$C, 0)) + $B258 - INDEX([1]Calc!$E:$E, MATCH("L_ramp_m", [1]Calc!$C:$C, 0)) * TAN(RADIANS(INDEX([1]Calc!$E:$E, MATCH("theta_max_deg", [1]Calc!$C:$C, 0)))))</f>
        <v>2.6687491768118825</v>
      </c>
      <c r="D258" s="3"/>
      <c r="E258" s="3">
        <f t="shared" ref="E258:E321" si="12">IF($C258="","", IF($D258="", $C258, $C258 - $D258/2))</f>
        <v>2.6687491768118825</v>
      </c>
      <c r="F258" s="3">
        <f t="shared" ref="F258:F321" si="13">IF($C258="","", IF($D258="", $C258, $C258 + $D258/2))</f>
        <v>2.6687491768118825</v>
      </c>
      <c r="G258" s="3">
        <f>IF($E258="","", DEGREES(ATAN((INDEX([1]Calc!$E:$E, MATCH("KminusZ_m", [1]Calc!$C:$C, 0)) - $E258 + $B258) / INDEX([1]Calc!$E:$E, MATCH("L_ramp_m", [1]Calc!$C:$C, 0)))))</f>
        <v>6.0000000000000009</v>
      </c>
      <c r="H258" s="2" t="str">
        <f>IF($E258="","", IF(AND($E258&gt;=INDEX([1]Calc!$E:$E, MATCH("min_fwd_draft_m", [1]Calc!$C:$C, 0)), $E258&lt;=INDEX([1]Calc!$E:$E, MATCH("max_fwd_draft_m", [1]Calc!$C:$C, 0)), $G258&lt;=INDEX([1]Calc!$E:$E, MATCH("theta_max_deg", [1]Calc!$C:$C, 0))), "OK", "CHECK"))</f>
        <v>OK</v>
      </c>
      <c r="I258" s="3">
        <f>IF($E258="","", INDEX([1]Calc!$E:$E, MATCH("D_vessel_m", [1]Calc!$C:$C, 0)) - $E258 + $B258)</f>
        <v>1.9112508231881176</v>
      </c>
      <c r="J258" s="3">
        <f>IF($F258="","", INDEX([1]Calc!$E:$E, MATCH("D_vessel_m", [1]Calc!$C:$C, 0)) - $F258 + $B258)</f>
        <v>1.9112508231881176</v>
      </c>
      <c r="K258" s="2" t="str">
        <f t="shared" ref="K258:K321" si="14">IF(D258=0, "Even Keel", "")</f>
        <v>Even Keel</v>
      </c>
    </row>
    <row r="259" spans="1:11" x14ac:dyDescent="0.6">
      <c r="A259" s="2" t="str">
        <f>IF('December_Tide_2025 (2)'!A259="","",'December_Tide_2025 (2)'!A259)</f>
        <v>2025-12-11 17:00:00</v>
      </c>
      <c r="B259" s="3">
        <f>IF('December_Tide_2025 (2)'!B259="","",'December_Tide_2025 (2)'!B259)</f>
        <v>0.87</v>
      </c>
      <c r="C259" s="3">
        <f>IF($A259="","", INDEX([1]Calc!$E:$E, MATCH("KminusZ_m", [1]Calc!$C:$C, 0)) + $B259 - INDEX([1]Calc!$E:$E, MATCH("L_ramp_m", [1]Calc!$C:$C, 0)) * TAN(RADIANS(INDEX([1]Calc!$E:$E, MATCH("theta_max_deg", [1]Calc!$C:$C, 0)))))</f>
        <v>2.6087491768118825</v>
      </c>
      <c r="D259" s="3"/>
      <c r="E259" s="3">
        <f t="shared" si="12"/>
        <v>2.6087491768118825</v>
      </c>
      <c r="F259" s="3">
        <f t="shared" si="13"/>
        <v>2.6087491768118825</v>
      </c>
      <c r="G259" s="3">
        <f>IF($E259="","", DEGREES(ATAN((INDEX([1]Calc!$E:$E, MATCH("KminusZ_m", [1]Calc!$C:$C, 0)) - $E259 + $B259) / INDEX([1]Calc!$E:$E, MATCH("L_ramp_m", [1]Calc!$C:$C, 0)))))</f>
        <v>6.0000000000000009</v>
      </c>
      <c r="H259" s="2" t="str">
        <f>IF($E259="","", IF(AND($E259&gt;=INDEX([1]Calc!$E:$E, MATCH("min_fwd_draft_m", [1]Calc!$C:$C, 0)), $E259&lt;=INDEX([1]Calc!$E:$E, MATCH("max_fwd_draft_m", [1]Calc!$C:$C, 0)), $G259&lt;=INDEX([1]Calc!$E:$E, MATCH("theta_max_deg", [1]Calc!$C:$C, 0))), "OK", "CHECK"))</f>
        <v>OK</v>
      </c>
      <c r="I259" s="3">
        <f>IF($E259="","", INDEX([1]Calc!$E:$E, MATCH("D_vessel_m", [1]Calc!$C:$C, 0)) - $E259 + $B259)</f>
        <v>1.9112508231881176</v>
      </c>
      <c r="J259" s="3">
        <f>IF($F259="","", INDEX([1]Calc!$E:$E, MATCH("D_vessel_m", [1]Calc!$C:$C, 0)) - $F259 + $B259)</f>
        <v>1.9112508231881176</v>
      </c>
      <c r="K259" s="2" t="str">
        <f t="shared" si="14"/>
        <v>Even Keel</v>
      </c>
    </row>
    <row r="260" spans="1:11" x14ac:dyDescent="0.6">
      <c r="A260" s="2" t="str">
        <f>IF('December_Tide_2025 (2)'!A260="","",'December_Tide_2025 (2)'!A260)</f>
        <v>2025-12-11 18:00:00</v>
      </c>
      <c r="B260" s="3">
        <f>IF('December_Tide_2025 (2)'!B260="","",'December_Tide_2025 (2)'!B260)</f>
        <v>1.05</v>
      </c>
      <c r="C260" s="3">
        <f>IF($A260="","", INDEX([1]Calc!$E:$E, MATCH("KminusZ_m", [1]Calc!$C:$C, 0)) + $B260 - INDEX([1]Calc!$E:$E, MATCH("L_ramp_m", [1]Calc!$C:$C, 0)) * TAN(RADIANS(INDEX([1]Calc!$E:$E, MATCH("theta_max_deg", [1]Calc!$C:$C, 0)))))</f>
        <v>2.7887491768118822</v>
      </c>
      <c r="D260" s="3"/>
      <c r="E260" s="3">
        <f t="shared" si="12"/>
        <v>2.7887491768118822</v>
      </c>
      <c r="F260" s="3">
        <f t="shared" si="13"/>
        <v>2.7887491768118822</v>
      </c>
      <c r="G260" s="3">
        <f>IF($E260="","", DEGREES(ATAN((INDEX([1]Calc!$E:$E, MATCH("KminusZ_m", [1]Calc!$C:$C, 0)) - $E260 + $B260) / INDEX([1]Calc!$E:$E, MATCH("L_ramp_m", [1]Calc!$C:$C, 0)))))</f>
        <v>6.0000000000000009</v>
      </c>
      <c r="H260" s="2" t="str">
        <f>IF($E260="","", IF(AND($E260&gt;=INDEX([1]Calc!$E:$E, MATCH("min_fwd_draft_m", [1]Calc!$C:$C, 0)), $E260&lt;=INDEX([1]Calc!$E:$E, MATCH("max_fwd_draft_m", [1]Calc!$C:$C, 0)), $G260&lt;=INDEX([1]Calc!$E:$E, MATCH("theta_max_deg", [1]Calc!$C:$C, 0))), "OK", "CHECK"))</f>
        <v>OK</v>
      </c>
      <c r="I260" s="3">
        <f>IF($E260="","", INDEX([1]Calc!$E:$E, MATCH("D_vessel_m", [1]Calc!$C:$C, 0)) - $E260 + $B260)</f>
        <v>1.9112508231881178</v>
      </c>
      <c r="J260" s="3">
        <f>IF($F260="","", INDEX([1]Calc!$E:$E, MATCH("D_vessel_m", [1]Calc!$C:$C, 0)) - $F260 + $B260)</f>
        <v>1.9112508231881178</v>
      </c>
      <c r="K260" s="2" t="str">
        <f t="shared" si="14"/>
        <v>Even Keel</v>
      </c>
    </row>
    <row r="261" spans="1:11" x14ac:dyDescent="0.6">
      <c r="A261" s="2" t="str">
        <f>IF('December_Tide_2025 (2)'!A261="","",'December_Tide_2025 (2)'!A261)</f>
        <v>2025-12-11 19:00:00</v>
      </c>
      <c r="B261" s="3">
        <f>IF('December_Tide_2025 (2)'!B261="","",'December_Tide_2025 (2)'!B261)</f>
        <v>1.41</v>
      </c>
      <c r="C261" s="3">
        <f>IF($A261="","", INDEX([1]Calc!$E:$E, MATCH("KminusZ_m", [1]Calc!$C:$C, 0)) + $B261 - INDEX([1]Calc!$E:$E, MATCH("L_ramp_m", [1]Calc!$C:$C, 0)) * TAN(RADIANS(INDEX([1]Calc!$E:$E, MATCH("theta_max_deg", [1]Calc!$C:$C, 0)))))</f>
        <v>3.1487491768118825</v>
      </c>
      <c r="D261" s="3"/>
      <c r="E261" s="3">
        <f t="shared" si="12"/>
        <v>3.1487491768118825</v>
      </c>
      <c r="F261" s="3">
        <f t="shared" si="13"/>
        <v>3.1487491768118825</v>
      </c>
      <c r="G261" s="3">
        <f>IF($E261="","", DEGREES(ATAN((INDEX([1]Calc!$E:$E, MATCH("KminusZ_m", [1]Calc!$C:$C, 0)) - $E261 + $B261) / INDEX([1]Calc!$E:$E, MATCH("L_ramp_m", [1]Calc!$C:$C, 0)))))</f>
        <v>6</v>
      </c>
      <c r="H261" s="2" t="str">
        <f>IF($E261="","", IF(AND($E261&gt;=INDEX([1]Calc!$E:$E, MATCH("min_fwd_draft_m", [1]Calc!$C:$C, 0)), $E261&lt;=INDEX([1]Calc!$E:$E, MATCH("max_fwd_draft_m", [1]Calc!$C:$C, 0)), $G261&lt;=INDEX([1]Calc!$E:$E, MATCH("theta_max_deg", [1]Calc!$C:$C, 0))), "OK", "CHECK"))</f>
        <v>OK</v>
      </c>
      <c r="I261" s="3">
        <f>IF($E261="","", INDEX([1]Calc!$E:$E, MATCH("D_vessel_m", [1]Calc!$C:$C, 0)) - $E261 + $B261)</f>
        <v>1.9112508231881173</v>
      </c>
      <c r="J261" s="3">
        <f>IF($F261="","", INDEX([1]Calc!$E:$E, MATCH("D_vessel_m", [1]Calc!$C:$C, 0)) - $F261 + $B261)</f>
        <v>1.9112508231881173</v>
      </c>
      <c r="K261" s="2" t="str">
        <f t="shared" si="14"/>
        <v>Even Keel</v>
      </c>
    </row>
    <row r="262" spans="1:11" x14ac:dyDescent="0.6">
      <c r="A262" s="2" t="str">
        <f>IF('December_Tide_2025 (2)'!A262="","",'December_Tide_2025 (2)'!A262)</f>
        <v>2025-12-11 20:00:00</v>
      </c>
      <c r="B262" s="3">
        <f>IF('December_Tide_2025 (2)'!B262="","",'December_Tide_2025 (2)'!B262)</f>
        <v>1.87</v>
      </c>
      <c r="C262" s="3">
        <f>IF($A262="","", INDEX([1]Calc!$E:$E, MATCH("KminusZ_m", [1]Calc!$C:$C, 0)) + $B262 - INDEX([1]Calc!$E:$E, MATCH("L_ramp_m", [1]Calc!$C:$C, 0)) * TAN(RADIANS(INDEX([1]Calc!$E:$E, MATCH("theta_max_deg", [1]Calc!$C:$C, 0)))))</f>
        <v>3.6087491768118825</v>
      </c>
      <c r="D262" s="3"/>
      <c r="E262" s="3">
        <f t="shared" si="12"/>
        <v>3.6087491768118825</v>
      </c>
      <c r="F262" s="3">
        <f t="shared" si="13"/>
        <v>3.6087491768118825</v>
      </c>
      <c r="G262" s="3">
        <f>IF($E262="","", DEGREES(ATAN((INDEX([1]Calc!$E:$E, MATCH("KminusZ_m", [1]Calc!$C:$C, 0)) - $E262 + $B262) / INDEX([1]Calc!$E:$E, MATCH("L_ramp_m", [1]Calc!$C:$C, 0)))))</f>
        <v>6.0000000000000009</v>
      </c>
      <c r="H262" s="2" t="str">
        <f>IF($E262="","", IF(AND($E262&gt;=INDEX([1]Calc!$E:$E, MATCH("min_fwd_draft_m", [1]Calc!$C:$C, 0)), $E262&lt;=INDEX([1]Calc!$E:$E, MATCH("max_fwd_draft_m", [1]Calc!$C:$C, 0)), $G262&lt;=INDEX([1]Calc!$E:$E, MATCH("theta_max_deg", [1]Calc!$C:$C, 0))), "OK", "CHECK"))</f>
        <v>CHECK</v>
      </c>
      <c r="I262" s="3">
        <f>IF($E262="","", INDEX([1]Calc!$E:$E, MATCH("D_vessel_m", [1]Calc!$C:$C, 0)) - $E262 + $B262)</f>
        <v>1.9112508231881176</v>
      </c>
      <c r="J262" s="3">
        <f>IF($F262="","", INDEX([1]Calc!$E:$E, MATCH("D_vessel_m", [1]Calc!$C:$C, 0)) - $F262 + $B262)</f>
        <v>1.9112508231881176</v>
      </c>
      <c r="K262" s="2" t="str">
        <f t="shared" si="14"/>
        <v>Even Keel</v>
      </c>
    </row>
    <row r="263" spans="1:11" x14ac:dyDescent="0.6">
      <c r="A263" s="2" t="str">
        <f>IF('December_Tide_2025 (2)'!A263="","",'December_Tide_2025 (2)'!A263)</f>
        <v>2025-12-11 21:00:00</v>
      </c>
      <c r="B263" s="3">
        <f>IF('December_Tide_2025 (2)'!B263="","",'December_Tide_2025 (2)'!B263)</f>
        <v>2.3199999999999998</v>
      </c>
      <c r="C263" s="3">
        <f>IF($A263="","", INDEX([1]Calc!$E:$E, MATCH("KminusZ_m", [1]Calc!$C:$C, 0)) + $B263 - INDEX([1]Calc!$E:$E, MATCH("L_ramp_m", [1]Calc!$C:$C, 0)) * TAN(RADIANS(INDEX([1]Calc!$E:$E, MATCH("theta_max_deg", [1]Calc!$C:$C, 0)))))</f>
        <v>4.0587491768118831</v>
      </c>
      <c r="D263" s="3"/>
      <c r="E263" s="3">
        <f t="shared" si="12"/>
        <v>4.0587491768118831</v>
      </c>
      <c r="F263" s="3">
        <f t="shared" si="13"/>
        <v>4.0587491768118831</v>
      </c>
      <c r="G263" s="3">
        <f>IF($E263="","", DEGREES(ATAN((INDEX([1]Calc!$E:$E, MATCH("KminusZ_m", [1]Calc!$C:$C, 0)) - $E263 + $B263) / INDEX([1]Calc!$E:$E, MATCH("L_ramp_m", [1]Calc!$C:$C, 0)))))</f>
        <v>5.9999999999999964</v>
      </c>
      <c r="H263" s="2" t="str">
        <f>IF($E263="","", IF(AND($E263&gt;=INDEX([1]Calc!$E:$E, MATCH("min_fwd_draft_m", [1]Calc!$C:$C, 0)), $E263&lt;=INDEX([1]Calc!$E:$E, MATCH("max_fwd_draft_m", [1]Calc!$C:$C, 0)), $G263&lt;=INDEX([1]Calc!$E:$E, MATCH("theta_max_deg", [1]Calc!$C:$C, 0))), "OK", "CHECK"))</f>
        <v>CHECK</v>
      </c>
      <c r="I263" s="3">
        <f>IF($E263="","", INDEX([1]Calc!$E:$E, MATCH("D_vessel_m", [1]Calc!$C:$C, 0)) - $E263 + $B263)</f>
        <v>1.9112508231881167</v>
      </c>
      <c r="J263" s="3">
        <f>IF($F263="","", INDEX([1]Calc!$E:$E, MATCH("D_vessel_m", [1]Calc!$C:$C, 0)) - $F263 + $B263)</f>
        <v>1.9112508231881167</v>
      </c>
      <c r="K263" s="2" t="str">
        <f t="shared" si="14"/>
        <v>Even Keel</v>
      </c>
    </row>
    <row r="264" spans="1:11" x14ac:dyDescent="0.6">
      <c r="A264" s="2" t="str">
        <f>IF('December_Tide_2025 (2)'!A264="","",'December_Tide_2025 (2)'!A264)</f>
        <v>2025-12-11 22:00:00</v>
      </c>
      <c r="B264" s="3">
        <f>IF('December_Tide_2025 (2)'!B264="","",'December_Tide_2025 (2)'!B264)</f>
        <v>2.63</v>
      </c>
      <c r="C264" s="3">
        <f>IF($A264="","", INDEX([1]Calc!$E:$E, MATCH("KminusZ_m", [1]Calc!$C:$C, 0)) + $B264 - INDEX([1]Calc!$E:$E, MATCH("L_ramp_m", [1]Calc!$C:$C, 0)) * TAN(RADIANS(INDEX([1]Calc!$E:$E, MATCH("theta_max_deg", [1]Calc!$C:$C, 0)))))</f>
        <v>4.3687491768118818</v>
      </c>
      <c r="D264" s="3"/>
      <c r="E264" s="3">
        <f t="shared" si="12"/>
        <v>4.3687491768118818</v>
      </c>
      <c r="F264" s="3">
        <f t="shared" si="13"/>
        <v>4.3687491768118818</v>
      </c>
      <c r="G264" s="3">
        <f>IF($E264="","", DEGREES(ATAN((INDEX([1]Calc!$E:$E, MATCH("KminusZ_m", [1]Calc!$C:$C, 0)) - $E264 + $B264) / INDEX([1]Calc!$E:$E, MATCH("L_ramp_m", [1]Calc!$C:$C, 0)))))</f>
        <v>6.0000000000000027</v>
      </c>
      <c r="H264" s="2" t="str">
        <f>IF($E264="","", IF(AND($E264&gt;=INDEX([1]Calc!$E:$E, MATCH("min_fwd_draft_m", [1]Calc!$C:$C, 0)), $E264&lt;=INDEX([1]Calc!$E:$E, MATCH("max_fwd_draft_m", [1]Calc!$C:$C, 0)), $G264&lt;=INDEX([1]Calc!$E:$E, MATCH("theta_max_deg", [1]Calc!$C:$C, 0))), "OK", "CHECK"))</f>
        <v>CHECK</v>
      </c>
      <c r="I264" s="3">
        <f>IF($E264="","", INDEX([1]Calc!$E:$E, MATCH("D_vessel_m", [1]Calc!$C:$C, 0)) - $E264 + $B264)</f>
        <v>1.911250823188118</v>
      </c>
      <c r="J264" s="3">
        <f>IF($F264="","", INDEX([1]Calc!$E:$E, MATCH("D_vessel_m", [1]Calc!$C:$C, 0)) - $F264 + $B264)</f>
        <v>1.911250823188118</v>
      </c>
      <c r="K264" s="2" t="str">
        <f t="shared" si="14"/>
        <v>Even Keel</v>
      </c>
    </row>
    <row r="265" spans="1:11" x14ac:dyDescent="0.6">
      <c r="A265" s="2" t="str">
        <f>IF('December_Tide_2025 (2)'!A265="","",'December_Tide_2025 (2)'!A265)</f>
        <v>2025-12-11 23:00:00</v>
      </c>
      <c r="B265" s="3">
        <f>IF('December_Tide_2025 (2)'!B265="","",'December_Tide_2025 (2)'!B265)</f>
        <v>2.74</v>
      </c>
      <c r="C265" s="3">
        <f>IF($A265="","", INDEX([1]Calc!$E:$E, MATCH("KminusZ_m", [1]Calc!$C:$C, 0)) + $B265 - INDEX([1]Calc!$E:$E, MATCH("L_ramp_m", [1]Calc!$C:$C, 0)) * TAN(RADIANS(INDEX([1]Calc!$E:$E, MATCH("theta_max_deg", [1]Calc!$C:$C, 0)))))</f>
        <v>4.478749176811883</v>
      </c>
      <c r="D265" s="3"/>
      <c r="E265" s="3">
        <f t="shared" si="12"/>
        <v>4.478749176811883</v>
      </c>
      <c r="F265" s="3">
        <f t="shared" si="13"/>
        <v>4.478749176811883</v>
      </c>
      <c r="G265" s="3">
        <f>IF($E265="","", DEGREES(ATAN((INDEX([1]Calc!$E:$E, MATCH("KminusZ_m", [1]Calc!$C:$C, 0)) - $E265 + $B265) / INDEX([1]Calc!$E:$E, MATCH("L_ramp_m", [1]Calc!$C:$C, 0)))))</f>
        <v>5.9999999999999982</v>
      </c>
      <c r="H265" s="2" t="str">
        <f>IF($E265="","", IF(AND($E265&gt;=INDEX([1]Calc!$E:$E, MATCH("min_fwd_draft_m", [1]Calc!$C:$C, 0)), $E265&lt;=INDEX([1]Calc!$E:$E, MATCH("max_fwd_draft_m", [1]Calc!$C:$C, 0)), $G265&lt;=INDEX([1]Calc!$E:$E, MATCH("theta_max_deg", [1]Calc!$C:$C, 0))), "OK", "CHECK"))</f>
        <v>CHECK</v>
      </c>
      <c r="I265" s="3">
        <f>IF($E265="","", INDEX([1]Calc!$E:$E, MATCH("D_vessel_m", [1]Calc!$C:$C, 0)) - $E265 + $B265)</f>
        <v>1.9112508231881171</v>
      </c>
      <c r="J265" s="3">
        <f>IF($F265="","", INDEX([1]Calc!$E:$E, MATCH("D_vessel_m", [1]Calc!$C:$C, 0)) - $F265 + $B265)</f>
        <v>1.9112508231881171</v>
      </c>
      <c r="K265" s="2" t="str">
        <f t="shared" si="14"/>
        <v>Even Keel</v>
      </c>
    </row>
    <row r="266" spans="1:11" x14ac:dyDescent="0.6">
      <c r="A266" s="2" t="str">
        <f>IF('December_Tide_2025 (2)'!A266="","",'December_Tide_2025 (2)'!A266)</f>
        <v>2025-12-12 00:00:00</v>
      </c>
      <c r="B266" s="3">
        <f>IF('December_Tide_2025 (2)'!B266="","",'December_Tide_2025 (2)'!B266)</f>
        <v>2.61</v>
      </c>
      <c r="C266" s="3">
        <f>IF($A266="","", INDEX([1]Calc!$E:$E, MATCH("KminusZ_m", [1]Calc!$C:$C, 0)) + $B266 - INDEX([1]Calc!$E:$E, MATCH("L_ramp_m", [1]Calc!$C:$C, 0)) * TAN(RADIANS(INDEX([1]Calc!$E:$E, MATCH("theta_max_deg", [1]Calc!$C:$C, 0)))))</f>
        <v>4.3487491768118822</v>
      </c>
      <c r="D266" s="3"/>
      <c r="E266" s="3">
        <f t="shared" si="12"/>
        <v>4.3487491768118822</v>
      </c>
      <c r="F266" s="3">
        <f t="shared" si="13"/>
        <v>4.3487491768118822</v>
      </c>
      <c r="G266" s="3">
        <f>IF($E266="","", DEGREES(ATAN((INDEX([1]Calc!$E:$E, MATCH("KminusZ_m", [1]Calc!$C:$C, 0)) - $E266 + $B266) / INDEX([1]Calc!$E:$E, MATCH("L_ramp_m", [1]Calc!$C:$C, 0)))))</f>
        <v>6.0000000000000009</v>
      </c>
      <c r="H266" s="2" t="str">
        <f>IF($E266="","", IF(AND($E266&gt;=INDEX([1]Calc!$E:$E, MATCH("min_fwd_draft_m", [1]Calc!$C:$C, 0)), $E266&lt;=INDEX([1]Calc!$E:$E, MATCH("max_fwd_draft_m", [1]Calc!$C:$C, 0)), $G266&lt;=INDEX([1]Calc!$E:$E, MATCH("theta_max_deg", [1]Calc!$C:$C, 0))), "OK", "CHECK"))</f>
        <v>CHECK</v>
      </c>
      <c r="I266" s="3">
        <f>IF($E266="","", INDEX([1]Calc!$E:$E, MATCH("D_vessel_m", [1]Calc!$C:$C, 0)) - $E266 + $B266)</f>
        <v>1.9112508231881176</v>
      </c>
      <c r="J266" s="3">
        <f>IF($F266="","", INDEX([1]Calc!$E:$E, MATCH("D_vessel_m", [1]Calc!$C:$C, 0)) - $F266 + $B266)</f>
        <v>1.9112508231881176</v>
      </c>
      <c r="K266" s="2" t="str">
        <f t="shared" si="14"/>
        <v>Even Keel</v>
      </c>
    </row>
    <row r="267" spans="1:11" x14ac:dyDescent="0.6">
      <c r="A267" s="2" t="str">
        <f>IF('December_Tide_2025 (2)'!A267="","",'December_Tide_2025 (2)'!A267)</f>
        <v>2025-12-12 01:00:00</v>
      </c>
      <c r="B267" s="3">
        <f>IF('December_Tide_2025 (2)'!B267="","",'December_Tide_2025 (2)'!B267)</f>
        <v>2.27</v>
      </c>
      <c r="C267" s="3">
        <f>IF($A267="","", INDEX([1]Calc!$E:$E, MATCH("KminusZ_m", [1]Calc!$C:$C, 0)) + $B267 - INDEX([1]Calc!$E:$E, MATCH("L_ramp_m", [1]Calc!$C:$C, 0)) * TAN(RADIANS(INDEX([1]Calc!$E:$E, MATCH("theta_max_deg", [1]Calc!$C:$C, 0)))))</f>
        <v>4.0087491768118824</v>
      </c>
      <c r="D267" s="3"/>
      <c r="E267" s="3">
        <f t="shared" si="12"/>
        <v>4.0087491768118824</v>
      </c>
      <c r="F267" s="3">
        <f t="shared" si="13"/>
        <v>4.0087491768118824</v>
      </c>
      <c r="G267" s="3">
        <f>IF($E267="","", DEGREES(ATAN((INDEX([1]Calc!$E:$E, MATCH("KminusZ_m", [1]Calc!$C:$C, 0)) - $E267 + $B267) / INDEX([1]Calc!$E:$E, MATCH("L_ramp_m", [1]Calc!$C:$C, 0)))))</f>
        <v>6.0000000000000009</v>
      </c>
      <c r="H267" s="2" t="str">
        <f>IF($E267="","", IF(AND($E267&gt;=INDEX([1]Calc!$E:$E, MATCH("min_fwd_draft_m", [1]Calc!$C:$C, 0)), $E267&lt;=INDEX([1]Calc!$E:$E, MATCH("max_fwd_draft_m", [1]Calc!$C:$C, 0)), $G267&lt;=INDEX([1]Calc!$E:$E, MATCH("theta_max_deg", [1]Calc!$C:$C, 0))), "OK", "CHECK"))</f>
        <v>CHECK</v>
      </c>
      <c r="I267" s="3">
        <f>IF($E267="","", INDEX([1]Calc!$E:$E, MATCH("D_vessel_m", [1]Calc!$C:$C, 0)) - $E267 + $B267)</f>
        <v>1.9112508231881176</v>
      </c>
      <c r="J267" s="3">
        <f>IF($F267="","", INDEX([1]Calc!$E:$E, MATCH("D_vessel_m", [1]Calc!$C:$C, 0)) - $F267 + $B267)</f>
        <v>1.9112508231881176</v>
      </c>
      <c r="K267" s="2" t="str">
        <f t="shared" si="14"/>
        <v>Even Keel</v>
      </c>
    </row>
    <row r="268" spans="1:11" x14ac:dyDescent="0.6">
      <c r="A268" s="2" t="str">
        <f>IF('December_Tide_2025 (2)'!A268="","",'December_Tide_2025 (2)'!A268)</f>
        <v>2025-12-12 02:00:00</v>
      </c>
      <c r="B268" s="3">
        <f>IF('December_Tide_2025 (2)'!B268="","",'December_Tide_2025 (2)'!B268)</f>
        <v>1.82</v>
      </c>
      <c r="C268" s="3">
        <f>IF($A268="","", INDEX([1]Calc!$E:$E, MATCH("KminusZ_m", [1]Calc!$C:$C, 0)) + $B268 - INDEX([1]Calc!$E:$E, MATCH("L_ramp_m", [1]Calc!$C:$C, 0)) * TAN(RADIANS(INDEX([1]Calc!$E:$E, MATCH("theta_max_deg", [1]Calc!$C:$C, 0)))))</f>
        <v>3.5587491768118826</v>
      </c>
      <c r="D268" s="3"/>
      <c r="E268" s="3">
        <f t="shared" si="12"/>
        <v>3.5587491768118826</v>
      </c>
      <c r="F268" s="3">
        <f t="shared" si="13"/>
        <v>3.5587491768118826</v>
      </c>
      <c r="G268" s="3">
        <f>IF($E268="","", DEGREES(ATAN((INDEX([1]Calc!$E:$E, MATCH("KminusZ_m", [1]Calc!$C:$C, 0)) - $E268 + $B268) / INDEX([1]Calc!$E:$E, MATCH("L_ramp_m", [1]Calc!$C:$C, 0)))))</f>
        <v>6</v>
      </c>
      <c r="H268" s="2" t="str">
        <f>IF($E268="","", IF(AND($E268&gt;=INDEX([1]Calc!$E:$E, MATCH("min_fwd_draft_m", [1]Calc!$C:$C, 0)), $E268&lt;=INDEX([1]Calc!$E:$E, MATCH("max_fwd_draft_m", [1]Calc!$C:$C, 0)), $G268&lt;=INDEX([1]Calc!$E:$E, MATCH("theta_max_deg", [1]Calc!$C:$C, 0))), "OK", "CHECK"))</f>
        <v>CHECK</v>
      </c>
      <c r="I268" s="3">
        <f>IF($E268="","", INDEX([1]Calc!$E:$E, MATCH("D_vessel_m", [1]Calc!$C:$C, 0)) - $E268 + $B268)</f>
        <v>1.9112508231881173</v>
      </c>
      <c r="J268" s="3">
        <f>IF($F268="","", INDEX([1]Calc!$E:$E, MATCH("D_vessel_m", [1]Calc!$C:$C, 0)) - $F268 + $B268)</f>
        <v>1.9112508231881173</v>
      </c>
      <c r="K268" s="2" t="str">
        <f t="shared" si="14"/>
        <v>Even Keel</v>
      </c>
    </row>
    <row r="269" spans="1:11" x14ac:dyDescent="0.6">
      <c r="A269" s="2" t="str">
        <f>IF('December_Tide_2025 (2)'!A269="","",'December_Tide_2025 (2)'!A269)</f>
        <v>2025-12-12 03:00:00</v>
      </c>
      <c r="B269" s="3">
        <f>IF('December_Tide_2025 (2)'!B269="","",'December_Tide_2025 (2)'!B269)</f>
        <v>1.36</v>
      </c>
      <c r="C269" s="3">
        <f>IF($A269="","", INDEX([1]Calc!$E:$E, MATCH("KminusZ_m", [1]Calc!$C:$C, 0)) + $B269 - INDEX([1]Calc!$E:$E, MATCH("L_ramp_m", [1]Calc!$C:$C, 0)) * TAN(RADIANS(INDEX([1]Calc!$E:$E, MATCH("theta_max_deg", [1]Calc!$C:$C, 0)))))</f>
        <v>3.0987491768118827</v>
      </c>
      <c r="D269" s="3"/>
      <c r="E269" s="3">
        <f t="shared" si="12"/>
        <v>3.0987491768118827</v>
      </c>
      <c r="F269" s="3">
        <f t="shared" si="13"/>
        <v>3.0987491768118827</v>
      </c>
      <c r="G269" s="3">
        <f>IF($E269="","", DEGREES(ATAN((INDEX([1]Calc!$E:$E, MATCH("KminusZ_m", [1]Calc!$C:$C, 0)) - $E269 + $B269) / INDEX([1]Calc!$E:$E, MATCH("L_ramp_m", [1]Calc!$C:$C, 0)))))</f>
        <v>6</v>
      </c>
      <c r="H269" s="2" t="str">
        <f>IF($E269="","", IF(AND($E269&gt;=INDEX([1]Calc!$E:$E, MATCH("min_fwd_draft_m", [1]Calc!$C:$C, 0)), $E269&lt;=INDEX([1]Calc!$E:$E, MATCH("max_fwd_draft_m", [1]Calc!$C:$C, 0)), $G269&lt;=INDEX([1]Calc!$E:$E, MATCH("theta_max_deg", [1]Calc!$C:$C, 0))), "OK", "CHECK"))</f>
        <v>OK</v>
      </c>
      <c r="I269" s="3">
        <f>IF($E269="","", INDEX([1]Calc!$E:$E, MATCH("D_vessel_m", [1]Calc!$C:$C, 0)) - $E269 + $B269)</f>
        <v>1.9112508231881173</v>
      </c>
      <c r="J269" s="3">
        <f>IF($F269="","", INDEX([1]Calc!$E:$E, MATCH("D_vessel_m", [1]Calc!$C:$C, 0)) - $F269 + $B269)</f>
        <v>1.9112508231881173</v>
      </c>
      <c r="K269" s="2" t="str">
        <f t="shared" si="14"/>
        <v>Even Keel</v>
      </c>
    </row>
    <row r="270" spans="1:11" x14ac:dyDescent="0.6">
      <c r="A270" s="2" t="str">
        <f>IF('December_Tide_2025 (2)'!A270="","",'December_Tide_2025 (2)'!A270)</f>
        <v>2025-12-12 04:00:00</v>
      </c>
      <c r="B270" s="3">
        <f>IF('December_Tide_2025 (2)'!B270="","",'December_Tide_2025 (2)'!B270)</f>
        <v>1.02</v>
      </c>
      <c r="C270" s="3">
        <f>IF($A270="","", INDEX([1]Calc!$E:$E, MATCH("KminusZ_m", [1]Calc!$C:$C, 0)) + $B270 - INDEX([1]Calc!$E:$E, MATCH("L_ramp_m", [1]Calc!$C:$C, 0)) * TAN(RADIANS(INDEX([1]Calc!$E:$E, MATCH("theta_max_deg", [1]Calc!$C:$C, 0)))))</f>
        <v>2.7587491768118819</v>
      </c>
      <c r="D270" s="3"/>
      <c r="E270" s="3">
        <f t="shared" si="12"/>
        <v>2.7587491768118819</v>
      </c>
      <c r="F270" s="3">
        <f t="shared" si="13"/>
        <v>2.7587491768118819</v>
      </c>
      <c r="G270" s="3">
        <f>IF($E270="","", DEGREES(ATAN((INDEX([1]Calc!$E:$E, MATCH("KminusZ_m", [1]Calc!$C:$C, 0)) - $E270 + $B270) / INDEX([1]Calc!$E:$E, MATCH("L_ramp_m", [1]Calc!$C:$C, 0)))))</f>
        <v>6.0000000000000027</v>
      </c>
      <c r="H270" s="2" t="str">
        <f>IF($E270="","", IF(AND($E270&gt;=INDEX([1]Calc!$E:$E, MATCH("min_fwd_draft_m", [1]Calc!$C:$C, 0)), $E270&lt;=INDEX([1]Calc!$E:$E, MATCH("max_fwd_draft_m", [1]Calc!$C:$C, 0)), $G270&lt;=INDEX([1]Calc!$E:$E, MATCH("theta_max_deg", [1]Calc!$C:$C, 0))), "OK", "CHECK"))</f>
        <v>OK</v>
      </c>
      <c r="I270" s="3">
        <f>IF($E270="","", INDEX([1]Calc!$E:$E, MATCH("D_vessel_m", [1]Calc!$C:$C, 0)) - $E270 + $B270)</f>
        <v>1.911250823188118</v>
      </c>
      <c r="J270" s="3">
        <f>IF($F270="","", INDEX([1]Calc!$E:$E, MATCH("D_vessel_m", [1]Calc!$C:$C, 0)) - $F270 + $B270)</f>
        <v>1.911250823188118</v>
      </c>
      <c r="K270" s="2" t="str">
        <f t="shared" si="14"/>
        <v>Even Keel</v>
      </c>
    </row>
    <row r="271" spans="1:11" x14ac:dyDescent="0.6">
      <c r="A271" s="2" t="str">
        <f>IF('December_Tide_2025 (2)'!A271="","",'December_Tide_2025 (2)'!A271)</f>
        <v>2025-12-12 05:00:00</v>
      </c>
      <c r="B271" s="3">
        <f>IF('December_Tide_2025 (2)'!B271="","",'December_Tide_2025 (2)'!B271)</f>
        <v>0.87</v>
      </c>
      <c r="C271" s="3">
        <f>IF($A271="","", INDEX([1]Calc!$E:$E, MATCH("KminusZ_m", [1]Calc!$C:$C, 0)) + $B271 - INDEX([1]Calc!$E:$E, MATCH("L_ramp_m", [1]Calc!$C:$C, 0)) * TAN(RADIANS(INDEX([1]Calc!$E:$E, MATCH("theta_max_deg", [1]Calc!$C:$C, 0)))))</f>
        <v>2.6087491768118825</v>
      </c>
      <c r="D271" s="3"/>
      <c r="E271" s="3">
        <f t="shared" si="12"/>
        <v>2.6087491768118825</v>
      </c>
      <c r="F271" s="3">
        <f t="shared" si="13"/>
        <v>2.6087491768118825</v>
      </c>
      <c r="G271" s="3">
        <f>IF($E271="","", DEGREES(ATAN((INDEX([1]Calc!$E:$E, MATCH("KminusZ_m", [1]Calc!$C:$C, 0)) - $E271 + $B271) / INDEX([1]Calc!$E:$E, MATCH("L_ramp_m", [1]Calc!$C:$C, 0)))))</f>
        <v>6.0000000000000009</v>
      </c>
      <c r="H271" s="2" t="str">
        <f>IF($E271="","", IF(AND($E271&gt;=INDEX([1]Calc!$E:$E, MATCH("min_fwd_draft_m", [1]Calc!$C:$C, 0)), $E271&lt;=INDEX([1]Calc!$E:$E, MATCH("max_fwd_draft_m", [1]Calc!$C:$C, 0)), $G271&lt;=INDEX([1]Calc!$E:$E, MATCH("theta_max_deg", [1]Calc!$C:$C, 0))), "OK", "CHECK"))</f>
        <v>OK</v>
      </c>
      <c r="I271" s="3">
        <f>IF($E271="","", INDEX([1]Calc!$E:$E, MATCH("D_vessel_m", [1]Calc!$C:$C, 0)) - $E271 + $B271)</f>
        <v>1.9112508231881176</v>
      </c>
      <c r="J271" s="3">
        <f>IF($F271="","", INDEX([1]Calc!$E:$E, MATCH("D_vessel_m", [1]Calc!$C:$C, 0)) - $F271 + $B271)</f>
        <v>1.9112508231881176</v>
      </c>
      <c r="K271" s="2" t="str">
        <f t="shared" si="14"/>
        <v>Even Keel</v>
      </c>
    </row>
    <row r="272" spans="1:11" x14ac:dyDescent="0.6">
      <c r="A272" s="2" t="str">
        <f>IF('December_Tide_2025 (2)'!A272="","",'December_Tide_2025 (2)'!A272)</f>
        <v>2025-12-12 06:00:00</v>
      </c>
      <c r="B272" s="3">
        <f>IF('December_Tide_2025 (2)'!B272="","",'December_Tide_2025 (2)'!B272)</f>
        <v>0.95</v>
      </c>
      <c r="C272" s="3">
        <f>IF($A272="","", INDEX([1]Calc!$E:$E, MATCH("KminusZ_m", [1]Calc!$C:$C, 0)) + $B272 - INDEX([1]Calc!$E:$E, MATCH("L_ramp_m", [1]Calc!$C:$C, 0)) * TAN(RADIANS(INDEX([1]Calc!$E:$E, MATCH("theta_max_deg", [1]Calc!$C:$C, 0)))))</f>
        <v>2.6887491768118825</v>
      </c>
      <c r="D272" s="3"/>
      <c r="E272" s="3">
        <f t="shared" si="12"/>
        <v>2.6887491768118825</v>
      </c>
      <c r="F272" s="3">
        <f t="shared" si="13"/>
        <v>2.6887491768118825</v>
      </c>
      <c r="G272" s="3">
        <f>IF($E272="","", DEGREES(ATAN((INDEX([1]Calc!$E:$E, MATCH("KminusZ_m", [1]Calc!$C:$C, 0)) - $E272 + $B272) / INDEX([1]Calc!$E:$E, MATCH("L_ramp_m", [1]Calc!$C:$C, 0)))))</f>
        <v>6</v>
      </c>
      <c r="H272" s="2" t="str">
        <f>IF($E272="","", IF(AND($E272&gt;=INDEX([1]Calc!$E:$E, MATCH("min_fwd_draft_m", [1]Calc!$C:$C, 0)), $E272&lt;=INDEX([1]Calc!$E:$E, MATCH("max_fwd_draft_m", [1]Calc!$C:$C, 0)), $G272&lt;=INDEX([1]Calc!$E:$E, MATCH("theta_max_deg", [1]Calc!$C:$C, 0))), "OK", "CHECK"))</f>
        <v>OK</v>
      </c>
      <c r="I272" s="3">
        <f>IF($E272="","", INDEX([1]Calc!$E:$E, MATCH("D_vessel_m", [1]Calc!$C:$C, 0)) - $E272 + $B272)</f>
        <v>1.9112508231881173</v>
      </c>
      <c r="J272" s="3">
        <f>IF($F272="","", INDEX([1]Calc!$E:$E, MATCH("D_vessel_m", [1]Calc!$C:$C, 0)) - $F272 + $B272)</f>
        <v>1.9112508231881173</v>
      </c>
      <c r="K272" s="2" t="str">
        <f t="shared" si="14"/>
        <v>Even Keel</v>
      </c>
    </row>
    <row r="273" spans="1:11" x14ac:dyDescent="0.6">
      <c r="A273" s="2" t="str">
        <f>IF('December_Tide_2025 (2)'!A273="","",'December_Tide_2025 (2)'!A273)</f>
        <v>2025-12-12 07:00:00</v>
      </c>
      <c r="B273" s="3">
        <f>IF('December_Tide_2025 (2)'!B273="","",'December_Tide_2025 (2)'!B273)</f>
        <v>1.25</v>
      </c>
      <c r="C273" s="3">
        <f>IF($A273="","", INDEX([1]Calc!$E:$E, MATCH("KminusZ_m", [1]Calc!$C:$C, 0)) + $B273 - INDEX([1]Calc!$E:$E, MATCH("L_ramp_m", [1]Calc!$C:$C, 0)) * TAN(RADIANS(INDEX([1]Calc!$E:$E, MATCH("theta_max_deg", [1]Calc!$C:$C, 0)))))</f>
        <v>2.9887491768118823</v>
      </c>
      <c r="D273" s="3"/>
      <c r="E273" s="3">
        <f t="shared" si="12"/>
        <v>2.9887491768118823</v>
      </c>
      <c r="F273" s="3">
        <f t="shared" si="13"/>
        <v>2.9887491768118823</v>
      </c>
      <c r="G273" s="3">
        <f>IF($E273="","", DEGREES(ATAN((INDEX([1]Calc!$E:$E, MATCH("KminusZ_m", [1]Calc!$C:$C, 0)) - $E273 + $B273) / INDEX([1]Calc!$E:$E, MATCH("L_ramp_m", [1]Calc!$C:$C, 0)))))</f>
        <v>6.0000000000000009</v>
      </c>
      <c r="H273" s="2" t="str">
        <f>IF($E273="","", IF(AND($E273&gt;=INDEX([1]Calc!$E:$E, MATCH("min_fwd_draft_m", [1]Calc!$C:$C, 0)), $E273&lt;=INDEX([1]Calc!$E:$E, MATCH("max_fwd_draft_m", [1]Calc!$C:$C, 0)), $G273&lt;=INDEX([1]Calc!$E:$E, MATCH("theta_max_deg", [1]Calc!$C:$C, 0))), "OK", "CHECK"))</f>
        <v>OK</v>
      </c>
      <c r="I273" s="3">
        <f>IF($E273="","", INDEX([1]Calc!$E:$E, MATCH("D_vessel_m", [1]Calc!$C:$C, 0)) - $E273 + $B273)</f>
        <v>1.9112508231881176</v>
      </c>
      <c r="J273" s="3">
        <f>IF($F273="","", INDEX([1]Calc!$E:$E, MATCH("D_vessel_m", [1]Calc!$C:$C, 0)) - $F273 + $B273)</f>
        <v>1.9112508231881176</v>
      </c>
      <c r="K273" s="2" t="str">
        <f t="shared" si="14"/>
        <v>Even Keel</v>
      </c>
    </row>
    <row r="274" spans="1:11" x14ac:dyDescent="0.6">
      <c r="A274" s="2" t="str">
        <f>IF('December_Tide_2025 (2)'!A274="","",'December_Tide_2025 (2)'!A274)</f>
        <v>2025-12-12 08:00:00</v>
      </c>
      <c r="B274" s="3">
        <f>IF('December_Tide_2025 (2)'!B274="","",'December_Tide_2025 (2)'!B274)</f>
        <v>1.68</v>
      </c>
      <c r="C274" s="3">
        <f>IF($A274="","", INDEX([1]Calc!$E:$E, MATCH("KminusZ_m", [1]Calc!$C:$C, 0)) + $B274 - INDEX([1]Calc!$E:$E, MATCH("L_ramp_m", [1]Calc!$C:$C, 0)) * TAN(RADIANS(INDEX([1]Calc!$E:$E, MATCH("theta_max_deg", [1]Calc!$C:$C, 0)))))</f>
        <v>3.4187491768118821</v>
      </c>
      <c r="D274" s="3"/>
      <c r="E274" s="3">
        <f t="shared" si="12"/>
        <v>3.4187491768118821</v>
      </c>
      <c r="F274" s="3">
        <f t="shared" si="13"/>
        <v>3.4187491768118821</v>
      </c>
      <c r="G274" s="3">
        <f>IF($E274="","", DEGREES(ATAN((INDEX([1]Calc!$E:$E, MATCH("KminusZ_m", [1]Calc!$C:$C, 0)) - $E274 + $B274) / INDEX([1]Calc!$E:$E, MATCH("L_ramp_m", [1]Calc!$C:$C, 0)))))</f>
        <v>6.0000000000000009</v>
      </c>
      <c r="H274" s="2" t="str">
        <f>IF($E274="","", IF(AND($E274&gt;=INDEX([1]Calc!$E:$E, MATCH("min_fwd_draft_m", [1]Calc!$C:$C, 0)), $E274&lt;=INDEX([1]Calc!$E:$E, MATCH("max_fwd_draft_m", [1]Calc!$C:$C, 0)), $G274&lt;=INDEX([1]Calc!$E:$E, MATCH("theta_max_deg", [1]Calc!$C:$C, 0))), "OK", "CHECK"))</f>
        <v>OK</v>
      </c>
      <c r="I274" s="3">
        <f>IF($E274="","", INDEX([1]Calc!$E:$E, MATCH("D_vessel_m", [1]Calc!$C:$C, 0)) - $E274 + $B274)</f>
        <v>1.9112508231881178</v>
      </c>
      <c r="J274" s="3">
        <f>IF($F274="","", INDEX([1]Calc!$E:$E, MATCH("D_vessel_m", [1]Calc!$C:$C, 0)) - $F274 + $B274)</f>
        <v>1.9112508231881178</v>
      </c>
      <c r="K274" s="2" t="str">
        <f t="shared" si="14"/>
        <v>Even Keel</v>
      </c>
    </row>
    <row r="275" spans="1:11" x14ac:dyDescent="0.6">
      <c r="A275" s="2" t="str">
        <f>IF('December_Tide_2025 (2)'!A275="","",'December_Tide_2025 (2)'!A275)</f>
        <v>2025-12-12 09:00:00</v>
      </c>
      <c r="B275" s="3">
        <f>IF('December_Tide_2025 (2)'!B275="","",'December_Tide_2025 (2)'!B275)</f>
        <v>2.15</v>
      </c>
      <c r="C275" s="3">
        <f>IF($A275="","", INDEX([1]Calc!$E:$E, MATCH("KminusZ_m", [1]Calc!$C:$C, 0)) + $B275 - INDEX([1]Calc!$E:$E, MATCH("L_ramp_m", [1]Calc!$C:$C, 0)) * TAN(RADIANS(INDEX([1]Calc!$E:$E, MATCH("theta_max_deg", [1]Calc!$C:$C, 0)))))</f>
        <v>3.8887491768118827</v>
      </c>
      <c r="D275" s="3"/>
      <c r="E275" s="3">
        <f t="shared" si="12"/>
        <v>3.8887491768118827</v>
      </c>
      <c r="F275" s="3">
        <f t="shared" si="13"/>
        <v>3.8887491768118827</v>
      </c>
      <c r="G275" s="3">
        <f>IF($E275="","", DEGREES(ATAN((INDEX([1]Calc!$E:$E, MATCH("KminusZ_m", [1]Calc!$C:$C, 0)) - $E275 + $B275) / INDEX([1]Calc!$E:$E, MATCH("L_ramp_m", [1]Calc!$C:$C, 0)))))</f>
        <v>5.9999999999999982</v>
      </c>
      <c r="H275" s="2" t="str">
        <f>IF($E275="","", IF(AND($E275&gt;=INDEX([1]Calc!$E:$E, MATCH("min_fwd_draft_m", [1]Calc!$C:$C, 0)), $E275&lt;=INDEX([1]Calc!$E:$E, MATCH("max_fwd_draft_m", [1]Calc!$C:$C, 0)), $G275&lt;=INDEX([1]Calc!$E:$E, MATCH("theta_max_deg", [1]Calc!$C:$C, 0))), "OK", "CHECK"))</f>
        <v>CHECK</v>
      </c>
      <c r="I275" s="3">
        <f>IF($E275="","", INDEX([1]Calc!$E:$E, MATCH("D_vessel_m", [1]Calc!$C:$C, 0)) - $E275 + $B275)</f>
        <v>1.9112508231881171</v>
      </c>
      <c r="J275" s="3">
        <f>IF($F275="","", INDEX([1]Calc!$E:$E, MATCH("D_vessel_m", [1]Calc!$C:$C, 0)) - $F275 + $B275)</f>
        <v>1.9112508231881171</v>
      </c>
      <c r="K275" s="2" t="str">
        <f t="shared" si="14"/>
        <v>Even Keel</v>
      </c>
    </row>
    <row r="276" spans="1:11" x14ac:dyDescent="0.6">
      <c r="A276" s="2" t="str">
        <f>IF('December_Tide_2025 (2)'!A276="","",'December_Tide_2025 (2)'!A276)</f>
        <v>2025-12-12 10:00:00</v>
      </c>
      <c r="B276" s="3">
        <f>IF('December_Tide_2025 (2)'!B276="","",'December_Tide_2025 (2)'!B276)</f>
        <v>2.5299999999999998</v>
      </c>
      <c r="C276" s="3">
        <f>IF($A276="","", INDEX([1]Calc!$E:$E, MATCH("KminusZ_m", [1]Calc!$C:$C, 0)) + $B276 - INDEX([1]Calc!$E:$E, MATCH("L_ramp_m", [1]Calc!$C:$C, 0)) * TAN(RADIANS(INDEX([1]Calc!$E:$E, MATCH("theta_max_deg", [1]Calc!$C:$C, 0)))))</f>
        <v>4.2687491768118822</v>
      </c>
      <c r="D276" s="3"/>
      <c r="E276" s="3">
        <f t="shared" si="12"/>
        <v>4.2687491768118822</v>
      </c>
      <c r="F276" s="3">
        <f t="shared" si="13"/>
        <v>4.2687491768118822</v>
      </c>
      <c r="G276" s="3">
        <f>IF($E276="","", DEGREES(ATAN((INDEX([1]Calc!$E:$E, MATCH("KminusZ_m", [1]Calc!$C:$C, 0)) - $E276 + $B276) / INDEX([1]Calc!$E:$E, MATCH("L_ramp_m", [1]Calc!$C:$C, 0)))))</f>
        <v>6.0000000000000009</v>
      </c>
      <c r="H276" s="2" t="str">
        <f>IF($E276="","", IF(AND($E276&gt;=INDEX([1]Calc!$E:$E, MATCH("min_fwd_draft_m", [1]Calc!$C:$C, 0)), $E276&lt;=INDEX([1]Calc!$E:$E, MATCH("max_fwd_draft_m", [1]Calc!$C:$C, 0)), $G276&lt;=INDEX([1]Calc!$E:$E, MATCH("theta_max_deg", [1]Calc!$C:$C, 0))), "OK", "CHECK"))</f>
        <v>CHECK</v>
      </c>
      <c r="I276" s="3">
        <f>IF($E276="","", INDEX([1]Calc!$E:$E, MATCH("D_vessel_m", [1]Calc!$C:$C, 0)) - $E276 + $B276)</f>
        <v>1.9112508231881176</v>
      </c>
      <c r="J276" s="3">
        <f>IF($F276="","", INDEX([1]Calc!$E:$E, MATCH("D_vessel_m", [1]Calc!$C:$C, 0)) - $F276 + $B276)</f>
        <v>1.9112508231881176</v>
      </c>
      <c r="K276" s="2" t="str">
        <f t="shared" si="14"/>
        <v>Even Keel</v>
      </c>
    </row>
    <row r="277" spans="1:11" x14ac:dyDescent="0.6">
      <c r="A277" s="2" t="str">
        <f>IF('December_Tide_2025 (2)'!A277="","",'December_Tide_2025 (2)'!A277)</f>
        <v>2025-12-12 11:00:00</v>
      </c>
      <c r="B277" s="3">
        <f>IF('December_Tide_2025 (2)'!B277="","",'December_Tide_2025 (2)'!B277)</f>
        <v>2.72</v>
      </c>
      <c r="C277" s="3">
        <f>IF($A277="","", INDEX([1]Calc!$E:$E, MATCH("KminusZ_m", [1]Calc!$C:$C, 0)) + $B277 - INDEX([1]Calc!$E:$E, MATCH("L_ramp_m", [1]Calc!$C:$C, 0)) * TAN(RADIANS(INDEX([1]Calc!$E:$E, MATCH("theta_max_deg", [1]Calc!$C:$C, 0)))))</f>
        <v>4.4587491768118834</v>
      </c>
      <c r="D277" s="3"/>
      <c r="E277" s="3">
        <f t="shared" si="12"/>
        <v>4.4587491768118834</v>
      </c>
      <c r="F277" s="3">
        <f t="shared" si="13"/>
        <v>4.4587491768118834</v>
      </c>
      <c r="G277" s="3">
        <f>IF($E277="","", DEGREES(ATAN((INDEX([1]Calc!$E:$E, MATCH("KminusZ_m", [1]Calc!$C:$C, 0)) - $E277 + $B277) / INDEX([1]Calc!$E:$E, MATCH("L_ramp_m", [1]Calc!$C:$C, 0)))))</f>
        <v>5.9999999999999964</v>
      </c>
      <c r="H277" s="2" t="str">
        <f>IF($E277="","", IF(AND($E277&gt;=INDEX([1]Calc!$E:$E, MATCH("min_fwd_draft_m", [1]Calc!$C:$C, 0)), $E277&lt;=INDEX([1]Calc!$E:$E, MATCH("max_fwd_draft_m", [1]Calc!$C:$C, 0)), $G277&lt;=INDEX([1]Calc!$E:$E, MATCH("theta_max_deg", [1]Calc!$C:$C, 0))), "OK", "CHECK"))</f>
        <v>CHECK</v>
      </c>
      <c r="I277" s="3">
        <f>IF($E277="","", INDEX([1]Calc!$E:$E, MATCH("D_vessel_m", [1]Calc!$C:$C, 0)) - $E277 + $B277)</f>
        <v>1.9112508231881167</v>
      </c>
      <c r="J277" s="3">
        <f>IF($F277="","", INDEX([1]Calc!$E:$E, MATCH("D_vessel_m", [1]Calc!$C:$C, 0)) - $F277 + $B277)</f>
        <v>1.9112508231881167</v>
      </c>
      <c r="K277" s="2" t="str">
        <f t="shared" si="14"/>
        <v>Even Keel</v>
      </c>
    </row>
    <row r="278" spans="1:11" x14ac:dyDescent="0.6">
      <c r="A278" s="2" t="str">
        <f>IF('December_Tide_2025 (2)'!A278="","",'December_Tide_2025 (2)'!A278)</f>
        <v>2025-12-12 12:00:00</v>
      </c>
      <c r="B278" s="3">
        <f>IF('December_Tide_2025 (2)'!B278="","",'December_Tide_2025 (2)'!B278)</f>
        <v>2.69</v>
      </c>
      <c r="C278" s="3">
        <f>IF($A278="","", INDEX([1]Calc!$E:$E, MATCH("KminusZ_m", [1]Calc!$C:$C, 0)) + $B278 - INDEX([1]Calc!$E:$E, MATCH("L_ramp_m", [1]Calc!$C:$C, 0)) * TAN(RADIANS(INDEX([1]Calc!$E:$E, MATCH("theta_max_deg", [1]Calc!$C:$C, 0)))))</f>
        <v>4.4287491768118823</v>
      </c>
      <c r="D278" s="3"/>
      <c r="E278" s="3">
        <f t="shared" si="12"/>
        <v>4.4287491768118823</v>
      </c>
      <c r="F278" s="3">
        <f t="shared" si="13"/>
        <v>4.4287491768118823</v>
      </c>
      <c r="G278" s="3">
        <f>IF($E278="","", DEGREES(ATAN((INDEX([1]Calc!$E:$E, MATCH("KminusZ_m", [1]Calc!$C:$C, 0)) - $E278 + $B278) / INDEX([1]Calc!$E:$E, MATCH("L_ramp_m", [1]Calc!$C:$C, 0)))))</f>
        <v>6.0000000000000009</v>
      </c>
      <c r="H278" s="2" t="str">
        <f>IF($E278="","", IF(AND($E278&gt;=INDEX([1]Calc!$E:$E, MATCH("min_fwd_draft_m", [1]Calc!$C:$C, 0)), $E278&lt;=INDEX([1]Calc!$E:$E, MATCH("max_fwd_draft_m", [1]Calc!$C:$C, 0)), $G278&lt;=INDEX([1]Calc!$E:$E, MATCH("theta_max_deg", [1]Calc!$C:$C, 0))), "OK", "CHECK"))</f>
        <v>CHECK</v>
      </c>
      <c r="I278" s="3">
        <f>IF($E278="","", INDEX([1]Calc!$E:$E, MATCH("D_vessel_m", [1]Calc!$C:$C, 0)) - $E278 + $B278)</f>
        <v>1.9112508231881176</v>
      </c>
      <c r="J278" s="3">
        <f>IF($F278="","", INDEX([1]Calc!$E:$E, MATCH("D_vessel_m", [1]Calc!$C:$C, 0)) - $F278 + $B278)</f>
        <v>1.9112508231881176</v>
      </c>
      <c r="K278" s="2" t="str">
        <f t="shared" si="14"/>
        <v>Even Keel</v>
      </c>
    </row>
    <row r="279" spans="1:11" x14ac:dyDescent="0.6">
      <c r="A279" s="2" t="str">
        <f>IF('December_Tide_2025 (2)'!A279="","",'December_Tide_2025 (2)'!A279)</f>
        <v>2025-12-12 13:00:00</v>
      </c>
      <c r="B279" s="3">
        <f>IF('December_Tide_2025 (2)'!B279="","",'December_Tide_2025 (2)'!B279)</f>
        <v>2.4300000000000002</v>
      </c>
      <c r="C279" s="3">
        <f>IF($A279="","", INDEX([1]Calc!$E:$E, MATCH("KminusZ_m", [1]Calc!$C:$C, 0)) + $B279 - INDEX([1]Calc!$E:$E, MATCH("L_ramp_m", [1]Calc!$C:$C, 0)) * TAN(RADIANS(INDEX([1]Calc!$E:$E, MATCH("theta_max_deg", [1]Calc!$C:$C, 0)))))</f>
        <v>4.1687491768118825</v>
      </c>
      <c r="D279" s="3"/>
      <c r="E279" s="3">
        <f t="shared" si="12"/>
        <v>4.1687491768118825</v>
      </c>
      <c r="F279" s="3">
        <f t="shared" si="13"/>
        <v>4.1687491768118825</v>
      </c>
      <c r="G279" s="3">
        <f>IF($E279="","", DEGREES(ATAN((INDEX([1]Calc!$E:$E, MATCH("KminusZ_m", [1]Calc!$C:$C, 0)) - $E279 + $B279) / INDEX([1]Calc!$E:$E, MATCH("L_ramp_m", [1]Calc!$C:$C, 0)))))</f>
        <v>6.0000000000000009</v>
      </c>
      <c r="H279" s="2" t="str">
        <f>IF($E279="","", IF(AND($E279&gt;=INDEX([1]Calc!$E:$E, MATCH("min_fwd_draft_m", [1]Calc!$C:$C, 0)), $E279&lt;=INDEX([1]Calc!$E:$E, MATCH("max_fwd_draft_m", [1]Calc!$C:$C, 0)), $G279&lt;=INDEX([1]Calc!$E:$E, MATCH("theta_max_deg", [1]Calc!$C:$C, 0))), "OK", "CHECK"))</f>
        <v>CHECK</v>
      </c>
      <c r="I279" s="3">
        <f>IF($E279="","", INDEX([1]Calc!$E:$E, MATCH("D_vessel_m", [1]Calc!$C:$C, 0)) - $E279 + $B279)</f>
        <v>1.9112508231881176</v>
      </c>
      <c r="J279" s="3">
        <f>IF($F279="","", INDEX([1]Calc!$E:$E, MATCH("D_vessel_m", [1]Calc!$C:$C, 0)) - $F279 + $B279)</f>
        <v>1.9112508231881176</v>
      </c>
      <c r="K279" s="2" t="str">
        <f t="shared" si="14"/>
        <v>Even Keel</v>
      </c>
    </row>
    <row r="280" spans="1:11" x14ac:dyDescent="0.6">
      <c r="A280" s="2" t="str">
        <f>IF('December_Tide_2025 (2)'!A280="","",'December_Tide_2025 (2)'!A280)</f>
        <v>2025-12-12 14:00:00</v>
      </c>
      <c r="B280" s="3">
        <f>IF('December_Tide_2025 (2)'!B280="","",'December_Tide_2025 (2)'!B280)</f>
        <v>2.0099999999999998</v>
      </c>
      <c r="C280" s="3">
        <f>IF($A280="","", INDEX([1]Calc!$E:$E, MATCH("KminusZ_m", [1]Calc!$C:$C, 0)) + $B280 - INDEX([1]Calc!$E:$E, MATCH("L_ramp_m", [1]Calc!$C:$C, 0)) * TAN(RADIANS(INDEX([1]Calc!$E:$E, MATCH("theta_max_deg", [1]Calc!$C:$C, 0)))))</f>
        <v>3.7487491768118821</v>
      </c>
      <c r="D280" s="3"/>
      <c r="E280" s="3">
        <f t="shared" si="12"/>
        <v>3.7487491768118821</v>
      </c>
      <c r="F280" s="3">
        <f t="shared" si="13"/>
        <v>3.7487491768118821</v>
      </c>
      <c r="G280" s="3">
        <f>IF($E280="","", DEGREES(ATAN((INDEX([1]Calc!$E:$E, MATCH("KminusZ_m", [1]Calc!$C:$C, 0)) - $E280 + $B280) / INDEX([1]Calc!$E:$E, MATCH("L_ramp_m", [1]Calc!$C:$C, 0)))))</f>
        <v>6.0000000000000009</v>
      </c>
      <c r="H280" s="2" t="str">
        <f>IF($E280="","", IF(AND($E280&gt;=INDEX([1]Calc!$E:$E, MATCH("min_fwd_draft_m", [1]Calc!$C:$C, 0)), $E280&lt;=INDEX([1]Calc!$E:$E, MATCH("max_fwd_draft_m", [1]Calc!$C:$C, 0)), $G280&lt;=INDEX([1]Calc!$E:$E, MATCH("theta_max_deg", [1]Calc!$C:$C, 0))), "OK", "CHECK"))</f>
        <v>CHECK</v>
      </c>
      <c r="I280" s="3">
        <f>IF($E280="","", INDEX([1]Calc!$E:$E, MATCH("D_vessel_m", [1]Calc!$C:$C, 0)) - $E280 + $B280)</f>
        <v>1.9112508231881176</v>
      </c>
      <c r="J280" s="3">
        <f>IF($F280="","", INDEX([1]Calc!$E:$E, MATCH("D_vessel_m", [1]Calc!$C:$C, 0)) - $F280 + $B280)</f>
        <v>1.9112508231881176</v>
      </c>
      <c r="K280" s="2" t="str">
        <f t="shared" si="14"/>
        <v>Even Keel</v>
      </c>
    </row>
    <row r="281" spans="1:11" x14ac:dyDescent="0.6">
      <c r="A281" s="2" t="str">
        <f>IF('December_Tide_2025 (2)'!A281="","",'December_Tide_2025 (2)'!A281)</f>
        <v>2025-12-12 15:00:00</v>
      </c>
      <c r="B281" s="3">
        <f>IF('December_Tide_2025 (2)'!B281="","",'December_Tide_2025 (2)'!B281)</f>
        <v>1.54</v>
      </c>
      <c r="C281" s="3">
        <f>IF($A281="","", INDEX([1]Calc!$E:$E, MATCH("KminusZ_m", [1]Calc!$C:$C, 0)) + $B281 - INDEX([1]Calc!$E:$E, MATCH("L_ramp_m", [1]Calc!$C:$C, 0)) * TAN(RADIANS(INDEX([1]Calc!$E:$E, MATCH("theta_max_deg", [1]Calc!$C:$C, 0)))))</f>
        <v>3.2787491768118824</v>
      </c>
      <c r="D281" s="3"/>
      <c r="E281" s="3">
        <f t="shared" si="12"/>
        <v>3.2787491768118824</v>
      </c>
      <c r="F281" s="3">
        <f t="shared" si="13"/>
        <v>3.2787491768118824</v>
      </c>
      <c r="G281" s="3">
        <f>IF($E281="","", DEGREES(ATAN((INDEX([1]Calc!$E:$E, MATCH("KminusZ_m", [1]Calc!$C:$C, 0)) - $E281 + $B281) / INDEX([1]Calc!$E:$E, MATCH("L_ramp_m", [1]Calc!$C:$C, 0)))))</f>
        <v>6.0000000000000009</v>
      </c>
      <c r="H281" s="2" t="str">
        <f>IF($E281="","", IF(AND($E281&gt;=INDEX([1]Calc!$E:$E, MATCH("min_fwd_draft_m", [1]Calc!$C:$C, 0)), $E281&lt;=INDEX([1]Calc!$E:$E, MATCH("max_fwd_draft_m", [1]Calc!$C:$C, 0)), $G281&lt;=INDEX([1]Calc!$E:$E, MATCH("theta_max_deg", [1]Calc!$C:$C, 0))), "OK", "CHECK"))</f>
        <v>OK</v>
      </c>
      <c r="I281" s="3">
        <f>IF($E281="","", INDEX([1]Calc!$E:$E, MATCH("D_vessel_m", [1]Calc!$C:$C, 0)) - $E281 + $B281)</f>
        <v>1.9112508231881176</v>
      </c>
      <c r="J281" s="3">
        <f>IF($F281="","", INDEX([1]Calc!$E:$E, MATCH("D_vessel_m", [1]Calc!$C:$C, 0)) - $F281 + $B281)</f>
        <v>1.9112508231881176</v>
      </c>
      <c r="K281" s="2" t="str">
        <f t="shared" si="14"/>
        <v>Even Keel</v>
      </c>
    </row>
    <row r="282" spans="1:11" x14ac:dyDescent="0.6">
      <c r="A282" s="2" t="str">
        <f>IF('December_Tide_2025 (2)'!A282="","",'December_Tide_2025 (2)'!A282)</f>
        <v>2025-12-12 16:00:00</v>
      </c>
      <c r="B282" s="3">
        <f>IF('December_Tide_2025 (2)'!B282="","",'December_Tide_2025 (2)'!B282)</f>
        <v>1.1399999999999999</v>
      </c>
      <c r="C282" s="3">
        <f>IF($A282="","", INDEX([1]Calc!$E:$E, MATCH("KminusZ_m", [1]Calc!$C:$C, 0)) + $B282 - INDEX([1]Calc!$E:$E, MATCH("L_ramp_m", [1]Calc!$C:$C, 0)) * TAN(RADIANS(INDEX([1]Calc!$E:$E, MATCH("theta_max_deg", [1]Calc!$C:$C, 0)))))</f>
        <v>2.878749176811882</v>
      </c>
      <c r="D282" s="3"/>
      <c r="E282" s="3">
        <f t="shared" si="12"/>
        <v>2.878749176811882</v>
      </c>
      <c r="F282" s="3">
        <f t="shared" si="13"/>
        <v>2.878749176811882</v>
      </c>
      <c r="G282" s="3">
        <f>IF($E282="","", DEGREES(ATAN((INDEX([1]Calc!$E:$E, MATCH("KminusZ_m", [1]Calc!$C:$C, 0)) - $E282 + $B282) / INDEX([1]Calc!$E:$E, MATCH("L_ramp_m", [1]Calc!$C:$C, 0)))))</f>
        <v>6.0000000000000009</v>
      </c>
      <c r="H282" s="2" t="str">
        <f>IF($E282="","", IF(AND($E282&gt;=INDEX([1]Calc!$E:$E, MATCH("min_fwd_draft_m", [1]Calc!$C:$C, 0)), $E282&lt;=INDEX([1]Calc!$E:$E, MATCH("max_fwd_draft_m", [1]Calc!$C:$C, 0)), $G282&lt;=INDEX([1]Calc!$E:$E, MATCH("theta_max_deg", [1]Calc!$C:$C, 0))), "OK", "CHECK"))</f>
        <v>OK</v>
      </c>
      <c r="I282" s="3">
        <f>IF($E282="","", INDEX([1]Calc!$E:$E, MATCH("D_vessel_m", [1]Calc!$C:$C, 0)) - $E282 + $B282)</f>
        <v>1.9112508231881178</v>
      </c>
      <c r="J282" s="3">
        <f>IF($F282="","", INDEX([1]Calc!$E:$E, MATCH("D_vessel_m", [1]Calc!$C:$C, 0)) - $F282 + $B282)</f>
        <v>1.9112508231881178</v>
      </c>
      <c r="K282" s="2" t="str">
        <f t="shared" si="14"/>
        <v>Even Keel</v>
      </c>
    </row>
    <row r="283" spans="1:11" x14ac:dyDescent="0.6">
      <c r="A283" s="2" t="str">
        <f>IF('December_Tide_2025 (2)'!A283="","",'December_Tide_2025 (2)'!A283)</f>
        <v>2025-12-12 17:00:00</v>
      </c>
      <c r="B283" s="3">
        <f>IF('December_Tide_2025 (2)'!B283="","",'December_Tide_2025 (2)'!B283)</f>
        <v>0.9</v>
      </c>
      <c r="C283" s="3">
        <f>IF($A283="","", INDEX([1]Calc!$E:$E, MATCH("KminusZ_m", [1]Calc!$C:$C, 0)) + $B283 - INDEX([1]Calc!$E:$E, MATCH("L_ramp_m", [1]Calc!$C:$C, 0)) * TAN(RADIANS(INDEX([1]Calc!$E:$E, MATCH("theta_max_deg", [1]Calc!$C:$C, 0)))))</f>
        <v>2.6387491768118823</v>
      </c>
      <c r="D283" s="3"/>
      <c r="E283" s="3">
        <f t="shared" si="12"/>
        <v>2.6387491768118823</v>
      </c>
      <c r="F283" s="3">
        <f t="shared" si="13"/>
        <v>2.6387491768118823</v>
      </c>
      <c r="G283" s="3">
        <f>IF($E283="","", DEGREES(ATAN((INDEX([1]Calc!$E:$E, MATCH("KminusZ_m", [1]Calc!$C:$C, 0)) - $E283 + $B283) / INDEX([1]Calc!$E:$E, MATCH("L_ramp_m", [1]Calc!$C:$C, 0)))))</f>
        <v>6.0000000000000009</v>
      </c>
      <c r="H283" s="2" t="str">
        <f>IF($E283="","", IF(AND($E283&gt;=INDEX([1]Calc!$E:$E, MATCH("min_fwd_draft_m", [1]Calc!$C:$C, 0)), $E283&lt;=INDEX([1]Calc!$E:$E, MATCH("max_fwd_draft_m", [1]Calc!$C:$C, 0)), $G283&lt;=INDEX([1]Calc!$E:$E, MATCH("theta_max_deg", [1]Calc!$C:$C, 0))), "OK", "CHECK"))</f>
        <v>OK</v>
      </c>
      <c r="I283" s="3">
        <f>IF($E283="","", INDEX([1]Calc!$E:$E, MATCH("D_vessel_m", [1]Calc!$C:$C, 0)) - $E283 + $B283)</f>
        <v>1.9112508231881176</v>
      </c>
      <c r="J283" s="3">
        <f>IF($F283="","", INDEX([1]Calc!$E:$E, MATCH("D_vessel_m", [1]Calc!$C:$C, 0)) - $F283 + $B283)</f>
        <v>1.9112508231881176</v>
      </c>
      <c r="K283" s="2" t="str">
        <f t="shared" si="14"/>
        <v>Even Keel</v>
      </c>
    </row>
    <row r="284" spans="1:11" x14ac:dyDescent="0.6">
      <c r="A284" s="2" t="str">
        <f>IF('December_Tide_2025 (2)'!A284="","",'December_Tide_2025 (2)'!A284)</f>
        <v>2025-12-12 18:00:00</v>
      </c>
      <c r="B284" s="3">
        <f>IF('December_Tide_2025 (2)'!B284="","",'December_Tide_2025 (2)'!B284)</f>
        <v>0.89</v>
      </c>
      <c r="C284" s="3">
        <f>IF($A284="","", INDEX([1]Calc!$E:$E, MATCH("KminusZ_m", [1]Calc!$C:$C, 0)) + $B284 - INDEX([1]Calc!$E:$E, MATCH("L_ramp_m", [1]Calc!$C:$C, 0)) * TAN(RADIANS(INDEX([1]Calc!$E:$E, MATCH("theta_max_deg", [1]Calc!$C:$C, 0)))))</f>
        <v>2.6287491768118825</v>
      </c>
      <c r="D284" s="3"/>
      <c r="E284" s="3">
        <f t="shared" si="12"/>
        <v>2.6287491768118825</v>
      </c>
      <c r="F284" s="3">
        <f t="shared" si="13"/>
        <v>2.6287491768118825</v>
      </c>
      <c r="G284" s="3">
        <f>IF($E284="","", DEGREES(ATAN((INDEX([1]Calc!$E:$E, MATCH("KminusZ_m", [1]Calc!$C:$C, 0)) - $E284 + $B284) / INDEX([1]Calc!$E:$E, MATCH("L_ramp_m", [1]Calc!$C:$C, 0)))))</f>
        <v>6.0000000000000009</v>
      </c>
      <c r="H284" s="2" t="str">
        <f>IF($E284="","", IF(AND($E284&gt;=INDEX([1]Calc!$E:$E, MATCH("min_fwd_draft_m", [1]Calc!$C:$C, 0)), $E284&lt;=INDEX([1]Calc!$E:$E, MATCH("max_fwd_draft_m", [1]Calc!$C:$C, 0)), $G284&lt;=INDEX([1]Calc!$E:$E, MATCH("theta_max_deg", [1]Calc!$C:$C, 0))), "OK", "CHECK"))</f>
        <v>OK</v>
      </c>
      <c r="I284" s="3">
        <f>IF($E284="","", INDEX([1]Calc!$E:$E, MATCH("D_vessel_m", [1]Calc!$C:$C, 0)) - $E284 + $B284)</f>
        <v>1.9112508231881176</v>
      </c>
      <c r="J284" s="3">
        <f>IF($F284="","", INDEX([1]Calc!$E:$E, MATCH("D_vessel_m", [1]Calc!$C:$C, 0)) - $F284 + $B284)</f>
        <v>1.9112508231881176</v>
      </c>
      <c r="K284" s="2" t="str">
        <f t="shared" si="14"/>
        <v>Even Keel</v>
      </c>
    </row>
    <row r="285" spans="1:11" x14ac:dyDescent="0.6">
      <c r="A285" s="2" t="str">
        <f>IF('December_Tide_2025 (2)'!A285="","",'December_Tide_2025 (2)'!A285)</f>
        <v>2025-12-12 19:00:00</v>
      </c>
      <c r="B285" s="3">
        <f>IF('December_Tide_2025 (2)'!B285="","",'December_Tide_2025 (2)'!B285)</f>
        <v>1.1100000000000001</v>
      </c>
      <c r="C285" s="3">
        <f>IF($A285="","", INDEX([1]Calc!$E:$E, MATCH("KminusZ_m", [1]Calc!$C:$C, 0)) + $B285 - INDEX([1]Calc!$E:$E, MATCH("L_ramp_m", [1]Calc!$C:$C, 0)) * TAN(RADIANS(INDEX([1]Calc!$E:$E, MATCH("theta_max_deg", [1]Calc!$C:$C, 0)))))</f>
        <v>2.8487491768118827</v>
      </c>
      <c r="D285" s="3"/>
      <c r="E285" s="3">
        <f t="shared" si="12"/>
        <v>2.8487491768118827</v>
      </c>
      <c r="F285" s="3">
        <f t="shared" si="13"/>
        <v>2.8487491768118827</v>
      </c>
      <c r="G285" s="3">
        <f>IF($E285="","", DEGREES(ATAN((INDEX([1]Calc!$E:$E, MATCH("KminusZ_m", [1]Calc!$C:$C, 0)) - $E285 + $B285) / INDEX([1]Calc!$E:$E, MATCH("L_ramp_m", [1]Calc!$C:$C, 0)))))</f>
        <v>6</v>
      </c>
      <c r="H285" s="2" t="str">
        <f>IF($E285="","", IF(AND($E285&gt;=INDEX([1]Calc!$E:$E, MATCH("min_fwd_draft_m", [1]Calc!$C:$C, 0)), $E285&lt;=INDEX([1]Calc!$E:$E, MATCH("max_fwd_draft_m", [1]Calc!$C:$C, 0)), $G285&lt;=INDEX([1]Calc!$E:$E, MATCH("theta_max_deg", [1]Calc!$C:$C, 0))), "OK", "CHECK"))</f>
        <v>OK</v>
      </c>
      <c r="I285" s="3">
        <f>IF($E285="","", INDEX([1]Calc!$E:$E, MATCH("D_vessel_m", [1]Calc!$C:$C, 0)) - $E285 + $B285)</f>
        <v>1.9112508231881173</v>
      </c>
      <c r="J285" s="3">
        <f>IF($F285="","", INDEX([1]Calc!$E:$E, MATCH("D_vessel_m", [1]Calc!$C:$C, 0)) - $F285 + $B285)</f>
        <v>1.9112508231881173</v>
      </c>
      <c r="K285" s="2" t="str">
        <f t="shared" si="14"/>
        <v>Even Keel</v>
      </c>
    </row>
    <row r="286" spans="1:11" x14ac:dyDescent="0.6">
      <c r="A286" s="2" t="str">
        <f>IF('December_Tide_2025 (2)'!A286="","",'December_Tide_2025 (2)'!A286)</f>
        <v>2025-12-12 20:00:00</v>
      </c>
      <c r="B286" s="3">
        <f>IF('December_Tide_2025 (2)'!B286="","",'December_Tide_2025 (2)'!B286)</f>
        <v>1.5</v>
      </c>
      <c r="C286" s="3">
        <f>IF($A286="","", INDEX([1]Calc!$E:$E, MATCH("KminusZ_m", [1]Calc!$C:$C, 0)) + $B286 - INDEX([1]Calc!$E:$E, MATCH("L_ramp_m", [1]Calc!$C:$C, 0)) * TAN(RADIANS(INDEX([1]Calc!$E:$E, MATCH("theta_max_deg", [1]Calc!$C:$C, 0)))))</f>
        <v>3.2387491768118823</v>
      </c>
      <c r="D286" s="3"/>
      <c r="E286" s="3">
        <f t="shared" si="12"/>
        <v>3.2387491768118823</v>
      </c>
      <c r="F286" s="3">
        <f t="shared" si="13"/>
        <v>3.2387491768118823</v>
      </c>
      <c r="G286" s="3">
        <f>IF($E286="","", DEGREES(ATAN((INDEX([1]Calc!$E:$E, MATCH("KminusZ_m", [1]Calc!$C:$C, 0)) - $E286 + $B286) / INDEX([1]Calc!$E:$E, MATCH("L_ramp_m", [1]Calc!$C:$C, 0)))))</f>
        <v>6.0000000000000009</v>
      </c>
      <c r="H286" s="2" t="str">
        <f>IF($E286="","", IF(AND($E286&gt;=INDEX([1]Calc!$E:$E, MATCH("min_fwd_draft_m", [1]Calc!$C:$C, 0)), $E286&lt;=INDEX([1]Calc!$E:$E, MATCH("max_fwd_draft_m", [1]Calc!$C:$C, 0)), $G286&lt;=INDEX([1]Calc!$E:$E, MATCH("theta_max_deg", [1]Calc!$C:$C, 0))), "OK", "CHECK"))</f>
        <v>OK</v>
      </c>
      <c r="I286" s="3">
        <f>IF($E286="","", INDEX([1]Calc!$E:$E, MATCH("D_vessel_m", [1]Calc!$C:$C, 0)) - $E286 + $B286)</f>
        <v>1.9112508231881176</v>
      </c>
      <c r="J286" s="3">
        <f>IF($F286="","", INDEX([1]Calc!$E:$E, MATCH("D_vessel_m", [1]Calc!$C:$C, 0)) - $F286 + $B286)</f>
        <v>1.9112508231881176</v>
      </c>
      <c r="K286" s="2" t="str">
        <f t="shared" si="14"/>
        <v>Even Keel</v>
      </c>
    </row>
    <row r="287" spans="1:11" x14ac:dyDescent="0.6">
      <c r="A287" s="2" t="str">
        <f>IF('December_Tide_2025 (2)'!A287="","",'December_Tide_2025 (2)'!A287)</f>
        <v>2025-12-12 21:00:00</v>
      </c>
      <c r="B287" s="3">
        <f>IF('December_Tide_2025 (2)'!B287="","",'December_Tide_2025 (2)'!B287)</f>
        <v>1.97</v>
      </c>
      <c r="C287" s="3">
        <f>IF($A287="","", INDEX([1]Calc!$E:$E, MATCH("KminusZ_m", [1]Calc!$C:$C, 0)) + $B287 - INDEX([1]Calc!$E:$E, MATCH("L_ramp_m", [1]Calc!$C:$C, 0)) * TAN(RADIANS(INDEX([1]Calc!$E:$E, MATCH("theta_max_deg", [1]Calc!$C:$C, 0)))))</f>
        <v>3.7087491768118821</v>
      </c>
      <c r="D287" s="3"/>
      <c r="E287" s="3">
        <f t="shared" si="12"/>
        <v>3.7087491768118821</v>
      </c>
      <c r="F287" s="3">
        <f t="shared" si="13"/>
        <v>3.7087491768118821</v>
      </c>
      <c r="G287" s="3">
        <f>IF($E287="","", DEGREES(ATAN((INDEX([1]Calc!$E:$E, MATCH("KminusZ_m", [1]Calc!$C:$C, 0)) - $E287 + $B287) / INDEX([1]Calc!$E:$E, MATCH("L_ramp_m", [1]Calc!$C:$C, 0)))))</f>
        <v>6.0000000000000009</v>
      </c>
      <c r="H287" s="2" t="str">
        <f>IF($E287="","", IF(AND($E287&gt;=INDEX([1]Calc!$E:$E, MATCH("min_fwd_draft_m", [1]Calc!$C:$C, 0)), $E287&lt;=INDEX([1]Calc!$E:$E, MATCH("max_fwd_draft_m", [1]Calc!$C:$C, 0)), $G287&lt;=INDEX([1]Calc!$E:$E, MATCH("theta_max_deg", [1]Calc!$C:$C, 0))), "OK", "CHECK"))</f>
        <v>CHECK</v>
      </c>
      <c r="I287" s="3">
        <f>IF($E287="","", INDEX([1]Calc!$E:$E, MATCH("D_vessel_m", [1]Calc!$C:$C, 0)) - $E287 + $B287)</f>
        <v>1.9112508231881178</v>
      </c>
      <c r="J287" s="3">
        <f>IF($F287="","", INDEX([1]Calc!$E:$E, MATCH("D_vessel_m", [1]Calc!$C:$C, 0)) - $F287 + $B287)</f>
        <v>1.9112508231881178</v>
      </c>
      <c r="K287" s="2" t="str">
        <f t="shared" si="14"/>
        <v>Even Keel</v>
      </c>
    </row>
    <row r="288" spans="1:11" x14ac:dyDescent="0.6">
      <c r="A288" s="2" t="str">
        <f>IF('December_Tide_2025 (2)'!A288="","",'December_Tide_2025 (2)'!A288)</f>
        <v>2025-12-12 22:00:00</v>
      </c>
      <c r="B288" s="3">
        <f>IF('December_Tide_2025 (2)'!B288="","",'December_Tide_2025 (2)'!B288)</f>
        <v>2.39</v>
      </c>
      <c r="C288" s="3">
        <f>IF($A288="","", INDEX([1]Calc!$E:$E, MATCH("KminusZ_m", [1]Calc!$C:$C, 0)) + $B288 - INDEX([1]Calc!$E:$E, MATCH("L_ramp_m", [1]Calc!$C:$C, 0)) * TAN(RADIANS(INDEX([1]Calc!$E:$E, MATCH("theta_max_deg", [1]Calc!$C:$C, 0)))))</f>
        <v>4.1287491768118834</v>
      </c>
      <c r="D288" s="3"/>
      <c r="E288" s="3">
        <f t="shared" si="12"/>
        <v>4.1287491768118834</v>
      </c>
      <c r="F288" s="3">
        <f t="shared" si="13"/>
        <v>4.1287491768118834</v>
      </c>
      <c r="G288" s="3">
        <f>IF($E288="","", DEGREES(ATAN((INDEX([1]Calc!$E:$E, MATCH("KminusZ_m", [1]Calc!$C:$C, 0)) - $E288 + $B288) / INDEX([1]Calc!$E:$E, MATCH("L_ramp_m", [1]Calc!$C:$C, 0)))))</f>
        <v>5.9999999999999964</v>
      </c>
      <c r="H288" s="2" t="str">
        <f>IF($E288="","", IF(AND($E288&gt;=INDEX([1]Calc!$E:$E, MATCH("min_fwd_draft_m", [1]Calc!$C:$C, 0)), $E288&lt;=INDEX([1]Calc!$E:$E, MATCH("max_fwd_draft_m", [1]Calc!$C:$C, 0)), $G288&lt;=INDEX([1]Calc!$E:$E, MATCH("theta_max_deg", [1]Calc!$C:$C, 0))), "OK", "CHECK"))</f>
        <v>CHECK</v>
      </c>
      <c r="I288" s="3">
        <f>IF($E288="","", INDEX([1]Calc!$E:$E, MATCH("D_vessel_m", [1]Calc!$C:$C, 0)) - $E288 + $B288)</f>
        <v>1.9112508231881167</v>
      </c>
      <c r="J288" s="3">
        <f>IF($F288="","", INDEX([1]Calc!$E:$E, MATCH("D_vessel_m", [1]Calc!$C:$C, 0)) - $F288 + $B288)</f>
        <v>1.9112508231881167</v>
      </c>
      <c r="K288" s="2" t="str">
        <f t="shared" si="14"/>
        <v>Even Keel</v>
      </c>
    </row>
    <row r="289" spans="1:11" x14ac:dyDescent="0.6">
      <c r="A289" s="2" t="str">
        <f>IF('December_Tide_2025 (2)'!A289="","",'December_Tide_2025 (2)'!A289)</f>
        <v>2025-12-12 23:00:00</v>
      </c>
      <c r="B289" s="3">
        <f>IF('December_Tide_2025 (2)'!B289="","",'December_Tide_2025 (2)'!B289)</f>
        <v>2.67</v>
      </c>
      <c r="C289" s="3">
        <f>IF($A289="","", INDEX([1]Calc!$E:$E, MATCH("KminusZ_m", [1]Calc!$C:$C, 0)) + $B289 - INDEX([1]Calc!$E:$E, MATCH("L_ramp_m", [1]Calc!$C:$C, 0)) * TAN(RADIANS(INDEX([1]Calc!$E:$E, MATCH("theta_max_deg", [1]Calc!$C:$C, 0)))))</f>
        <v>4.4087491768118827</v>
      </c>
      <c r="D289" s="3"/>
      <c r="E289" s="3">
        <f t="shared" si="12"/>
        <v>4.4087491768118827</v>
      </c>
      <c r="F289" s="3">
        <f t="shared" si="13"/>
        <v>4.4087491768118827</v>
      </c>
      <c r="G289" s="3">
        <f>IF($E289="","", DEGREES(ATAN((INDEX([1]Calc!$E:$E, MATCH("KminusZ_m", [1]Calc!$C:$C, 0)) - $E289 + $B289) / INDEX([1]Calc!$E:$E, MATCH("L_ramp_m", [1]Calc!$C:$C, 0)))))</f>
        <v>5.9999999999999982</v>
      </c>
      <c r="H289" s="2" t="str">
        <f>IF($E289="","", IF(AND($E289&gt;=INDEX([1]Calc!$E:$E, MATCH("min_fwd_draft_m", [1]Calc!$C:$C, 0)), $E289&lt;=INDEX([1]Calc!$E:$E, MATCH("max_fwd_draft_m", [1]Calc!$C:$C, 0)), $G289&lt;=INDEX([1]Calc!$E:$E, MATCH("theta_max_deg", [1]Calc!$C:$C, 0))), "OK", "CHECK"))</f>
        <v>CHECK</v>
      </c>
      <c r="I289" s="3">
        <f>IF($E289="","", INDEX([1]Calc!$E:$E, MATCH("D_vessel_m", [1]Calc!$C:$C, 0)) - $E289 + $B289)</f>
        <v>1.9112508231881171</v>
      </c>
      <c r="J289" s="3">
        <f>IF($F289="","", INDEX([1]Calc!$E:$E, MATCH("D_vessel_m", [1]Calc!$C:$C, 0)) - $F289 + $B289)</f>
        <v>1.9112508231881171</v>
      </c>
      <c r="K289" s="2" t="str">
        <f t="shared" si="14"/>
        <v>Even Keel</v>
      </c>
    </row>
    <row r="290" spans="1:11" x14ac:dyDescent="0.6">
      <c r="A290" s="2" t="str">
        <f>IF('December_Tide_2025 (2)'!A290="","",'December_Tide_2025 (2)'!A290)</f>
        <v>2025-12-13 00:00:00</v>
      </c>
      <c r="B290" s="3">
        <f>IF('December_Tide_2025 (2)'!B290="","",'December_Tide_2025 (2)'!B290)</f>
        <v>2.73</v>
      </c>
      <c r="C290" s="3">
        <f>IF($A290="","", INDEX([1]Calc!$E:$E, MATCH("KminusZ_m", [1]Calc!$C:$C, 0)) + $B290 - INDEX([1]Calc!$E:$E, MATCH("L_ramp_m", [1]Calc!$C:$C, 0)) * TAN(RADIANS(INDEX([1]Calc!$E:$E, MATCH("theta_max_deg", [1]Calc!$C:$C, 0)))))</f>
        <v>4.4687491768118832</v>
      </c>
      <c r="D290" s="3"/>
      <c r="E290" s="3">
        <f t="shared" si="12"/>
        <v>4.4687491768118832</v>
      </c>
      <c r="F290" s="3">
        <f t="shared" si="13"/>
        <v>4.4687491768118832</v>
      </c>
      <c r="G290" s="3">
        <f>IF($E290="","", DEGREES(ATAN((INDEX([1]Calc!$E:$E, MATCH("KminusZ_m", [1]Calc!$C:$C, 0)) - $E290 + $B290) / INDEX([1]Calc!$E:$E, MATCH("L_ramp_m", [1]Calc!$C:$C, 0)))))</f>
        <v>5.9999999999999964</v>
      </c>
      <c r="H290" s="2" t="str">
        <f>IF($E290="","", IF(AND($E290&gt;=INDEX([1]Calc!$E:$E, MATCH("min_fwd_draft_m", [1]Calc!$C:$C, 0)), $E290&lt;=INDEX([1]Calc!$E:$E, MATCH("max_fwd_draft_m", [1]Calc!$C:$C, 0)), $G290&lt;=INDEX([1]Calc!$E:$E, MATCH("theta_max_deg", [1]Calc!$C:$C, 0))), "OK", "CHECK"))</f>
        <v>CHECK</v>
      </c>
      <c r="I290" s="3">
        <f>IF($E290="","", INDEX([1]Calc!$E:$E, MATCH("D_vessel_m", [1]Calc!$C:$C, 0)) - $E290 + $B290)</f>
        <v>1.9112508231881167</v>
      </c>
      <c r="J290" s="3">
        <f>IF($F290="","", INDEX([1]Calc!$E:$E, MATCH("D_vessel_m", [1]Calc!$C:$C, 0)) - $F290 + $B290)</f>
        <v>1.9112508231881167</v>
      </c>
      <c r="K290" s="2" t="str">
        <f t="shared" si="14"/>
        <v>Even Keel</v>
      </c>
    </row>
    <row r="291" spans="1:11" x14ac:dyDescent="0.6">
      <c r="A291" s="2" t="str">
        <f>IF('December_Tide_2025 (2)'!A291="","",'December_Tide_2025 (2)'!A291)</f>
        <v>2025-12-13 01:00:00</v>
      </c>
      <c r="B291" s="3">
        <f>IF('December_Tide_2025 (2)'!B291="","",'December_Tide_2025 (2)'!B291)</f>
        <v>2.5499999999999998</v>
      </c>
      <c r="C291" s="3">
        <f>IF($A291="","", INDEX([1]Calc!$E:$E, MATCH("KminusZ_m", [1]Calc!$C:$C, 0)) + $B291 - INDEX([1]Calc!$E:$E, MATCH("L_ramp_m", [1]Calc!$C:$C, 0)) * TAN(RADIANS(INDEX([1]Calc!$E:$E, MATCH("theta_max_deg", [1]Calc!$C:$C, 0)))))</f>
        <v>4.2887491768118817</v>
      </c>
      <c r="D291" s="3"/>
      <c r="E291" s="3">
        <f t="shared" si="12"/>
        <v>4.2887491768118817</v>
      </c>
      <c r="F291" s="3">
        <f t="shared" si="13"/>
        <v>4.2887491768118817</v>
      </c>
      <c r="G291" s="3">
        <f>IF($E291="","", DEGREES(ATAN((INDEX([1]Calc!$E:$E, MATCH("KminusZ_m", [1]Calc!$C:$C, 0)) - $E291 + $B291) / INDEX([1]Calc!$E:$E, MATCH("L_ramp_m", [1]Calc!$C:$C, 0)))))</f>
        <v>6.0000000000000027</v>
      </c>
      <c r="H291" s="2" t="str">
        <f>IF($E291="","", IF(AND($E291&gt;=INDEX([1]Calc!$E:$E, MATCH("min_fwd_draft_m", [1]Calc!$C:$C, 0)), $E291&lt;=INDEX([1]Calc!$E:$E, MATCH("max_fwd_draft_m", [1]Calc!$C:$C, 0)), $G291&lt;=INDEX([1]Calc!$E:$E, MATCH("theta_max_deg", [1]Calc!$C:$C, 0))), "OK", "CHECK"))</f>
        <v>CHECK</v>
      </c>
      <c r="I291" s="3">
        <f>IF($E291="","", INDEX([1]Calc!$E:$E, MATCH("D_vessel_m", [1]Calc!$C:$C, 0)) - $E291 + $B291)</f>
        <v>1.911250823188118</v>
      </c>
      <c r="J291" s="3">
        <f>IF($F291="","", INDEX([1]Calc!$E:$E, MATCH("D_vessel_m", [1]Calc!$C:$C, 0)) - $F291 + $B291)</f>
        <v>1.911250823188118</v>
      </c>
      <c r="K291" s="2" t="str">
        <f t="shared" si="14"/>
        <v>Even Keel</v>
      </c>
    </row>
    <row r="292" spans="1:11" x14ac:dyDescent="0.6">
      <c r="A292" s="2" t="str">
        <f>IF('December_Tide_2025 (2)'!A292="","",'December_Tide_2025 (2)'!A292)</f>
        <v>2025-12-13 02:00:00</v>
      </c>
      <c r="B292" s="3">
        <f>IF('December_Tide_2025 (2)'!B292="","",'December_Tide_2025 (2)'!B292)</f>
        <v>2.19</v>
      </c>
      <c r="C292" s="3">
        <f>IF($A292="","", INDEX([1]Calc!$E:$E, MATCH("KminusZ_m", [1]Calc!$C:$C, 0)) + $B292 - INDEX([1]Calc!$E:$E, MATCH("L_ramp_m", [1]Calc!$C:$C, 0)) * TAN(RADIANS(INDEX([1]Calc!$E:$E, MATCH("theta_max_deg", [1]Calc!$C:$C, 0)))))</f>
        <v>3.9287491768118818</v>
      </c>
      <c r="D292" s="3"/>
      <c r="E292" s="3">
        <f t="shared" si="12"/>
        <v>3.9287491768118818</v>
      </c>
      <c r="F292" s="3">
        <f t="shared" si="13"/>
        <v>3.9287491768118818</v>
      </c>
      <c r="G292" s="3">
        <f>IF($E292="","", DEGREES(ATAN((INDEX([1]Calc!$E:$E, MATCH("KminusZ_m", [1]Calc!$C:$C, 0)) - $E292 + $B292) / INDEX([1]Calc!$E:$E, MATCH("L_ramp_m", [1]Calc!$C:$C, 0)))))</f>
        <v>6.0000000000000027</v>
      </c>
      <c r="H292" s="2" t="str">
        <f>IF($E292="","", IF(AND($E292&gt;=INDEX([1]Calc!$E:$E, MATCH("min_fwd_draft_m", [1]Calc!$C:$C, 0)), $E292&lt;=INDEX([1]Calc!$E:$E, MATCH("max_fwd_draft_m", [1]Calc!$C:$C, 0)), $G292&lt;=INDEX([1]Calc!$E:$E, MATCH("theta_max_deg", [1]Calc!$C:$C, 0))), "OK", "CHECK"))</f>
        <v>CHECK</v>
      </c>
      <c r="I292" s="3">
        <f>IF($E292="","", INDEX([1]Calc!$E:$E, MATCH("D_vessel_m", [1]Calc!$C:$C, 0)) - $E292 + $B292)</f>
        <v>1.911250823188118</v>
      </c>
      <c r="J292" s="3">
        <f>IF($F292="","", INDEX([1]Calc!$E:$E, MATCH("D_vessel_m", [1]Calc!$C:$C, 0)) - $F292 + $B292)</f>
        <v>1.911250823188118</v>
      </c>
      <c r="K292" s="2" t="str">
        <f t="shared" si="14"/>
        <v>Even Keel</v>
      </c>
    </row>
    <row r="293" spans="1:11" x14ac:dyDescent="0.6">
      <c r="A293" s="2" t="str">
        <f>IF('December_Tide_2025 (2)'!A293="","",'December_Tide_2025 (2)'!A293)</f>
        <v>2025-12-13 03:00:00</v>
      </c>
      <c r="B293" s="3">
        <f>IF('December_Tide_2025 (2)'!B293="","",'December_Tide_2025 (2)'!B293)</f>
        <v>1.73</v>
      </c>
      <c r="C293" s="3">
        <f>IF($A293="","", INDEX([1]Calc!$E:$E, MATCH("KminusZ_m", [1]Calc!$C:$C, 0)) + $B293 - INDEX([1]Calc!$E:$E, MATCH("L_ramp_m", [1]Calc!$C:$C, 0)) * TAN(RADIANS(INDEX([1]Calc!$E:$E, MATCH("theta_max_deg", [1]Calc!$C:$C, 0)))))</f>
        <v>3.4687491768118828</v>
      </c>
      <c r="D293" s="3"/>
      <c r="E293" s="3">
        <f t="shared" si="12"/>
        <v>3.4687491768118828</v>
      </c>
      <c r="F293" s="3">
        <f t="shared" si="13"/>
        <v>3.4687491768118828</v>
      </c>
      <c r="G293" s="3">
        <f>IF($E293="","", DEGREES(ATAN((INDEX([1]Calc!$E:$E, MATCH("KminusZ_m", [1]Calc!$C:$C, 0)) - $E293 + $B293) / INDEX([1]Calc!$E:$E, MATCH("L_ramp_m", [1]Calc!$C:$C, 0)))))</f>
        <v>5.9999999999999982</v>
      </c>
      <c r="H293" s="2" t="str">
        <f>IF($E293="","", IF(AND($E293&gt;=INDEX([1]Calc!$E:$E, MATCH("min_fwd_draft_m", [1]Calc!$C:$C, 0)), $E293&lt;=INDEX([1]Calc!$E:$E, MATCH("max_fwd_draft_m", [1]Calc!$C:$C, 0)), $G293&lt;=INDEX([1]Calc!$E:$E, MATCH("theta_max_deg", [1]Calc!$C:$C, 0))), "OK", "CHECK"))</f>
        <v>OK</v>
      </c>
      <c r="I293" s="3">
        <f>IF($E293="","", INDEX([1]Calc!$E:$E, MATCH("D_vessel_m", [1]Calc!$C:$C, 0)) - $E293 + $B293)</f>
        <v>1.9112508231881171</v>
      </c>
      <c r="J293" s="3">
        <f>IF($F293="","", INDEX([1]Calc!$E:$E, MATCH("D_vessel_m", [1]Calc!$C:$C, 0)) - $F293 + $B293)</f>
        <v>1.9112508231881171</v>
      </c>
      <c r="K293" s="2" t="str">
        <f t="shared" si="14"/>
        <v>Even Keel</v>
      </c>
    </row>
    <row r="294" spans="1:11" x14ac:dyDescent="0.6">
      <c r="A294" s="2" t="str">
        <f>IF('December_Tide_2025 (2)'!A294="","",'December_Tide_2025 (2)'!A294)</f>
        <v>2025-12-13 04:00:00</v>
      </c>
      <c r="B294" s="3">
        <f>IF('December_Tide_2025 (2)'!B294="","",'December_Tide_2025 (2)'!B294)</f>
        <v>1.28</v>
      </c>
      <c r="C294" s="3">
        <f>IF($A294="","", INDEX([1]Calc!$E:$E, MATCH("KminusZ_m", [1]Calc!$C:$C, 0)) + $B294 - INDEX([1]Calc!$E:$E, MATCH("L_ramp_m", [1]Calc!$C:$C, 0)) * TAN(RADIANS(INDEX([1]Calc!$E:$E, MATCH("theta_max_deg", [1]Calc!$C:$C, 0)))))</f>
        <v>3.0187491768118826</v>
      </c>
      <c r="D294" s="3"/>
      <c r="E294" s="3">
        <f t="shared" si="12"/>
        <v>3.0187491768118826</v>
      </c>
      <c r="F294" s="3">
        <f t="shared" si="13"/>
        <v>3.0187491768118826</v>
      </c>
      <c r="G294" s="3">
        <f>IF($E294="","", DEGREES(ATAN((INDEX([1]Calc!$E:$E, MATCH("KminusZ_m", [1]Calc!$C:$C, 0)) - $E294 + $B294) / INDEX([1]Calc!$E:$E, MATCH("L_ramp_m", [1]Calc!$C:$C, 0)))))</f>
        <v>6</v>
      </c>
      <c r="H294" s="2" t="str">
        <f>IF($E294="","", IF(AND($E294&gt;=INDEX([1]Calc!$E:$E, MATCH("min_fwd_draft_m", [1]Calc!$C:$C, 0)), $E294&lt;=INDEX([1]Calc!$E:$E, MATCH("max_fwd_draft_m", [1]Calc!$C:$C, 0)), $G294&lt;=INDEX([1]Calc!$E:$E, MATCH("theta_max_deg", [1]Calc!$C:$C, 0))), "OK", "CHECK"))</f>
        <v>OK</v>
      </c>
      <c r="I294" s="3">
        <f>IF($E294="","", INDEX([1]Calc!$E:$E, MATCH("D_vessel_m", [1]Calc!$C:$C, 0)) - $E294 + $B294)</f>
        <v>1.9112508231881173</v>
      </c>
      <c r="J294" s="3">
        <f>IF($F294="","", INDEX([1]Calc!$E:$E, MATCH("D_vessel_m", [1]Calc!$C:$C, 0)) - $F294 + $B294)</f>
        <v>1.9112508231881173</v>
      </c>
      <c r="K294" s="2" t="str">
        <f t="shared" si="14"/>
        <v>Even Keel</v>
      </c>
    </row>
    <row r="295" spans="1:11" x14ac:dyDescent="0.6">
      <c r="A295" s="2" t="str">
        <f>IF('December_Tide_2025 (2)'!A295="","",'December_Tide_2025 (2)'!A295)</f>
        <v>2025-12-13 05:00:00</v>
      </c>
      <c r="B295" s="3">
        <f>IF('December_Tide_2025 (2)'!B295="","",'December_Tide_2025 (2)'!B295)</f>
        <v>0.97</v>
      </c>
      <c r="C295" s="3">
        <f>IF($A295="","", INDEX([1]Calc!$E:$E, MATCH("KminusZ_m", [1]Calc!$C:$C, 0)) + $B295 - INDEX([1]Calc!$E:$E, MATCH("L_ramp_m", [1]Calc!$C:$C, 0)) * TAN(RADIANS(INDEX([1]Calc!$E:$E, MATCH("theta_max_deg", [1]Calc!$C:$C, 0)))))</f>
        <v>2.7087491768118821</v>
      </c>
      <c r="D295" s="3"/>
      <c r="E295" s="3">
        <f t="shared" si="12"/>
        <v>2.7087491768118821</v>
      </c>
      <c r="F295" s="3">
        <f t="shared" si="13"/>
        <v>2.7087491768118821</v>
      </c>
      <c r="G295" s="3">
        <f>IF($E295="","", DEGREES(ATAN((INDEX([1]Calc!$E:$E, MATCH("KminusZ_m", [1]Calc!$C:$C, 0)) - $E295 + $B295) / INDEX([1]Calc!$E:$E, MATCH("L_ramp_m", [1]Calc!$C:$C, 0)))))</f>
        <v>6.0000000000000009</v>
      </c>
      <c r="H295" s="2" t="str">
        <f>IF($E295="","", IF(AND($E295&gt;=INDEX([1]Calc!$E:$E, MATCH("min_fwd_draft_m", [1]Calc!$C:$C, 0)), $E295&lt;=INDEX([1]Calc!$E:$E, MATCH("max_fwd_draft_m", [1]Calc!$C:$C, 0)), $G295&lt;=INDEX([1]Calc!$E:$E, MATCH("theta_max_deg", [1]Calc!$C:$C, 0))), "OK", "CHECK"))</f>
        <v>OK</v>
      </c>
      <c r="I295" s="3">
        <f>IF($E295="","", INDEX([1]Calc!$E:$E, MATCH("D_vessel_m", [1]Calc!$C:$C, 0)) - $E295 + $B295)</f>
        <v>1.9112508231881178</v>
      </c>
      <c r="J295" s="3">
        <f>IF($F295="","", INDEX([1]Calc!$E:$E, MATCH("D_vessel_m", [1]Calc!$C:$C, 0)) - $F295 + $B295)</f>
        <v>1.9112508231881178</v>
      </c>
      <c r="K295" s="2" t="str">
        <f t="shared" si="14"/>
        <v>Even Keel</v>
      </c>
    </row>
    <row r="296" spans="1:11" x14ac:dyDescent="0.6">
      <c r="A296" s="2" t="str">
        <f>IF('December_Tide_2025 (2)'!A296="","",'December_Tide_2025 (2)'!A296)</f>
        <v>2025-12-13 06:00:00</v>
      </c>
      <c r="B296" s="3">
        <f>IF('December_Tide_2025 (2)'!B296="","",'December_Tide_2025 (2)'!B296)</f>
        <v>0.86</v>
      </c>
      <c r="C296" s="3">
        <f>IF($A296="","", INDEX([1]Calc!$E:$E, MATCH("KminusZ_m", [1]Calc!$C:$C, 0)) + $B296 - INDEX([1]Calc!$E:$E, MATCH("L_ramp_m", [1]Calc!$C:$C, 0)) * TAN(RADIANS(INDEX([1]Calc!$E:$E, MATCH("theta_max_deg", [1]Calc!$C:$C, 0)))))</f>
        <v>2.5987491768118822</v>
      </c>
      <c r="D296" s="3"/>
      <c r="E296" s="3">
        <f t="shared" si="12"/>
        <v>2.5987491768118822</v>
      </c>
      <c r="F296" s="3">
        <f t="shared" si="13"/>
        <v>2.5987491768118822</v>
      </c>
      <c r="G296" s="3">
        <f>IF($E296="","", DEGREES(ATAN((INDEX([1]Calc!$E:$E, MATCH("KminusZ_m", [1]Calc!$C:$C, 0)) - $E296 + $B296) / INDEX([1]Calc!$E:$E, MATCH("L_ramp_m", [1]Calc!$C:$C, 0)))))</f>
        <v>6.0000000000000009</v>
      </c>
      <c r="H296" s="2" t="str">
        <f>IF($E296="","", IF(AND($E296&gt;=INDEX([1]Calc!$E:$E, MATCH("min_fwd_draft_m", [1]Calc!$C:$C, 0)), $E296&lt;=INDEX([1]Calc!$E:$E, MATCH("max_fwd_draft_m", [1]Calc!$C:$C, 0)), $G296&lt;=INDEX([1]Calc!$E:$E, MATCH("theta_max_deg", [1]Calc!$C:$C, 0))), "OK", "CHECK"))</f>
        <v>OK</v>
      </c>
      <c r="I296" s="3">
        <f>IF($E296="","", INDEX([1]Calc!$E:$E, MATCH("D_vessel_m", [1]Calc!$C:$C, 0)) - $E296 + $B296)</f>
        <v>1.9112508231881176</v>
      </c>
      <c r="J296" s="3">
        <f>IF($F296="","", INDEX([1]Calc!$E:$E, MATCH("D_vessel_m", [1]Calc!$C:$C, 0)) - $F296 + $B296)</f>
        <v>1.9112508231881176</v>
      </c>
      <c r="K296" s="2" t="str">
        <f t="shared" si="14"/>
        <v>Even Keel</v>
      </c>
    </row>
    <row r="297" spans="1:11" x14ac:dyDescent="0.6">
      <c r="A297" s="2" t="str">
        <f>IF('December_Tide_2025 (2)'!A297="","",'December_Tide_2025 (2)'!A297)</f>
        <v>2025-12-13 07:00:00</v>
      </c>
      <c r="B297" s="3">
        <f>IF('December_Tide_2025 (2)'!B297="","",'December_Tide_2025 (2)'!B297)</f>
        <v>0.99</v>
      </c>
      <c r="C297" s="3">
        <f>IF($A297="","", INDEX([1]Calc!$E:$E, MATCH("KminusZ_m", [1]Calc!$C:$C, 0)) + $B297 - INDEX([1]Calc!$E:$E, MATCH("L_ramp_m", [1]Calc!$C:$C, 0)) * TAN(RADIANS(INDEX([1]Calc!$E:$E, MATCH("theta_max_deg", [1]Calc!$C:$C, 0)))))</f>
        <v>2.7287491768118826</v>
      </c>
      <c r="D297" s="3"/>
      <c r="E297" s="3">
        <f t="shared" si="12"/>
        <v>2.7287491768118826</v>
      </c>
      <c r="F297" s="3">
        <f t="shared" si="13"/>
        <v>2.7287491768118826</v>
      </c>
      <c r="G297" s="3">
        <f>IF($E297="","", DEGREES(ATAN((INDEX([1]Calc!$E:$E, MATCH("KminusZ_m", [1]Calc!$C:$C, 0)) - $E297 + $B297) / INDEX([1]Calc!$E:$E, MATCH("L_ramp_m", [1]Calc!$C:$C, 0)))))</f>
        <v>6</v>
      </c>
      <c r="H297" s="2" t="str">
        <f>IF($E297="","", IF(AND($E297&gt;=INDEX([1]Calc!$E:$E, MATCH("min_fwd_draft_m", [1]Calc!$C:$C, 0)), $E297&lt;=INDEX([1]Calc!$E:$E, MATCH("max_fwd_draft_m", [1]Calc!$C:$C, 0)), $G297&lt;=INDEX([1]Calc!$E:$E, MATCH("theta_max_deg", [1]Calc!$C:$C, 0))), "OK", "CHECK"))</f>
        <v>OK</v>
      </c>
      <c r="I297" s="3">
        <f>IF($E297="","", INDEX([1]Calc!$E:$E, MATCH("D_vessel_m", [1]Calc!$C:$C, 0)) - $E297 + $B297)</f>
        <v>1.9112508231881173</v>
      </c>
      <c r="J297" s="3">
        <f>IF($F297="","", INDEX([1]Calc!$E:$E, MATCH("D_vessel_m", [1]Calc!$C:$C, 0)) - $F297 + $B297)</f>
        <v>1.9112508231881173</v>
      </c>
      <c r="K297" s="2" t="str">
        <f t="shared" si="14"/>
        <v>Even Keel</v>
      </c>
    </row>
    <row r="298" spans="1:11" x14ac:dyDescent="0.6">
      <c r="A298" s="2" t="str">
        <f>IF('December_Tide_2025 (2)'!A298="","",'December_Tide_2025 (2)'!A298)</f>
        <v>2025-12-13 08:00:00</v>
      </c>
      <c r="B298" s="3">
        <f>IF('December_Tide_2025 (2)'!B298="","",'December_Tide_2025 (2)'!B298)</f>
        <v>1.33</v>
      </c>
      <c r="C298" s="3">
        <f>IF($A298="","", INDEX([1]Calc!$E:$E, MATCH("KminusZ_m", [1]Calc!$C:$C, 0)) + $B298 - INDEX([1]Calc!$E:$E, MATCH("L_ramp_m", [1]Calc!$C:$C, 0)) * TAN(RADIANS(INDEX([1]Calc!$E:$E, MATCH("theta_max_deg", [1]Calc!$C:$C, 0)))))</f>
        <v>3.0687491768118824</v>
      </c>
      <c r="D298" s="3"/>
      <c r="E298" s="3">
        <f t="shared" si="12"/>
        <v>3.0687491768118824</v>
      </c>
      <c r="F298" s="3">
        <f t="shared" si="13"/>
        <v>3.0687491768118824</v>
      </c>
      <c r="G298" s="3">
        <f>IF($E298="","", DEGREES(ATAN((INDEX([1]Calc!$E:$E, MATCH("KminusZ_m", [1]Calc!$C:$C, 0)) - $E298 + $B298) / INDEX([1]Calc!$E:$E, MATCH("L_ramp_m", [1]Calc!$C:$C, 0)))))</f>
        <v>6.0000000000000009</v>
      </c>
      <c r="H298" s="2" t="str">
        <f>IF($E298="","", IF(AND($E298&gt;=INDEX([1]Calc!$E:$E, MATCH("min_fwd_draft_m", [1]Calc!$C:$C, 0)), $E298&lt;=INDEX([1]Calc!$E:$E, MATCH("max_fwd_draft_m", [1]Calc!$C:$C, 0)), $G298&lt;=INDEX([1]Calc!$E:$E, MATCH("theta_max_deg", [1]Calc!$C:$C, 0))), "OK", "CHECK"))</f>
        <v>OK</v>
      </c>
      <c r="I298" s="3">
        <f>IF($E298="","", INDEX([1]Calc!$E:$E, MATCH("D_vessel_m", [1]Calc!$C:$C, 0)) - $E298 + $B298)</f>
        <v>1.9112508231881176</v>
      </c>
      <c r="J298" s="3">
        <f>IF($F298="","", INDEX([1]Calc!$E:$E, MATCH("D_vessel_m", [1]Calc!$C:$C, 0)) - $F298 + $B298)</f>
        <v>1.9112508231881176</v>
      </c>
      <c r="K298" s="2" t="str">
        <f t="shared" si="14"/>
        <v>Even Keel</v>
      </c>
    </row>
    <row r="299" spans="1:11" x14ac:dyDescent="0.6">
      <c r="A299" s="2" t="str">
        <f>IF('December_Tide_2025 (2)'!A299="","",'December_Tide_2025 (2)'!A299)</f>
        <v>2025-12-13 09:00:00</v>
      </c>
      <c r="B299" s="3">
        <f>IF('December_Tide_2025 (2)'!B299="","",'December_Tide_2025 (2)'!B299)</f>
        <v>1.78</v>
      </c>
      <c r="C299" s="3">
        <f>IF($A299="","", INDEX([1]Calc!$E:$E, MATCH("KminusZ_m", [1]Calc!$C:$C, 0)) + $B299 - INDEX([1]Calc!$E:$E, MATCH("L_ramp_m", [1]Calc!$C:$C, 0)) * TAN(RADIANS(INDEX([1]Calc!$E:$E, MATCH("theta_max_deg", [1]Calc!$C:$C, 0)))))</f>
        <v>3.5187491768118826</v>
      </c>
      <c r="D299" s="3"/>
      <c r="E299" s="3">
        <f t="shared" si="12"/>
        <v>3.5187491768118826</v>
      </c>
      <c r="F299" s="3">
        <f t="shared" si="13"/>
        <v>3.5187491768118826</v>
      </c>
      <c r="G299" s="3">
        <f>IF($E299="","", DEGREES(ATAN((INDEX([1]Calc!$E:$E, MATCH("KminusZ_m", [1]Calc!$C:$C, 0)) - $E299 + $B299) / INDEX([1]Calc!$E:$E, MATCH("L_ramp_m", [1]Calc!$C:$C, 0)))))</f>
        <v>6</v>
      </c>
      <c r="H299" s="2" t="str">
        <f>IF($E299="","", IF(AND($E299&gt;=INDEX([1]Calc!$E:$E, MATCH("min_fwd_draft_m", [1]Calc!$C:$C, 0)), $E299&lt;=INDEX([1]Calc!$E:$E, MATCH("max_fwd_draft_m", [1]Calc!$C:$C, 0)), $G299&lt;=INDEX([1]Calc!$E:$E, MATCH("theta_max_deg", [1]Calc!$C:$C, 0))), "OK", "CHECK"))</f>
        <v>CHECK</v>
      </c>
      <c r="I299" s="3">
        <f>IF($E299="","", INDEX([1]Calc!$E:$E, MATCH("D_vessel_m", [1]Calc!$C:$C, 0)) - $E299 + $B299)</f>
        <v>1.9112508231881173</v>
      </c>
      <c r="J299" s="3">
        <f>IF($F299="","", INDEX([1]Calc!$E:$E, MATCH("D_vessel_m", [1]Calc!$C:$C, 0)) - $F299 + $B299)</f>
        <v>1.9112508231881173</v>
      </c>
      <c r="K299" s="2" t="str">
        <f t="shared" si="14"/>
        <v>Even Keel</v>
      </c>
    </row>
    <row r="300" spans="1:11" x14ac:dyDescent="0.6">
      <c r="A300" s="2" t="str">
        <f>IF('December_Tide_2025 (2)'!A300="","",'December_Tide_2025 (2)'!A300)</f>
        <v>2025-12-13 10:00:00</v>
      </c>
      <c r="B300" s="3">
        <f>IF('December_Tide_2025 (2)'!B300="","",'December_Tide_2025 (2)'!B300)</f>
        <v>2.2400000000000002</v>
      </c>
      <c r="C300" s="3">
        <f>IF($A300="","", INDEX([1]Calc!$E:$E, MATCH("KminusZ_m", [1]Calc!$C:$C, 0)) + $B300 - INDEX([1]Calc!$E:$E, MATCH("L_ramp_m", [1]Calc!$C:$C, 0)) * TAN(RADIANS(INDEX([1]Calc!$E:$E, MATCH("theta_max_deg", [1]Calc!$C:$C, 0)))))</f>
        <v>3.9787491768118826</v>
      </c>
      <c r="D300" s="3"/>
      <c r="E300" s="3">
        <f t="shared" si="12"/>
        <v>3.9787491768118826</v>
      </c>
      <c r="F300" s="3">
        <f t="shared" si="13"/>
        <v>3.9787491768118826</v>
      </c>
      <c r="G300" s="3">
        <f>IF($E300="","", DEGREES(ATAN((INDEX([1]Calc!$E:$E, MATCH("KminusZ_m", [1]Calc!$C:$C, 0)) - $E300 + $B300) / INDEX([1]Calc!$E:$E, MATCH("L_ramp_m", [1]Calc!$C:$C, 0)))))</f>
        <v>6.0000000000000009</v>
      </c>
      <c r="H300" s="2" t="str">
        <f>IF($E300="","", IF(AND($E300&gt;=INDEX([1]Calc!$E:$E, MATCH("min_fwd_draft_m", [1]Calc!$C:$C, 0)), $E300&lt;=INDEX([1]Calc!$E:$E, MATCH("max_fwd_draft_m", [1]Calc!$C:$C, 0)), $G300&lt;=INDEX([1]Calc!$E:$E, MATCH("theta_max_deg", [1]Calc!$C:$C, 0))), "OK", "CHECK"))</f>
        <v>CHECK</v>
      </c>
      <c r="I300" s="3">
        <f>IF($E300="","", INDEX([1]Calc!$E:$E, MATCH("D_vessel_m", [1]Calc!$C:$C, 0)) - $E300 + $B300)</f>
        <v>1.9112508231881176</v>
      </c>
      <c r="J300" s="3">
        <f>IF($F300="","", INDEX([1]Calc!$E:$E, MATCH("D_vessel_m", [1]Calc!$C:$C, 0)) - $F300 + $B300)</f>
        <v>1.9112508231881176</v>
      </c>
      <c r="K300" s="2" t="str">
        <f t="shared" si="14"/>
        <v>Even Keel</v>
      </c>
    </row>
    <row r="301" spans="1:11" x14ac:dyDescent="0.6">
      <c r="A301" s="2" t="str">
        <f>IF('December_Tide_2025 (2)'!A301="","",'December_Tide_2025 (2)'!A301)</f>
        <v>2025-12-13 11:00:00</v>
      </c>
      <c r="B301" s="3">
        <f>IF('December_Tide_2025 (2)'!B301="","",'December_Tide_2025 (2)'!B301)</f>
        <v>2.58</v>
      </c>
      <c r="C301" s="3">
        <f>IF($A301="","", INDEX([1]Calc!$E:$E, MATCH("KminusZ_m", [1]Calc!$C:$C, 0)) + $B301 - INDEX([1]Calc!$E:$E, MATCH("L_ramp_m", [1]Calc!$C:$C, 0)) * TAN(RADIANS(INDEX([1]Calc!$E:$E, MATCH("theta_max_deg", [1]Calc!$C:$C, 0)))))</f>
        <v>4.3187491768118829</v>
      </c>
      <c r="D301" s="3"/>
      <c r="E301" s="3">
        <f t="shared" si="12"/>
        <v>4.3187491768118829</v>
      </c>
      <c r="F301" s="3">
        <f t="shared" si="13"/>
        <v>4.3187491768118829</v>
      </c>
      <c r="G301" s="3">
        <f>IF($E301="","", DEGREES(ATAN((INDEX([1]Calc!$E:$E, MATCH("KminusZ_m", [1]Calc!$C:$C, 0)) - $E301 + $B301) / INDEX([1]Calc!$E:$E, MATCH("L_ramp_m", [1]Calc!$C:$C, 0)))))</f>
        <v>5.9999999999999982</v>
      </c>
      <c r="H301" s="2" t="str">
        <f>IF($E301="","", IF(AND($E301&gt;=INDEX([1]Calc!$E:$E, MATCH("min_fwd_draft_m", [1]Calc!$C:$C, 0)), $E301&lt;=INDEX([1]Calc!$E:$E, MATCH("max_fwd_draft_m", [1]Calc!$C:$C, 0)), $G301&lt;=INDEX([1]Calc!$E:$E, MATCH("theta_max_deg", [1]Calc!$C:$C, 0))), "OK", "CHECK"))</f>
        <v>CHECK</v>
      </c>
      <c r="I301" s="3">
        <f>IF($E301="","", INDEX([1]Calc!$E:$E, MATCH("D_vessel_m", [1]Calc!$C:$C, 0)) - $E301 + $B301)</f>
        <v>1.9112508231881171</v>
      </c>
      <c r="J301" s="3">
        <f>IF($F301="","", INDEX([1]Calc!$E:$E, MATCH("D_vessel_m", [1]Calc!$C:$C, 0)) - $F301 + $B301)</f>
        <v>1.9112508231881171</v>
      </c>
      <c r="K301" s="2" t="str">
        <f t="shared" si="14"/>
        <v>Even Keel</v>
      </c>
    </row>
    <row r="302" spans="1:11" x14ac:dyDescent="0.6">
      <c r="A302" s="2" t="str">
        <f>IF('December_Tide_2025 (2)'!A302="","",'December_Tide_2025 (2)'!A302)</f>
        <v>2025-12-13 12:00:00</v>
      </c>
      <c r="B302" s="3">
        <f>IF('December_Tide_2025 (2)'!B302="","",'December_Tide_2025 (2)'!B302)</f>
        <v>2.73</v>
      </c>
      <c r="C302" s="3">
        <f>IF($A302="","", INDEX([1]Calc!$E:$E, MATCH("KminusZ_m", [1]Calc!$C:$C, 0)) + $B302 - INDEX([1]Calc!$E:$E, MATCH("L_ramp_m", [1]Calc!$C:$C, 0)) * TAN(RADIANS(INDEX([1]Calc!$E:$E, MATCH("theta_max_deg", [1]Calc!$C:$C, 0)))))</f>
        <v>4.4687491768118832</v>
      </c>
      <c r="D302" s="3"/>
      <c r="E302" s="3">
        <f t="shared" si="12"/>
        <v>4.4687491768118832</v>
      </c>
      <c r="F302" s="3">
        <f t="shared" si="13"/>
        <v>4.4687491768118832</v>
      </c>
      <c r="G302" s="3">
        <f>IF($E302="","", DEGREES(ATAN((INDEX([1]Calc!$E:$E, MATCH("KminusZ_m", [1]Calc!$C:$C, 0)) - $E302 + $B302) / INDEX([1]Calc!$E:$E, MATCH("L_ramp_m", [1]Calc!$C:$C, 0)))))</f>
        <v>5.9999999999999964</v>
      </c>
      <c r="H302" s="2" t="str">
        <f>IF($E302="","", IF(AND($E302&gt;=INDEX([1]Calc!$E:$E, MATCH("min_fwd_draft_m", [1]Calc!$C:$C, 0)), $E302&lt;=INDEX([1]Calc!$E:$E, MATCH("max_fwd_draft_m", [1]Calc!$C:$C, 0)), $G302&lt;=INDEX([1]Calc!$E:$E, MATCH("theta_max_deg", [1]Calc!$C:$C, 0))), "OK", "CHECK"))</f>
        <v>CHECK</v>
      </c>
      <c r="I302" s="3">
        <f>IF($E302="","", INDEX([1]Calc!$E:$E, MATCH("D_vessel_m", [1]Calc!$C:$C, 0)) - $E302 + $B302)</f>
        <v>1.9112508231881167</v>
      </c>
      <c r="J302" s="3">
        <f>IF($F302="","", INDEX([1]Calc!$E:$E, MATCH("D_vessel_m", [1]Calc!$C:$C, 0)) - $F302 + $B302)</f>
        <v>1.9112508231881167</v>
      </c>
      <c r="K302" s="2" t="str">
        <f t="shared" si="14"/>
        <v>Even Keel</v>
      </c>
    </row>
    <row r="303" spans="1:11" x14ac:dyDescent="0.6">
      <c r="A303" s="2" t="str">
        <f>IF('December_Tide_2025 (2)'!A303="","",'December_Tide_2025 (2)'!A303)</f>
        <v>2025-12-13 13:00:00</v>
      </c>
      <c r="B303" s="3">
        <f>IF('December_Tide_2025 (2)'!B303="","",'December_Tide_2025 (2)'!B303)</f>
        <v>2.65</v>
      </c>
      <c r="C303" s="3">
        <f>IF($A303="","", INDEX([1]Calc!$E:$E, MATCH("KminusZ_m", [1]Calc!$C:$C, 0)) + $B303 - INDEX([1]Calc!$E:$E, MATCH("L_ramp_m", [1]Calc!$C:$C, 0)) * TAN(RADIANS(INDEX([1]Calc!$E:$E, MATCH("theta_max_deg", [1]Calc!$C:$C, 0)))))</f>
        <v>4.3887491768118831</v>
      </c>
      <c r="D303" s="3"/>
      <c r="E303" s="3">
        <f t="shared" si="12"/>
        <v>4.3887491768118831</v>
      </c>
      <c r="F303" s="3">
        <f t="shared" si="13"/>
        <v>4.3887491768118831</v>
      </c>
      <c r="G303" s="3">
        <f>IF($E303="","", DEGREES(ATAN((INDEX([1]Calc!$E:$E, MATCH("KminusZ_m", [1]Calc!$C:$C, 0)) - $E303 + $B303) / INDEX([1]Calc!$E:$E, MATCH("L_ramp_m", [1]Calc!$C:$C, 0)))))</f>
        <v>5.9999999999999964</v>
      </c>
      <c r="H303" s="2" t="str">
        <f>IF($E303="","", IF(AND($E303&gt;=INDEX([1]Calc!$E:$E, MATCH("min_fwd_draft_m", [1]Calc!$C:$C, 0)), $E303&lt;=INDEX([1]Calc!$E:$E, MATCH("max_fwd_draft_m", [1]Calc!$C:$C, 0)), $G303&lt;=INDEX([1]Calc!$E:$E, MATCH("theta_max_deg", [1]Calc!$C:$C, 0))), "OK", "CHECK"))</f>
        <v>CHECK</v>
      </c>
      <c r="I303" s="3">
        <f>IF($E303="","", INDEX([1]Calc!$E:$E, MATCH("D_vessel_m", [1]Calc!$C:$C, 0)) - $E303 + $B303)</f>
        <v>1.9112508231881167</v>
      </c>
      <c r="J303" s="3">
        <f>IF($F303="","", INDEX([1]Calc!$E:$E, MATCH("D_vessel_m", [1]Calc!$C:$C, 0)) - $F303 + $B303)</f>
        <v>1.9112508231881167</v>
      </c>
      <c r="K303" s="2" t="str">
        <f t="shared" si="14"/>
        <v>Even Keel</v>
      </c>
    </row>
    <row r="304" spans="1:11" x14ac:dyDescent="0.6">
      <c r="A304" s="2" t="str">
        <f>IF('December_Tide_2025 (2)'!A304="","",'December_Tide_2025 (2)'!A304)</f>
        <v>2025-12-13 14:00:00</v>
      </c>
      <c r="B304" s="3">
        <f>IF('December_Tide_2025 (2)'!B304="","",'December_Tide_2025 (2)'!B304)</f>
        <v>2.35</v>
      </c>
      <c r="C304" s="3">
        <f>IF($A304="","", INDEX([1]Calc!$E:$E, MATCH("KminusZ_m", [1]Calc!$C:$C, 0)) + $B304 - INDEX([1]Calc!$E:$E, MATCH("L_ramp_m", [1]Calc!$C:$C, 0)) * TAN(RADIANS(INDEX([1]Calc!$E:$E, MATCH("theta_max_deg", [1]Calc!$C:$C, 0)))))</f>
        <v>4.0887491768118824</v>
      </c>
      <c r="D304" s="3"/>
      <c r="E304" s="3">
        <f t="shared" si="12"/>
        <v>4.0887491768118824</v>
      </c>
      <c r="F304" s="3">
        <f t="shared" si="13"/>
        <v>4.0887491768118824</v>
      </c>
      <c r="G304" s="3">
        <f>IF($E304="","", DEGREES(ATAN((INDEX([1]Calc!$E:$E, MATCH("KminusZ_m", [1]Calc!$C:$C, 0)) - $E304 + $B304) / INDEX([1]Calc!$E:$E, MATCH("L_ramp_m", [1]Calc!$C:$C, 0)))))</f>
        <v>6.0000000000000009</v>
      </c>
      <c r="H304" s="2" t="str">
        <f>IF($E304="","", IF(AND($E304&gt;=INDEX([1]Calc!$E:$E, MATCH("min_fwd_draft_m", [1]Calc!$C:$C, 0)), $E304&lt;=INDEX([1]Calc!$E:$E, MATCH("max_fwd_draft_m", [1]Calc!$C:$C, 0)), $G304&lt;=INDEX([1]Calc!$E:$E, MATCH("theta_max_deg", [1]Calc!$C:$C, 0))), "OK", "CHECK"))</f>
        <v>CHECK</v>
      </c>
      <c r="I304" s="3">
        <f>IF($E304="","", INDEX([1]Calc!$E:$E, MATCH("D_vessel_m", [1]Calc!$C:$C, 0)) - $E304 + $B304)</f>
        <v>1.9112508231881176</v>
      </c>
      <c r="J304" s="3">
        <f>IF($F304="","", INDEX([1]Calc!$E:$E, MATCH("D_vessel_m", [1]Calc!$C:$C, 0)) - $F304 + $B304)</f>
        <v>1.9112508231881176</v>
      </c>
      <c r="K304" s="2" t="str">
        <f t="shared" si="14"/>
        <v>Even Keel</v>
      </c>
    </row>
    <row r="305" spans="1:11" x14ac:dyDescent="0.6">
      <c r="A305" s="2" t="str">
        <f>IF('December_Tide_2025 (2)'!A305="","",'December_Tide_2025 (2)'!A305)</f>
        <v>2025-12-13 15:00:00</v>
      </c>
      <c r="B305" s="3">
        <f>IF('December_Tide_2025 (2)'!B305="","",'December_Tide_2025 (2)'!B305)</f>
        <v>1.92</v>
      </c>
      <c r="C305" s="3">
        <f>IF($A305="","", INDEX([1]Calc!$E:$E, MATCH("KminusZ_m", [1]Calc!$C:$C, 0)) + $B305 - INDEX([1]Calc!$E:$E, MATCH("L_ramp_m", [1]Calc!$C:$C, 0)) * TAN(RADIANS(INDEX([1]Calc!$E:$E, MATCH("theta_max_deg", [1]Calc!$C:$C, 0)))))</f>
        <v>3.6587491768118823</v>
      </c>
      <c r="D305" s="3"/>
      <c r="E305" s="3">
        <f t="shared" si="12"/>
        <v>3.6587491768118823</v>
      </c>
      <c r="F305" s="3">
        <f t="shared" si="13"/>
        <v>3.6587491768118823</v>
      </c>
      <c r="G305" s="3">
        <f>IF($E305="","", DEGREES(ATAN((INDEX([1]Calc!$E:$E, MATCH("KminusZ_m", [1]Calc!$C:$C, 0)) - $E305 + $B305) / INDEX([1]Calc!$E:$E, MATCH("L_ramp_m", [1]Calc!$C:$C, 0)))))</f>
        <v>6.0000000000000009</v>
      </c>
      <c r="H305" s="2" t="str">
        <f>IF($E305="","", IF(AND($E305&gt;=INDEX([1]Calc!$E:$E, MATCH("min_fwd_draft_m", [1]Calc!$C:$C, 0)), $E305&lt;=INDEX([1]Calc!$E:$E, MATCH("max_fwd_draft_m", [1]Calc!$C:$C, 0)), $G305&lt;=INDEX([1]Calc!$E:$E, MATCH("theta_max_deg", [1]Calc!$C:$C, 0))), "OK", "CHECK"))</f>
        <v>CHECK</v>
      </c>
      <c r="I305" s="3">
        <f>IF($E305="","", INDEX([1]Calc!$E:$E, MATCH("D_vessel_m", [1]Calc!$C:$C, 0)) - $E305 + $B305)</f>
        <v>1.9112508231881176</v>
      </c>
      <c r="J305" s="3">
        <f>IF($F305="","", INDEX([1]Calc!$E:$E, MATCH("D_vessel_m", [1]Calc!$C:$C, 0)) - $F305 + $B305)</f>
        <v>1.9112508231881176</v>
      </c>
      <c r="K305" s="2" t="str">
        <f t="shared" si="14"/>
        <v>Even Keel</v>
      </c>
    </row>
    <row r="306" spans="1:11" x14ac:dyDescent="0.6">
      <c r="A306" s="2" t="str">
        <f>IF('December_Tide_2025 (2)'!A306="","",'December_Tide_2025 (2)'!A306)</f>
        <v>2025-12-13 16:00:00</v>
      </c>
      <c r="B306" s="3">
        <f>IF('December_Tide_2025 (2)'!B306="","",'December_Tide_2025 (2)'!B306)</f>
        <v>1.45</v>
      </c>
      <c r="C306" s="3">
        <f>IF($A306="","", INDEX([1]Calc!$E:$E, MATCH("KminusZ_m", [1]Calc!$C:$C, 0)) + $B306 - INDEX([1]Calc!$E:$E, MATCH("L_ramp_m", [1]Calc!$C:$C, 0)) * TAN(RADIANS(INDEX([1]Calc!$E:$E, MATCH("theta_max_deg", [1]Calc!$C:$C, 0)))))</f>
        <v>3.1887491768118825</v>
      </c>
      <c r="D306" s="3"/>
      <c r="E306" s="3">
        <f t="shared" si="12"/>
        <v>3.1887491768118825</v>
      </c>
      <c r="F306" s="3">
        <f t="shared" si="13"/>
        <v>3.1887491768118825</v>
      </c>
      <c r="G306" s="3">
        <f>IF($E306="","", DEGREES(ATAN((INDEX([1]Calc!$E:$E, MATCH("KminusZ_m", [1]Calc!$C:$C, 0)) - $E306 + $B306) / INDEX([1]Calc!$E:$E, MATCH("L_ramp_m", [1]Calc!$C:$C, 0)))))</f>
        <v>6</v>
      </c>
      <c r="H306" s="2" t="str">
        <f>IF($E306="","", IF(AND($E306&gt;=INDEX([1]Calc!$E:$E, MATCH("min_fwd_draft_m", [1]Calc!$C:$C, 0)), $E306&lt;=INDEX([1]Calc!$E:$E, MATCH("max_fwd_draft_m", [1]Calc!$C:$C, 0)), $G306&lt;=INDEX([1]Calc!$E:$E, MATCH("theta_max_deg", [1]Calc!$C:$C, 0))), "OK", "CHECK"))</f>
        <v>OK</v>
      </c>
      <c r="I306" s="3">
        <f>IF($E306="","", INDEX([1]Calc!$E:$E, MATCH("D_vessel_m", [1]Calc!$C:$C, 0)) - $E306 + $B306)</f>
        <v>1.9112508231881173</v>
      </c>
      <c r="J306" s="3">
        <f>IF($F306="","", INDEX([1]Calc!$E:$E, MATCH("D_vessel_m", [1]Calc!$C:$C, 0)) - $F306 + $B306)</f>
        <v>1.9112508231881173</v>
      </c>
      <c r="K306" s="2" t="str">
        <f t="shared" si="14"/>
        <v>Even Keel</v>
      </c>
    </row>
    <row r="307" spans="1:11" x14ac:dyDescent="0.6">
      <c r="A307" s="2" t="str">
        <f>IF('December_Tide_2025 (2)'!A307="","",'December_Tide_2025 (2)'!A307)</f>
        <v>2025-12-13 17:00:00</v>
      </c>
      <c r="B307" s="3">
        <f>IF('December_Tide_2025 (2)'!B307="","",'December_Tide_2025 (2)'!B307)</f>
        <v>1.07</v>
      </c>
      <c r="C307" s="3">
        <f>IF($A307="","", INDEX([1]Calc!$E:$E, MATCH("KminusZ_m", [1]Calc!$C:$C, 0)) + $B307 - INDEX([1]Calc!$E:$E, MATCH("L_ramp_m", [1]Calc!$C:$C, 0)) * TAN(RADIANS(INDEX([1]Calc!$E:$E, MATCH("theta_max_deg", [1]Calc!$C:$C, 0)))))</f>
        <v>2.8087491768118826</v>
      </c>
      <c r="D307" s="3"/>
      <c r="E307" s="3">
        <f t="shared" si="12"/>
        <v>2.8087491768118826</v>
      </c>
      <c r="F307" s="3">
        <f t="shared" si="13"/>
        <v>2.8087491768118826</v>
      </c>
      <c r="G307" s="3">
        <f>IF($E307="","", DEGREES(ATAN((INDEX([1]Calc!$E:$E, MATCH("KminusZ_m", [1]Calc!$C:$C, 0)) - $E307 + $B307) / INDEX([1]Calc!$E:$E, MATCH("L_ramp_m", [1]Calc!$C:$C, 0)))))</f>
        <v>6</v>
      </c>
      <c r="H307" s="2" t="str">
        <f>IF($E307="","", IF(AND($E307&gt;=INDEX([1]Calc!$E:$E, MATCH("min_fwd_draft_m", [1]Calc!$C:$C, 0)), $E307&lt;=INDEX([1]Calc!$E:$E, MATCH("max_fwd_draft_m", [1]Calc!$C:$C, 0)), $G307&lt;=INDEX([1]Calc!$E:$E, MATCH("theta_max_deg", [1]Calc!$C:$C, 0))), "OK", "CHECK"))</f>
        <v>OK</v>
      </c>
      <c r="I307" s="3">
        <f>IF($E307="","", INDEX([1]Calc!$E:$E, MATCH("D_vessel_m", [1]Calc!$C:$C, 0)) - $E307 + $B307)</f>
        <v>1.9112508231881173</v>
      </c>
      <c r="J307" s="3">
        <f>IF($F307="","", INDEX([1]Calc!$E:$E, MATCH("D_vessel_m", [1]Calc!$C:$C, 0)) - $F307 + $B307)</f>
        <v>1.9112508231881173</v>
      </c>
      <c r="K307" s="2" t="str">
        <f t="shared" si="14"/>
        <v>Even Keel</v>
      </c>
    </row>
    <row r="308" spans="1:11" x14ac:dyDescent="0.6">
      <c r="A308" s="2" t="str">
        <f>IF('December_Tide_2025 (2)'!A308="","",'December_Tide_2025 (2)'!A308)</f>
        <v>2025-12-13 18:00:00</v>
      </c>
      <c r="B308" s="3">
        <f>IF('December_Tide_2025 (2)'!B308="","",'December_Tide_2025 (2)'!B308)</f>
        <v>0.88</v>
      </c>
      <c r="C308" s="3">
        <f>IF($A308="","", INDEX([1]Calc!$E:$E, MATCH("KminusZ_m", [1]Calc!$C:$C, 0)) + $B308 - INDEX([1]Calc!$E:$E, MATCH("L_ramp_m", [1]Calc!$C:$C, 0)) * TAN(RADIANS(INDEX([1]Calc!$E:$E, MATCH("theta_max_deg", [1]Calc!$C:$C, 0)))))</f>
        <v>2.6187491768118822</v>
      </c>
      <c r="D308" s="3"/>
      <c r="E308" s="3">
        <f t="shared" si="12"/>
        <v>2.6187491768118822</v>
      </c>
      <c r="F308" s="3">
        <f t="shared" si="13"/>
        <v>2.6187491768118822</v>
      </c>
      <c r="G308" s="3">
        <f>IF($E308="","", DEGREES(ATAN((INDEX([1]Calc!$E:$E, MATCH("KminusZ_m", [1]Calc!$C:$C, 0)) - $E308 + $B308) / INDEX([1]Calc!$E:$E, MATCH("L_ramp_m", [1]Calc!$C:$C, 0)))))</f>
        <v>6.0000000000000009</v>
      </c>
      <c r="H308" s="2" t="str">
        <f>IF($E308="","", IF(AND($E308&gt;=INDEX([1]Calc!$E:$E, MATCH("min_fwd_draft_m", [1]Calc!$C:$C, 0)), $E308&lt;=INDEX([1]Calc!$E:$E, MATCH("max_fwd_draft_m", [1]Calc!$C:$C, 0)), $G308&lt;=INDEX([1]Calc!$E:$E, MATCH("theta_max_deg", [1]Calc!$C:$C, 0))), "OK", "CHECK"))</f>
        <v>OK</v>
      </c>
      <c r="I308" s="3">
        <f>IF($E308="","", INDEX([1]Calc!$E:$E, MATCH("D_vessel_m", [1]Calc!$C:$C, 0)) - $E308 + $B308)</f>
        <v>1.9112508231881176</v>
      </c>
      <c r="J308" s="3">
        <f>IF($F308="","", INDEX([1]Calc!$E:$E, MATCH("D_vessel_m", [1]Calc!$C:$C, 0)) - $F308 + $B308)</f>
        <v>1.9112508231881176</v>
      </c>
      <c r="K308" s="2" t="str">
        <f t="shared" si="14"/>
        <v>Even Keel</v>
      </c>
    </row>
    <row r="309" spans="1:11" x14ac:dyDescent="0.6">
      <c r="A309" s="2" t="str">
        <f>IF('December_Tide_2025 (2)'!A309="","",'December_Tide_2025 (2)'!A309)</f>
        <v>2025-12-13 19:00:00</v>
      </c>
      <c r="B309" s="3">
        <f>IF('December_Tide_2025 (2)'!B309="","",'December_Tide_2025 (2)'!B309)</f>
        <v>0.91</v>
      </c>
      <c r="C309" s="3">
        <f>IF($A309="","", INDEX([1]Calc!$E:$E, MATCH("KminusZ_m", [1]Calc!$C:$C, 0)) + $B309 - INDEX([1]Calc!$E:$E, MATCH("L_ramp_m", [1]Calc!$C:$C, 0)) * TAN(RADIANS(INDEX([1]Calc!$E:$E, MATCH("theta_max_deg", [1]Calc!$C:$C, 0)))))</f>
        <v>2.6487491768118825</v>
      </c>
      <c r="D309" s="3"/>
      <c r="E309" s="3">
        <f t="shared" si="12"/>
        <v>2.6487491768118825</v>
      </c>
      <c r="F309" s="3">
        <f t="shared" si="13"/>
        <v>2.6487491768118825</v>
      </c>
      <c r="G309" s="3">
        <f>IF($E309="","", DEGREES(ATAN((INDEX([1]Calc!$E:$E, MATCH("KminusZ_m", [1]Calc!$C:$C, 0)) - $E309 + $B309) / INDEX([1]Calc!$E:$E, MATCH("L_ramp_m", [1]Calc!$C:$C, 0)))))</f>
        <v>6.0000000000000009</v>
      </c>
      <c r="H309" s="2" t="str">
        <f>IF($E309="","", IF(AND($E309&gt;=INDEX([1]Calc!$E:$E, MATCH("min_fwd_draft_m", [1]Calc!$C:$C, 0)), $E309&lt;=INDEX([1]Calc!$E:$E, MATCH("max_fwd_draft_m", [1]Calc!$C:$C, 0)), $G309&lt;=INDEX([1]Calc!$E:$E, MATCH("theta_max_deg", [1]Calc!$C:$C, 0))), "OK", "CHECK"))</f>
        <v>OK</v>
      </c>
      <c r="I309" s="3">
        <f>IF($E309="","", INDEX([1]Calc!$E:$E, MATCH("D_vessel_m", [1]Calc!$C:$C, 0)) - $E309 + $B309)</f>
        <v>1.9112508231881176</v>
      </c>
      <c r="J309" s="3">
        <f>IF($F309="","", INDEX([1]Calc!$E:$E, MATCH("D_vessel_m", [1]Calc!$C:$C, 0)) - $F309 + $B309)</f>
        <v>1.9112508231881176</v>
      </c>
      <c r="K309" s="2" t="str">
        <f t="shared" si="14"/>
        <v>Even Keel</v>
      </c>
    </row>
    <row r="310" spans="1:11" x14ac:dyDescent="0.6">
      <c r="A310" s="2" t="str">
        <f>IF('December_Tide_2025 (2)'!A310="","",'December_Tide_2025 (2)'!A310)</f>
        <v>2025-12-13 20:00:00</v>
      </c>
      <c r="B310" s="3">
        <f>IF('December_Tide_2025 (2)'!B310="","",'December_Tide_2025 (2)'!B310)</f>
        <v>1.17</v>
      </c>
      <c r="C310" s="3">
        <f>IF($A310="","", INDEX([1]Calc!$E:$E, MATCH("KminusZ_m", [1]Calc!$C:$C, 0)) + $B310 - INDEX([1]Calc!$E:$E, MATCH("L_ramp_m", [1]Calc!$C:$C, 0)) * TAN(RADIANS(INDEX([1]Calc!$E:$E, MATCH("theta_max_deg", [1]Calc!$C:$C, 0)))))</f>
        <v>2.9087491768118823</v>
      </c>
      <c r="D310" s="3"/>
      <c r="E310" s="3">
        <f t="shared" si="12"/>
        <v>2.9087491768118823</v>
      </c>
      <c r="F310" s="3">
        <f t="shared" si="13"/>
        <v>2.9087491768118823</v>
      </c>
      <c r="G310" s="3">
        <f>IF($E310="","", DEGREES(ATAN((INDEX([1]Calc!$E:$E, MATCH("KminusZ_m", [1]Calc!$C:$C, 0)) - $E310 + $B310) / INDEX([1]Calc!$E:$E, MATCH("L_ramp_m", [1]Calc!$C:$C, 0)))))</f>
        <v>6.0000000000000009</v>
      </c>
      <c r="H310" s="2" t="str">
        <f>IF($E310="","", IF(AND($E310&gt;=INDEX([1]Calc!$E:$E, MATCH("min_fwd_draft_m", [1]Calc!$C:$C, 0)), $E310&lt;=INDEX([1]Calc!$E:$E, MATCH("max_fwd_draft_m", [1]Calc!$C:$C, 0)), $G310&lt;=INDEX([1]Calc!$E:$E, MATCH("theta_max_deg", [1]Calc!$C:$C, 0))), "OK", "CHECK"))</f>
        <v>OK</v>
      </c>
      <c r="I310" s="3">
        <f>IF($E310="","", INDEX([1]Calc!$E:$E, MATCH("D_vessel_m", [1]Calc!$C:$C, 0)) - $E310 + $B310)</f>
        <v>1.9112508231881176</v>
      </c>
      <c r="J310" s="3">
        <f>IF($F310="","", INDEX([1]Calc!$E:$E, MATCH("D_vessel_m", [1]Calc!$C:$C, 0)) - $F310 + $B310)</f>
        <v>1.9112508231881176</v>
      </c>
      <c r="K310" s="2" t="str">
        <f t="shared" si="14"/>
        <v>Even Keel</v>
      </c>
    </row>
    <row r="311" spans="1:11" x14ac:dyDescent="0.6">
      <c r="A311" s="2" t="str">
        <f>IF('December_Tide_2025 (2)'!A311="","",'December_Tide_2025 (2)'!A311)</f>
        <v>2025-12-13 21:00:00</v>
      </c>
      <c r="B311" s="3">
        <f>IF('December_Tide_2025 (2)'!B311="","",'December_Tide_2025 (2)'!B311)</f>
        <v>1.59</v>
      </c>
      <c r="C311" s="3">
        <f>IF($A311="","", INDEX([1]Calc!$E:$E, MATCH("KminusZ_m", [1]Calc!$C:$C, 0)) + $B311 - INDEX([1]Calc!$E:$E, MATCH("L_ramp_m", [1]Calc!$C:$C, 0)) * TAN(RADIANS(INDEX([1]Calc!$E:$E, MATCH("theta_max_deg", [1]Calc!$C:$C, 0)))))</f>
        <v>3.3287491768118822</v>
      </c>
      <c r="D311" s="3"/>
      <c r="E311" s="3">
        <f t="shared" si="12"/>
        <v>3.3287491768118822</v>
      </c>
      <c r="F311" s="3">
        <f t="shared" si="13"/>
        <v>3.3287491768118822</v>
      </c>
      <c r="G311" s="3">
        <f>IF($E311="","", DEGREES(ATAN((INDEX([1]Calc!$E:$E, MATCH("KminusZ_m", [1]Calc!$C:$C, 0)) - $E311 + $B311) / INDEX([1]Calc!$E:$E, MATCH("L_ramp_m", [1]Calc!$C:$C, 0)))))</f>
        <v>6.0000000000000009</v>
      </c>
      <c r="H311" s="2" t="str">
        <f>IF($E311="","", IF(AND($E311&gt;=INDEX([1]Calc!$E:$E, MATCH("min_fwd_draft_m", [1]Calc!$C:$C, 0)), $E311&lt;=INDEX([1]Calc!$E:$E, MATCH("max_fwd_draft_m", [1]Calc!$C:$C, 0)), $G311&lt;=INDEX([1]Calc!$E:$E, MATCH("theta_max_deg", [1]Calc!$C:$C, 0))), "OK", "CHECK"))</f>
        <v>OK</v>
      </c>
      <c r="I311" s="3">
        <f>IF($E311="","", INDEX([1]Calc!$E:$E, MATCH("D_vessel_m", [1]Calc!$C:$C, 0)) - $E311 + $B311)</f>
        <v>1.9112508231881178</v>
      </c>
      <c r="J311" s="3">
        <f>IF($F311="","", INDEX([1]Calc!$E:$E, MATCH("D_vessel_m", [1]Calc!$C:$C, 0)) - $F311 + $B311)</f>
        <v>1.9112508231881178</v>
      </c>
      <c r="K311" s="2" t="str">
        <f t="shared" si="14"/>
        <v>Even Keel</v>
      </c>
    </row>
    <row r="312" spans="1:11" x14ac:dyDescent="0.6">
      <c r="A312" s="2" t="str">
        <f>IF('December_Tide_2025 (2)'!A312="","",'December_Tide_2025 (2)'!A312)</f>
        <v>2025-12-13 22:00:00</v>
      </c>
      <c r="B312" s="3">
        <f>IF('December_Tide_2025 (2)'!B312="","",'December_Tide_2025 (2)'!B312)</f>
        <v>2.06</v>
      </c>
      <c r="C312" s="3">
        <f>IF($A312="","", INDEX([1]Calc!$E:$E, MATCH("KminusZ_m", [1]Calc!$C:$C, 0)) + $B312 - INDEX([1]Calc!$E:$E, MATCH("L_ramp_m", [1]Calc!$C:$C, 0)) * TAN(RADIANS(INDEX([1]Calc!$E:$E, MATCH("theta_max_deg", [1]Calc!$C:$C, 0)))))</f>
        <v>3.7987491768118828</v>
      </c>
      <c r="D312" s="3"/>
      <c r="E312" s="3">
        <f t="shared" si="12"/>
        <v>3.7987491768118828</v>
      </c>
      <c r="F312" s="3">
        <f t="shared" si="13"/>
        <v>3.7987491768118828</v>
      </c>
      <c r="G312" s="3">
        <f>IF($E312="","", DEGREES(ATAN((INDEX([1]Calc!$E:$E, MATCH("KminusZ_m", [1]Calc!$C:$C, 0)) - $E312 + $B312) / INDEX([1]Calc!$E:$E, MATCH("L_ramp_m", [1]Calc!$C:$C, 0)))))</f>
        <v>5.9999999999999982</v>
      </c>
      <c r="H312" s="2" t="str">
        <f>IF($E312="","", IF(AND($E312&gt;=INDEX([1]Calc!$E:$E, MATCH("min_fwd_draft_m", [1]Calc!$C:$C, 0)), $E312&lt;=INDEX([1]Calc!$E:$E, MATCH("max_fwd_draft_m", [1]Calc!$C:$C, 0)), $G312&lt;=INDEX([1]Calc!$E:$E, MATCH("theta_max_deg", [1]Calc!$C:$C, 0))), "OK", "CHECK"))</f>
        <v>CHECK</v>
      </c>
      <c r="I312" s="3">
        <f>IF($E312="","", INDEX([1]Calc!$E:$E, MATCH("D_vessel_m", [1]Calc!$C:$C, 0)) - $E312 + $B312)</f>
        <v>1.9112508231881171</v>
      </c>
      <c r="J312" s="3">
        <f>IF($F312="","", INDEX([1]Calc!$E:$E, MATCH("D_vessel_m", [1]Calc!$C:$C, 0)) - $F312 + $B312)</f>
        <v>1.9112508231881171</v>
      </c>
      <c r="K312" s="2" t="str">
        <f t="shared" si="14"/>
        <v>Even Keel</v>
      </c>
    </row>
    <row r="313" spans="1:11" x14ac:dyDescent="0.6">
      <c r="A313" s="2" t="str">
        <f>IF('December_Tide_2025 (2)'!A313="","",'December_Tide_2025 (2)'!A313)</f>
        <v>2025-12-13 23:00:00</v>
      </c>
      <c r="B313" s="3">
        <f>IF('December_Tide_2025 (2)'!B313="","",'December_Tide_2025 (2)'!B313)</f>
        <v>2.46</v>
      </c>
      <c r="C313" s="3">
        <f>IF($A313="","", INDEX([1]Calc!$E:$E, MATCH("KminusZ_m", [1]Calc!$C:$C, 0)) + $B313 - INDEX([1]Calc!$E:$E, MATCH("L_ramp_m", [1]Calc!$C:$C, 0)) * TAN(RADIANS(INDEX([1]Calc!$E:$E, MATCH("theta_max_deg", [1]Calc!$C:$C, 0)))))</f>
        <v>4.1987491768118819</v>
      </c>
      <c r="D313" s="3"/>
      <c r="E313" s="3">
        <f t="shared" si="12"/>
        <v>4.1987491768118819</v>
      </c>
      <c r="F313" s="3">
        <f t="shared" si="13"/>
        <v>4.1987491768118819</v>
      </c>
      <c r="G313" s="3">
        <f>IF($E313="","", DEGREES(ATAN((INDEX([1]Calc!$E:$E, MATCH("KminusZ_m", [1]Calc!$C:$C, 0)) - $E313 + $B313) / INDEX([1]Calc!$E:$E, MATCH("L_ramp_m", [1]Calc!$C:$C, 0)))))</f>
        <v>6.0000000000000027</v>
      </c>
      <c r="H313" s="2" t="str">
        <f>IF($E313="","", IF(AND($E313&gt;=INDEX([1]Calc!$E:$E, MATCH("min_fwd_draft_m", [1]Calc!$C:$C, 0)), $E313&lt;=INDEX([1]Calc!$E:$E, MATCH("max_fwd_draft_m", [1]Calc!$C:$C, 0)), $G313&lt;=INDEX([1]Calc!$E:$E, MATCH("theta_max_deg", [1]Calc!$C:$C, 0))), "OK", "CHECK"))</f>
        <v>CHECK</v>
      </c>
      <c r="I313" s="3">
        <f>IF($E313="","", INDEX([1]Calc!$E:$E, MATCH("D_vessel_m", [1]Calc!$C:$C, 0)) - $E313 + $B313)</f>
        <v>1.911250823188118</v>
      </c>
      <c r="J313" s="3">
        <f>IF($F313="","", INDEX([1]Calc!$E:$E, MATCH("D_vessel_m", [1]Calc!$C:$C, 0)) - $F313 + $B313)</f>
        <v>1.911250823188118</v>
      </c>
      <c r="K313" s="2" t="str">
        <f t="shared" si="14"/>
        <v>Even Keel</v>
      </c>
    </row>
    <row r="314" spans="1:11" x14ac:dyDescent="0.6">
      <c r="A314" s="2" t="str">
        <f>IF('December_Tide_2025 (2)'!A314="","",'December_Tide_2025 (2)'!A314)</f>
        <v>2025-12-14 00:00:00</v>
      </c>
      <c r="B314" s="3">
        <f>IF('December_Tide_2025 (2)'!B314="","",'December_Tide_2025 (2)'!B314)</f>
        <v>2.7</v>
      </c>
      <c r="C314" s="3">
        <f>IF($A314="","", INDEX([1]Calc!$E:$E, MATCH("KminusZ_m", [1]Calc!$C:$C, 0)) + $B314 - INDEX([1]Calc!$E:$E, MATCH("L_ramp_m", [1]Calc!$C:$C, 0)) * TAN(RADIANS(INDEX([1]Calc!$E:$E, MATCH("theta_max_deg", [1]Calc!$C:$C, 0)))))</f>
        <v>4.4387491768118821</v>
      </c>
      <c r="D314" s="3"/>
      <c r="E314" s="3">
        <f t="shared" si="12"/>
        <v>4.4387491768118821</v>
      </c>
      <c r="F314" s="3">
        <f t="shared" si="13"/>
        <v>4.4387491768118821</v>
      </c>
      <c r="G314" s="3">
        <f>IF($E314="","", DEGREES(ATAN((INDEX([1]Calc!$E:$E, MATCH("KminusZ_m", [1]Calc!$C:$C, 0)) - $E314 + $B314) / INDEX([1]Calc!$E:$E, MATCH("L_ramp_m", [1]Calc!$C:$C, 0)))))</f>
        <v>6.0000000000000027</v>
      </c>
      <c r="H314" s="2" t="str">
        <f>IF($E314="","", IF(AND($E314&gt;=INDEX([1]Calc!$E:$E, MATCH("min_fwd_draft_m", [1]Calc!$C:$C, 0)), $E314&lt;=INDEX([1]Calc!$E:$E, MATCH("max_fwd_draft_m", [1]Calc!$C:$C, 0)), $G314&lt;=INDEX([1]Calc!$E:$E, MATCH("theta_max_deg", [1]Calc!$C:$C, 0))), "OK", "CHECK"))</f>
        <v>CHECK</v>
      </c>
      <c r="I314" s="3">
        <f>IF($E314="","", INDEX([1]Calc!$E:$E, MATCH("D_vessel_m", [1]Calc!$C:$C, 0)) - $E314 + $B314)</f>
        <v>1.911250823188118</v>
      </c>
      <c r="J314" s="3">
        <f>IF($F314="","", INDEX([1]Calc!$E:$E, MATCH("D_vessel_m", [1]Calc!$C:$C, 0)) - $F314 + $B314)</f>
        <v>1.911250823188118</v>
      </c>
      <c r="K314" s="2" t="str">
        <f t="shared" si="14"/>
        <v>Even Keel</v>
      </c>
    </row>
    <row r="315" spans="1:11" x14ac:dyDescent="0.6">
      <c r="A315" s="2" t="str">
        <f>IF('December_Tide_2025 (2)'!A315="","",'December_Tide_2025 (2)'!A315)</f>
        <v>2025-12-14 01:00:00</v>
      </c>
      <c r="B315" s="3">
        <f>IF('December_Tide_2025 (2)'!B315="","",'December_Tide_2025 (2)'!B315)</f>
        <v>2.71</v>
      </c>
      <c r="C315" s="3">
        <f>IF($A315="","", INDEX([1]Calc!$E:$E, MATCH("KminusZ_m", [1]Calc!$C:$C, 0)) + $B315 - INDEX([1]Calc!$E:$E, MATCH("L_ramp_m", [1]Calc!$C:$C, 0)) * TAN(RADIANS(INDEX([1]Calc!$E:$E, MATCH("theta_max_deg", [1]Calc!$C:$C, 0)))))</f>
        <v>4.4487491768118819</v>
      </c>
      <c r="D315" s="3"/>
      <c r="E315" s="3">
        <f t="shared" si="12"/>
        <v>4.4487491768118819</v>
      </c>
      <c r="F315" s="3">
        <f t="shared" si="13"/>
        <v>4.4487491768118819</v>
      </c>
      <c r="G315" s="3">
        <f>IF($E315="","", DEGREES(ATAN((INDEX([1]Calc!$E:$E, MATCH("KminusZ_m", [1]Calc!$C:$C, 0)) - $E315 + $B315) / INDEX([1]Calc!$E:$E, MATCH("L_ramp_m", [1]Calc!$C:$C, 0)))))</f>
        <v>6.0000000000000027</v>
      </c>
      <c r="H315" s="2" t="str">
        <f>IF($E315="","", IF(AND($E315&gt;=INDEX([1]Calc!$E:$E, MATCH("min_fwd_draft_m", [1]Calc!$C:$C, 0)), $E315&lt;=INDEX([1]Calc!$E:$E, MATCH("max_fwd_draft_m", [1]Calc!$C:$C, 0)), $G315&lt;=INDEX([1]Calc!$E:$E, MATCH("theta_max_deg", [1]Calc!$C:$C, 0))), "OK", "CHECK"))</f>
        <v>CHECK</v>
      </c>
      <c r="I315" s="3">
        <f>IF($E315="","", INDEX([1]Calc!$E:$E, MATCH("D_vessel_m", [1]Calc!$C:$C, 0)) - $E315 + $B315)</f>
        <v>1.911250823188118</v>
      </c>
      <c r="J315" s="3">
        <f>IF($F315="","", INDEX([1]Calc!$E:$E, MATCH("D_vessel_m", [1]Calc!$C:$C, 0)) - $F315 + $B315)</f>
        <v>1.911250823188118</v>
      </c>
      <c r="K315" s="2" t="str">
        <f t="shared" si="14"/>
        <v>Even Keel</v>
      </c>
    </row>
    <row r="316" spans="1:11" x14ac:dyDescent="0.6">
      <c r="A316" s="2" t="str">
        <f>IF('December_Tide_2025 (2)'!A316="","",'December_Tide_2025 (2)'!A316)</f>
        <v>2025-12-14 02:00:00</v>
      </c>
      <c r="B316" s="3">
        <f>IF('December_Tide_2025 (2)'!B316="","",'December_Tide_2025 (2)'!B316)</f>
        <v>2.4900000000000002</v>
      </c>
      <c r="C316" s="3">
        <f>IF($A316="","", INDEX([1]Calc!$E:$E, MATCH("KminusZ_m", [1]Calc!$C:$C, 0)) + $B316 - INDEX([1]Calc!$E:$E, MATCH("L_ramp_m", [1]Calc!$C:$C, 0)) * TAN(RADIANS(INDEX([1]Calc!$E:$E, MATCH("theta_max_deg", [1]Calc!$C:$C, 0)))))</f>
        <v>4.228749176811883</v>
      </c>
      <c r="D316" s="3"/>
      <c r="E316" s="3">
        <f t="shared" si="12"/>
        <v>4.228749176811883</v>
      </c>
      <c r="F316" s="3">
        <f t="shared" si="13"/>
        <v>4.228749176811883</v>
      </c>
      <c r="G316" s="3">
        <f>IF($E316="","", DEGREES(ATAN((INDEX([1]Calc!$E:$E, MATCH("KminusZ_m", [1]Calc!$C:$C, 0)) - $E316 + $B316) / INDEX([1]Calc!$E:$E, MATCH("L_ramp_m", [1]Calc!$C:$C, 0)))))</f>
        <v>5.9999999999999982</v>
      </c>
      <c r="H316" s="2" t="str">
        <f>IF($E316="","", IF(AND($E316&gt;=INDEX([1]Calc!$E:$E, MATCH("min_fwd_draft_m", [1]Calc!$C:$C, 0)), $E316&lt;=INDEX([1]Calc!$E:$E, MATCH("max_fwd_draft_m", [1]Calc!$C:$C, 0)), $G316&lt;=INDEX([1]Calc!$E:$E, MATCH("theta_max_deg", [1]Calc!$C:$C, 0))), "OK", "CHECK"))</f>
        <v>CHECK</v>
      </c>
      <c r="I316" s="3">
        <f>IF($E316="","", INDEX([1]Calc!$E:$E, MATCH("D_vessel_m", [1]Calc!$C:$C, 0)) - $E316 + $B316)</f>
        <v>1.9112508231881171</v>
      </c>
      <c r="J316" s="3">
        <f>IF($F316="","", INDEX([1]Calc!$E:$E, MATCH("D_vessel_m", [1]Calc!$C:$C, 0)) - $F316 + $B316)</f>
        <v>1.9112508231881171</v>
      </c>
      <c r="K316" s="2" t="str">
        <f t="shared" si="14"/>
        <v>Even Keel</v>
      </c>
    </row>
    <row r="317" spans="1:11" x14ac:dyDescent="0.6">
      <c r="A317" s="2" t="str">
        <f>IF('December_Tide_2025 (2)'!A317="","",'December_Tide_2025 (2)'!A317)</f>
        <v>2025-12-14 03:00:00</v>
      </c>
      <c r="B317" s="3">
        <f>IF('December_Tide_2025 (2)'!B317="","",'December_Tide_2025 (2)'!B317)</f>
        <v>2.1</v>
      </c>
      <c r="C317" s="3">
        <f>IF($A317="","", INDEX([1]Calc!$E:$E, MATCH("KminusZ_m", [1]Calc!$C:$C, 0)) + $B317 - INDEX([1]Calc!$E:$E, MATCH("L_ramp_m", [1]Calc!$C:$C, 0)) * TAN(RADIANS(INDEX([1]Calc!$E:$E, MATCH("theta_max_deg", [1]Calc!$C:$C, 0)))))</f>
        <v>3.838749176811882</v>
      </c>
      <c r="D317" s="3"/>
      <c r="E317" s="3">
        <f t="shared" si="12"/>
        <v>3.838749176811882</v>
      </c>
      <c r="F317" s="3">
        <f t="shared" si="13"/>
        <v>3.838749176811882</v>
      </c>
      <c r="G317" s="3">
        <f>IF($E317="","", DEGREES(ATAN((INDEX([1]Calc!$E:$E, MATCH("KminusZ_m", [1]Calc!$C:$C, 0)) - $E317 + $B317) / INDEX([1]Calc!$E:$E, MATCH("L_ramp_m", [1]Calc!$C:$C, 0)))))</f>
        <v>6.0000000000000027</v>
      </c>
      <c r="H317" s="2" t="str">
        <f>IF($E317="","", IF(AND($E317&gt;=INDEX([1]Calc!$E:$E, MATCH("min_fwd_draft_m", [1]Calc!$C:$C, 0)), $E317&lt;=INDEX([1]Calc!$E:$E, MATCH("max_fwd_draft_m", [1]Calc!$C:$C, 0)), $G317&lt;=INDEX([1]Calc!$E:$E, MATCH("theta_max_deg", [1]Calc!$C:$C, 0))), "OK", "CHECK"))</f>
        <v>CHECK</v>
      </c>
      <c r="I317" s="3">
        <f>IF($E317="","", INDEX([1]Calc!$E:$E, MATCH("D_vessel_m", [1]Calc!$C:$C, 0)) - $E317 + $B317)</f>
        <v>1.911250823188118</v>
      </c>
      <c r="J317" s="3">
        <f>IF($F317="","", INDEX([1]Calc!$E:$E, MATCH("D_vessel_m", [1]Calc!$C:$C, 0)) - $F317 + $B317)</f>
        <v>1.911250823188118</v>
      </c>
      <c r="K317" s="2" t="str">
        <f t="shared" si="14"/>
        <v>Even Keel</v>
      </c>
    </row>
    <row r="318" spans="1:11" x14ac:dyDescent="0.6">
      <c r="A318" s="2" t="str">
        <f>IF('December_Tide_2025 (2)'!A318="","",'December_Tide_2025 (2)'!A318)</f>
        <v>2025-12-14 04:00:00</v>
      </c>
      <c r="B318" s="3">
        <f>IF('December_Tide_2025 (2)'!B318="","",'December_Tide_2025 (2)'!B318)</f>
        <v>1.63</v>
      </c>
      <c r="C318" s="3">
        <f>IF($A318="","", INDEX([1]Calc!$E:$E, MATCH("KminusZ_m", [1]Calc!$C:$C, 0)) + $B318 - INDEX([1]Calc!$E:$E, MATCH("L_ramp_m", [1]Calc!$C:$C, 0)) * TAN(RADIANS(INDEX([1]Calc!$E:$E, MATCH("theta_max_deg", [1]Calc!$C:$C, 0)))))</f>
        <v>3.3687491768118822</v>
      </c>
      <c r="D318" s="3"/>
      <c r="E318" s="3">
        <f t="shared" si="12"/>
        <v>3.3687491768118822</v>
      </c>
      <c r="F318" s="3">
        <f t="shared" si="13"/>
        <v>3.3687491768118822</v>
      </c>
      <c r="G318" s="3">
        <f>IF($E318="","", DEGREES(ATAN((INDEX([1]Calc!$E:$E, MATCH("KminusZ_m", [1]Calc!$C:$C, 0)) - $E318 + $B318) / INDEX([1]Calc!$E:$E, MATCH("L_ramp_m", [1]Calc!$C:$C, 0)))))</f>
        <v>6.0000000000000009</v>
      </c>
      <c r="H318" s="2" t="str">
        <f>IF($E318="","", IF(AND($E318&gt;=INDEX([1]Calc!$E:$E, MATCH("min_fwd_draft_m", [1]Calc!$C:$C, 0)), $E318&lt;=INDEX([1]Calc!$E:$E, MATCH("max_fwd_draft_m", [1]Calc!$C:$C, 0)), $G318&lt;=INDEX([1]Calc!$E:$E, MATCH("theta_max_deg", [1]Calc!$C:$C, 0))), "OK", "CHECK"))</f>
        <v>OK</v>
      </c>
      <c r="I318" s="3">
        <f>IF($E318="","", INDEX([1]Calc!$E:$E, MATCH("D_vessel_m", [1]Calc!$C:$C, 0)) - $E318 + $B318)</f>
        <v>1.9112508231881176</v>
      </c>
      <c r="J318" s="3">
        <f>IF($F318="","", INDEX([1]Calc!$E:$E, MATCH("D_vessel_m", [1]Calc!$C:$C, 0)) - $F318 + $B318)</f>
        <v>1.9112508231881176</v>
      </c>
      <c r="K318" s="2" t="str">
        <f t="shared" si="14"/>
        <v>Even Keel</v>
      </c>
    </row>
    <row r="319" spans="1:11" x14ac:dyDescent="0.6">
      <c r="A319" s="2" t="str">
        <f>IF('December_Tide_2025 (2)'!A319="","",'December_Tide_2025 (2)'!A319)</f>
        <v>2025-12-14 05:00:00</v>
      </c>
      <c r="B319" s="3">
        <f>IF('December_Tide_2025 (2)'!B319="","",'December_Tide_2025 (2)'!B319)</f>
        <v>1.21</v>
      </c>
      <c r="C319" s="3">
        <f>IF($A319="","", INDEX([1]Calc!$E:$E, MATCH("KminusZ_m", [1]Calc!$C:$C, 0)) + $B319 - INDEX([1]Calc!$E:$E, MATCH("L_ramp_m", [1]Calc!$C:$C, 0)) * TAN(RADIANS(INDEX([1]Calc!$E:$E, MATCH("theta_max_deg", [1]Calc!$C:$C, 0)))))</f>
        <v>2.9487491768118823</v>
      </c>
      <c r="D319" s="3"/>
      <c r="E319" s="3">
        <f t="shared" si="12"/>
        <v>2.9487491768118823</v>
      </c>
      <c r="F319" s="3">
        <f t="shared" si="13"/>
        <v>2.9487491768118823</v>
      </c>
      <c r="G319" s="3">
        <f>IF($E319="","", DEGREES(ATAN((INDEX([1]Calc!$E:$E, MATCH("KminusZ_m", [1]Calc!$C:$C, 0)) - $E319 + $B319) / INDEX([1]Calc!$E:$E, MATCH("L_ramp_m", [1]Calc!$C:$C, 0)))))</f>
        <v>6.0000000000000009</v>
      </c>
      <c r="H319" s="2" t="str">
        <f>IF($E319="","", IF(AND($E319&gt;=INDEX([1]Calc!$E:$E, MATCH("min_fwd_draft_m", [1]Calc!$C:$C, 0)), $E319&lt;=INDEX([1]Calc!$E:$E, MATCH("max_fwd_draft_m", [1]Calc!$C:$C, 0)), $G319&lt;=INDEX([1]Calc!$E:$E, MATCH("theta_max_deg", [1]Calc!$C:$C, 0))), "OK", "CHECK"))</f>
        <v>OK</v>
      </c>
      <c r="I319" s="3">
        <f>IF($E319="","", INDEX([1]Calc!$E:$E, MATCH("D_vessel_m", [1]Calc!$C:$C, 0)) - $E319 + $B319)</f>
        <v>1.9112508231881176</v>
      </c>
      <c r="J319" s="3">
        <f>IF($F319="","", INDEX([1]Calc!$E:$E, MATCH("D_vessel_m", [1]Calc!$C:$C, 0)) - $F319 + $B319)</f>
        <v>1.9112508231881176</v>
      </c>
      <c r="K319" s="2" t="str">
        <f t="shared" si="14"/>
        <v>Even Keel</v>
      </c>
    </row>
    <row r="320" spans="1:11" x14ac:dyDescent="0.6">
      <c r="A320" s="2" t="str">
        <f>IF('December_Tide_2025 (2)'!A320="","",'December_Tide_2025 (2)'!A320)</f>
        <v>2025-12-14 06:00:00</v>
      </c>
      <c r="B320" s="3">
        <f>IF('December_Tide_2025 (2)'!B320="","",'December_Tide_2025 (2)'!B320)</f>
        <v>0.93</v>
      </c>
      <c r="C320" s="3">
        <f>IF($A320="","", INDEX([1]Calc!$E:$E, MATCH("KminusZ_m", [1]Calc!$C:$C, 0)) + $B320 - INDEX([1]Calc!$E:$E, MATCH("L_ramp_m", [1]Calc!$C:$C, 0)) * TAN(RADIANS(INDEX([1]Calc!$E:$E, MATCH("theta_max_deg", [1]Calc!$C:$C, 0)))))</f>
        <v>2.6687491768118825</v>
      </c>
      <c r="D320" s="3"/>
      <c r="E320" s="3">
        <f t="shared" si="12"/>
        <v>2.6687491768118825</v>
      </c>
      <c r="F320" s="3">
        <f t="shared" si="13"/>
        <v>2.6687491768118825</v>
      </c>
      <c r="G320" s="3">
        <f>IF($E320="","", DEGREES(ATAN((INDEX([1]Calc!$E:$E, MATCH("KminusZ_m", [1]Calc!$C:$C, 0)) - $E320 + $B320) / INDEX([1]Calc!$E:$E, MATCH("L_ramp_m", [1]Calc!$C:$C, 0)))))</f>
        <v>6.0000000000000009</v>
      </c>
      <c r="H320" s="2" t="str">
        <f>IF($E320="","", IF(AND($E320&gt;=INDEX([1]Calc!$E:$E, MATCH("min_fwd_draft_m", [1]Calc!$C:$C, 0)), $E320&lt;=INDEX([1]Calc!$E:$E, MATCH("max_fwd_draft_m", [1]Calc!$C:$C, 0)), $G320&lt;=INDEX([1]Calc!$E:$E, MATCH("theta_max_deg", [1]Calc!$C:$C, 0))), "OK", "CHECK"))</f>
        <v>OK</v>
      </c>
      <c r="I320" s="3">
        <f>IF($E320="","", INDEX([1]Calc!$E:$E, MATCH("D_vessel_m", [1]Calc!$C:$C, 0)) - $E320 + $B320)</f>
        <v>1.9112508231881176</v>
      </c>
      <c r="J320" s="3">
        <f>IF($F320="","", INDEX([1]Calc!$E:$E, MATCH("D_vessel_m", [1]Calc!$C:$C, 0)) - $F320 + $B320)</f>
        <v>1.9112508231881176</v>
      </c>
      <c r="K320" s="2" t="str">
        <f t="shared" si="14"/>
        <v>Even Keel</v>
      </c>
    </row>
    <row r="321" spans="1:11" x14ac:dyDescent="0.6">
      <c r="A321" s="2" t="str">
        <f>IF('December_Tide_2025 (2)'!A321="","",'December_Tide_2025 (2)'!A321)</f>
        <v>2025-12-14 07:00:00</v>
      </c>
      <c r="B321" s="3">
        <f>IF('December_Tide_2025 (2)'!B321="","",'December_Tide_2025 (2)'!B321)</f>
        <v>0.87</v>
      </c>
      <c r="C321" s="3">
        <f>IF($A321="","", INDEX([1]Calc!$E:$E, MATCH("KminusZ_m", [1]Calc!$C:$C, 0)) + $B321 - INDEX([1]Calc!$E:$E, MATCH("L_ramp_m", [1]Calc!$C:$C, 0)) * TAN(RADIANS(INDEX([1]Calc!$E:$E, MATCH("theta_max_deg", [1]Calc!$C:$C, 0)))))</f>
        <v>2.6087491768118825</v>
      </c>
      <c r="D321" s="3"/>
      <c r="E321" s="3">
        <f t="shared" si="12"/>
        <v>2.6087491768118825</v>
      </c>
      <c r="F321" s="3">
        <f t="shared" si="13"/>
        <v>2.6087491768118825</v>
      </c>
      <c r="G321" s="3">
        <f>IF($E321="","", DEGREES(ATAN((INDEX([1]Calc!$E:$E, MATCH("KminusZ_m", [1]Calc!$C:$C, 0)) - $E321 + $B321) / INDEX([1]Calc!$E:$E, MATCH("L_ramp_m", [1]Calc!$C:$C, 0)))))</f>
        <v>6.0000000000000009</v>
      </c>
      <c r="H321" s="2" t="str">
        <f>IF($E321="","", IF(AND($E321&gt;=INDEX([1]Calc!$E:$E, MATCH("min_fwd_draft_m", [1]Calc!$C:$C, 0)), $E321&lt;=INDEX([1]Calc!$E:$E, MATCH("max_fwd_draft_m", [1]Calc!$C:$C, 0)), $G321&lt;=INDEX([1]Calc!$E:$E, MATCH("theta_max_deg", [1]Calc!$C:$C, 0))), "OK", "CHECK"))</f>
        <v>OK</v>
      </c>
      <c r="I321" s="3">
        <f>IF($E321="","", INDEX([1]Calc!$E:$E, MATCH("D_vessel_m", [1]Calc!$C:$C, 0)) - $E321 + $B321)</f>
        <v>1.9112508231881176</v>
      </c>
      <c r="J321" s="3">
        <f>IF($F321="","", INDEX([1]Calc!$E:$E, MATCH("D_vessel_m", [1]Calc!$C:$C, 0)) - $F321 + $B321)</f>
        <v>1.9112508231881176</v>
      </c>
      <c r="K321" s="2" t="str">
        <f t="shared" si="14"/>
        <v>Even Keel</v>
      </c>
    </row>
    <row r="322" spans="1:11" x14ac:dyDescent="0.6">
      <c r="A322" s="2" t="str">
        <f>IF('December_Tide_2025 (2)'!A322="","",'December_Tide_2025 (2)'!A322)</f>
        <v>2025-12-14 08:00:00</v>
      </c>
      <c r="B322" s="3">
        <f>IF('December_Tide_2025 (2)'!B322="","",'December_Tide_2025 (2)'!B322)</f>
        <v>1.05</v>
      </c>
      <c r="C322" s="3">
        <f>IF($A322="","", INDEX([1]Calc!$E:$E, MATCH("KminusZ_m", [1]Calc!$C:$C, 0)) + $B322 - INDEX([1]Calc!$E:$E, MATCH("L_ramp_m", [1]Calc!$C:$C, 0)) * TAN(RADIANS(INDEX([1]Calc!$E:$E, MATCH("theta_max_deg", [1]Calc!$C:$C, 0)))))</f>
        <v>2.7887491768118822</v>
      </c>
      <c r="D322" s="3"/>
      <c r="E322" s="3">
        <f t="shared" ref="E322:E385" si="15">IF($C322="","", IF($D322="", $C322, $C322 - $D322/2))</f>
        <v>2.7887491768118822</v>
      </c>
      <c r="F322" s="3">
        <f t="shared" ref="F322:F385" si="16">IF($C322="","", IF($D322="", $C322, $C322 + $D322/2))</f>
        <v>2.7887491768118822</v>
      </c>
      <c r="G322" s="3">
        <f>IF($E322="","", DEGREES(ATAN((INDEX([1]Calc!$E:$E, MATCH("KminusZ_m", [1]Calc!$C:$C, 0)) - $E322 + $B322) / INDEX([1]Calc!$E:$E, MATCH("L_ramp_m", [1]Calc!$C:$C, 0)))))</f>
        <v>6.0000000000000009</v>
      </c>
      <c r="H322" s="2" t="str">
        <f>IF($E322="","", IF(AND($E322&gt;=INDEX([1]Calc!$E:$E, MATCH("min_fwd_draft_m", [1]Calc!$C:$C, 0)), $E322&lt;=INDEX([1]Calc!$E:$E, MATCH("max_fwd_draft_m", [1]Calc!$C:$C, 0)), $G322&lt;=INDEX([1]Calc!$E:$E, MATCH("theta_max_deg", [1]Calc!$C:$C, 0))), "OK", "CHECK"))</f>
        <v>OK</v>
      </c>
      <c r="I322" s="3">
        <f>IF($E322="","", INDEX([1]Calc!$E:$E, MATCH("D_vessel_m", [1]Calc!$C:$C, 0)) - $E322 + $B322)</f>
        <v>1.9112508231881178</v>
      </c>
      <c r="J322" s="3">
        <f>IF($F322="","", INDEX([1]Calc!$E:$E, MATCH("D_vessel_m", [1]Calc!$C:$C, 0)) - $F322 + $B322)</f>
        <v>1.9112508231881178</v>
      </c>
      <c r="K322" s="2" t="str">
        <f t="shared" ref="K322:K385" si="17">IF(D322=0, "Even Keel", "")</f>
        <v>Even Keel</v>
      </c>
    </row>
    <row r="323" spans="1:11" x14ac:dyDescent="0.6">
      <c r="A323" s="2" t="str">
        <f>IF('December_Tide_2025 (2)'!A323="","",'December_Tide_2025 (2)'!A323)</f>
        <v>2025-12-14 09:00:00</v>
      </c>
      <c r="B323" s="3">
        <f>IF('December_Tide_2025 (2)'!B323="","",'December_Tide_2025 (2)'!B323)</f>
        <v>1.41</v>
      </c>
      <c r="C323" s="3">
        <f>IF($A323="","", INDEX([1]Calc!$E:$E, MATCH("KminusZ_m", [1]Calc!$C:$C, 0)) + $B323 - INDEX([1]Calc!$E:$E, MATCH("L_ramp_m", [1]Calc!$C:$C, 0)) * TAN(RADIANS(INDEX([1]Calc!$E:$E, MATCH("theta_max_deg", [1]Calc!$C:$C, 0)))))</f>
        <v>3.1487491768118825</v>
      </c>
      <c r="D323" s="3"/>
      <c r="E323" s="3">
        <f t="shared" si="15"/>
        <v>3.1487491768118825</v>
      </c>
      <c r="F323" s="3">
        <f t="shared" si="16"/>
        <v>3.1487491768118825</v>
      </c>
      <c r="G323" s="3">
        <f>IF($E323="","", DEGREES(ATAN((INDEX([1]Calc!$E:$E, MATCH("KminusZ_m", [1]Calc!$C:$C, 0)) - $E323 + $B323) / INDEX([1]Calc!$E:$E, MATCH("L_ramp_m", [1]Calc!$C:$C, 0)))))</f>
        <v>6</v>
      </c>
      <c r="H323" s="2" t="str">
        <f>IF($E323="","", IF(AND($E323&gt;=INDEX([1]Calc!$E:$E, MATCH("min_fwd_draft_m", [1]Calc!$C:$C, 0)), $E323&lt;=INDEX([1]Calc!$E:$E, MATCH("max_fwd_draft_m", [1]Calc!$C:$C, 0)), $G323&lt;=INDEX([1]Calc!$E:$E, MATCH("theta_max_deg", [1]Calc!$C:$C, 0))), "OK", "CHECK"))</f>
        <v>OK</v>
      </c>
      <c r="I323" s="3">
        <f>IF($E323="","", INDEX([1]Calc!$E:$E, MATCH("D_vessel_m", [1]Calc!$C:$C, 0)) - $E323 + $B323)</f>
        <v>1.9112508231881173</v>
      </c>
      <c r="J323" s="3">
        <f>IF($F323="","", INDEX([1]Calc!$E:$E, MATCH("D_vessel_m", [1]Calc!$C:$C, 0)) - $F323 + $B323)</f>
        <v>1.9112508231881173</v>
      </c>
      <c r="K323" s="2" t="str">
        <f t="shared" si="17"/>
        <v>Even Keel</v>
      </c>
    </row>
    <row r="324" spans="1:11" x14ac:dyDescent="0.6">
      <c r="A324" s="2" t="str">
        <f>IF('December_Tide_2025 (2)'!A324="","",'December_Tide_2025 (2)'!A324)</f>
        <v>2025-12-14 10:00:00</v>
      </c>
      <c r="B324" s="3">
        <f>IF('December_Tide_2025 (2)'!B324="","",'December_Tide_2025 (2)'!B324)</f>
        <v>1.87</v>
      </c>
      <c r="C324" s="3">
        <f>IF($A324="","", INDEX([1]Calc!$E:$E, MATCH("KminusZ_m", [1]Calc!$C:$C, 0)) + $B324 - INDEX([1]Calc!$E:$E, MATCH("L_ramp_m", [1]Calc!$C:$C, 0)) * TAN(RADIANS(INDEX([1]Calc!$E:$E, MATCH("theta_max_deg", [1]Calc!$C:$C, 0)))))</f>
        <v>3.6087491768118825</v>
      </c>
      <c r="D324" s="3"/>
      <c r="E324" s="3">
        <f t="shared" si="15"/>
        <v>3.6087491768118825</v>
      </c>
      <c r="F324" s="3">
        <f t="shared" si="16"/>
        <v>3.6087491768118825</v>
      </c>
      <c r="G324" s="3">
        <f>IF($E324="","", DEGREES(ATAN((INDEX([1]Calc!$E:$E, MATCH("KminusZ_m", [1]Calc!$C:$C, 0)) - $E324 + $B324) / INDEX([1]Calc!$E:$E, MATCH("L_ramp_m", [1]Calc!$C:$C, 0)))))</f>
        <v>6.0000000000000009</v>
      </c>
      <c r="H324" s="2" t="str">
        <f>IF($E324="","", IF(AND($E324&gt;=INDEX([1]Calc!$E:$E, MATCH("min_fwd_draft_m", [1]Calc!$C:$C, 0)), $E324&lt;=INDEX([1]Calc!$E:$E, MATCH("max_fwd_draft_m", [1]Calc!$C:$C, 0)), $G324&lt;=INDEX([1]Calc!$E:$E, MATCH("theta_max_deg", [1]Calc!$C:$C, 0))), "OK", "CHECK"))</f>
        <v>CHECK</v>
      </c>
      <c r="I324" s="3">
        <f>IF($E324="","", INDEX([1]Calc!$E:$E, MATCH("D_vessel_m", [1]Calc!$C:$C, 0)) - $E324 + $B324)</f>
        <v>1.9112508231881176</v>
      </c>
      <c r="J324" s="3">
        <f>IF($F324="","", INDEX([1]Calc!$E:$E, MATCH("D_vessel_m", [1]Calc!$C:$C, 0)) - $F324 + $B324)</f>
        <v>1.9112508231881176</v>
      </c>
      <c r="K324" s="2" t="str">
        <f t="shared" si="17"/>
        <v>Even Keel</v>
      </c>
    </row>
    <row r="325" spans="1:11" x14ac:dyDescent="0.6">
      <c r="A325" s="2" t="str">
        <f>IF('December_Tide_2025 (2)'!A325="","",'December_Tide_2025 (2)'!A325)</f>
        <v>2025-12-14 11:00:00</v>
      </c>
      <c r="B325" s="3">
        <f>IF('December_Tide_2025 (2)'!B325="","",'December_Tide_2025 (2)'!B325)</f>
        <v>2.3199999999999998</v>
      </c>
      <c r="C325" s="3">
        <f>IF($A325="","", INDEX([1]Calc!$E:$E, MATCH("KminusZ_m", [1]Calc!$C:$C, 0)) + $B325 - INDEX([1]Calc!$E:$E, MATCH("L_ramp_m", [1]Calc!$C:$C, 0)) * TAN(RADIANS(INDEX([1]Calc!$E:$E, MATCH("theta_max_deg", [1]Calc!$C:$C, 0)))))</f>
        <v>4.0587491768118831</v>
      </c>
      <c r="D325" s="3"/>
      <c r="E325" s="3">
        <f t="shared" si="15"/>
        <v>4.0587491768118831</v>
      </c>
      <c r="F325" s="3">
        <f t="shared" si="16"/>
        <v>4.0587491768118831</v>
      </c>
      <c r="G325" s="3">
        <f>IF($E325="","", DEGREES(ATAN((INDEX([1]Calc!$E:$E, MATCH("KminusZ_m", [1]Calc!$C:$C, 0)) - $E325 + $B325) / INDEX([1]Calc!$E:$E, MATCH("L_ramp_m", [1]Calc!$C:$C, 0)))))</f>
        <v>5.9999999999999964</v>
      </c>
      <c r="H325" s="2" t="str">
        <f>IF($E325="","", IF(AND($E325&gt;=INDEX([1]Calc!$E:$E, MATCH("min_fwd_draft_m", [1]Calc!$C:$C, 0)), $E325&lt;=INDEX([1]Calc!$E:$E, MATCH("max_fwd_draft_m", [1]Calc!$C:$C, 0)), $G325&lt;=INDEX([1]Calc!$E:$E, MATCH("theta_max_deg", [1]Calc!$C:$C, 0))), "OK", "CHECK"))</f>
        <v>CHECK</v>
      </c>
      <c r="I325" s="3">
        <f>IF($E325="","", INDEX([1]Calc!$E:$E, MATCH("D_vessel_m", [1]Calc!$C:$C, 0)) - $E325 + $B325)</f>
        <v>1.9112508231881167</v>
      </c>
      <c r="J325" s="3">
        <f>IF($F325="","", INDEX([1]Calc!$E:$E, MATCH("D_vessel_m", [1]Calc!$C:$C, 0)) - $F325 + $B325)</f>
        <v>1.9112508231881167</v>
      </c>
      <c r="K325" s="2" t="str">
        <f t="shared" si="17"/>
        <v>Even Keel</v>
      </c>
    </row>
    <row r="326" spans="1:11" x14ac:dyDescent="0.6">
      <c r="A326" s="2" t="str">
        <f>IF('December_Tide_2025 (2)'!A326="","",'December_Tide_2025 (2)'!A326)</f>
        <v>2025-12-14 12:00:00</v>
      </c>
      <c r="B326" s="3">
        <f>IF('December_Tide_2025 (2)'!B326="","",'December_Tide_2025 (2)'!B326)</f>
        <v>2.63</v>
      </c>
      <c r="C326" s="3">
        <f>IF($A326="","", INDEX([1]Calc!$E:$E, MATCH("KminusZ_m", [1]Calc!$C:$C, 0)) + $B326 - INDEX([1]Calc!$E:$E, MATCH("L_ramp_m", [1]Calc!$C:$C, 0)) * TAN(RADIANS(INDEX([1]Calc!$E:$E, MATCH("theta_max_deg", [1]Calc!$C:$C, 0)))))</f>
        <v>4.3687491768118818</v>
      </c>
      <c r="D326" s="3"/>
      <c r="E326" s="3">
        <f t="shared" si="15"/>
        <v>4.3687491768118818</v>
      </c>
      <c r="F326" s="3">
        <f t="shared" si="16"/>
        <v>4.3687491768118818</v>
      </c>
      <c r="G326" s="3">
        <f>IF($E326="","", DEGREES(ATAN((INDEX([1]Calc!$E:$E, MATCH("KminusZ_m", [1]Calc!$C:$C, 0)) - $E326 + $B326) / INDEX([1]Calc!$E:$E, MATCH("L_ramp_m", [1]Calc!$C:$C, 0)))))</f>
        <v>6.0000000000000027</v>
      </c>
      <c r="H326" s="2" t="str">
        <f>IF($E326="","", IF(AND($E326&gt;=INDEX([1]Calc!$E:$E, MATCH("min_fwd_draft_m", [1]Calc!$C:$C, 0)), $E326&lt;=INDEX([1]Calc!$E:$E, MATCH("max_fwd_draft_m", [1]Calc!$C:$C, 0)), $G326&lt;=INDEX([1]Calc!$E:$E, MATCH("theta_max_deg", [1]Calc!$C:$C, 0))), "OK", "CHECK"))</f>
        <v>CHECK</v>
      </c>
      <c r="I326" s="3">
        <f>IF($E326="","", INDEX([1]Calc!$E:$E, MATCH("D_vessel_m", [1]Calc!$C:$C, 0)) - $E326 + $B326)</f>
        <v>1.911250823188118</v>
      </c>
      <c r="J326" s="3">
        <f>IF($F326="","", INDEX([1]Calc!$E:$E, MATCH("D_vessel_m", [1]Calc!$C:$C, 0)) - $F326 + $B326)</f>
        <v>1.911250823188118</v>
      </c>
      <c r="K326" s="2" t="str">
        <f t="shared" si="17"/>
        <v>Even Keel</v>
      </c>
    </row>
    <row r="327" spans="1:11" x14ac:dyDescent="0.6">
      <c r="A327" s="2" t="str">
        <f>IF('December_Tide_2025 (2)'!A327="","",'December_Tide_2025 (2)'!A327)</f>
        <v>2025-12-14 13:00:00</v>
      </c>
      <c r="B327" s="3">
        <f>IF('December_Tide_2025 (2)'!B327="","",'December_Tide_2025 (2)'!B327)</f>
        <v>2.74</v>
      </c>
      <c r="C327" s="3">
        <f>IF($A327="","", INDEX([1]Calc!$E:$E, MATCH("KminusZ_m", [1]Calc!$C:$C, 0)) + $B327 - INDEX([1]Calc!$E:$E, MATCH("L_ramp_m", [1]Calc!$C:$C, 0)) * TAN(RADIANS(INDEX([1]Calc!$E:$E, MATCH("theta_max_deg", [1]Calc!$C:$C, 0)))))</f>
        <v>4.478749176811883</v>
      </c>
      <c r="D327" s="3"/>
      <c r="E327" s="3">
        <f t="shared" si="15"/>
        <v>4.478749176811883</v>
      </c>
      <c r="F327" s="3">
        <f t="shared" si="16"/>
        <v>4.478749176811883</v>
      </c>
      <c r="G327" s="3">
        <f>IF($E327="","", DEGREES(ATAN((INDEX([1]Calc!$E:$E, MATCH("KminusZ_m", [1]Calc!$C:$C, 0)) - $E327 + $B327) / INDEX([1]Calc!$E:$E, MATCH("L_ramp_m", [1]Calc!$C:$C, 0)))))</f>
        <v>5.9999999999999982</v>
      </c>
      <c r="H327" s="2" t="str">
        <f>IF($E327="","", IF(AND($E327&gt;=INDEX([1]Calc!$E:$E, MATCH("min_fwd_draft_m", [1]Calc!$C:$C, 0)), $E327&lt;=INDEX([1]Calc!$E:$E, MATCH("max_fwd_draft_m", [1]Calc!$C:$C, 0)), $G327&lt;=INDEX([1]Calc!$E:$E, MATCH("theta_max_deg", [1]Calc!$C:$C, 0))), "OK", "CHECK"))</f>
        <v>CHECK</v>
      </c>
      <c r="I327" s="3">
        <f>IF($E327="","", INDEX([1]Calc!$E:$E, MATCH("D_vessel_m", [1]Calc!$C:$C, 0)) - $E327 + $B327)</f>
        <v>1.9112508231881171</v>
      </c>
      <c r="J327" s="3">
        <f>IF($F327="","", INDEX([1]Calc!$E:$E, MATCH("D_vessel_m", [1]Calc!$C:$C, 0)) - $F327 + $B327)</f>
        <v>1.9112508231881171</v>
      </c>
      <c r="K327" s="2" t="str">
        <f t="shared" si="17"/>
        <v>Even Keel</v>
      </c>
    </row>
    <row r="328" spans="1:11" x14ac:dyDescent="0.6">
      <c r="A328" s="2" t="str">
        <f>IF('December_Tide_2025 (2)'!A328="","",'December_Tide_2025 (2)'!A328)</f>
        <v>2025-12-14 14:00:00</v>
      </c>
      <c r="B328" s="3">
        <f>IF('December_Tide_2025 (2)'!B328="","",'December_Tide_2025 (2)'!B328)</f>
        <v>2.61</v>
      </c>
      <c r="C328" s="3">
        <f>IF($A328="","", INDEX([1]Calc!$E:$E, MATCH("KminusZ_m", [1]Calc!$C:$C, 0)) + $B328 - INDEX([1]Calc!$E:$E, MATCH("L_ramp_m", [1]Calc!$C:$C, 0)) * TAN(RADIANS(INDEX([1]Calc!$E:$E, MATCH("theta_max_deg", [1]Calc!$C:$C, 0)))))</f>
        <v>4.3487491768118822</v>
      </c>
      <c r="D328" s="3"/>
      <c r="E328" s="3">
        <f t="shared" si="15"/>
        <v>4.3487491768118822</v>
      </c>
      <c r="F328" s="3">
        <f t="shared" si="16"/>
        <v>4.3487491768118822</v>
      </c>
      <c r="G328" s="3">
        <f>IF($E328="","", DEGREES(ATAN((INDEX([1]Calc!$E:$E, MATCH("KminusZ_m", [1]Calc!$C:$C, 0)) - $E328 + $B328) / INDEX([1]Calc!$E:$E, MATCH("L_ramp_m", [1]Calc!$C:$C, 0)))))</f>
        <v>6.0000000000000009</v>
      </c>
      <c r="H328" s="2" t="str">
        <f>IF($E328="","", IF(AND($E328&gt;=INDEX([1]Calc!$E:$E, MATCH("min_fwd_draft_m", [1]Calc!$C:$C, 0)), $E328&lt;=INDEX([1]Calc!$E:$E, MATCH("max_fwd_draft_m", [1]Calc!$C:$C, 0)), $G328&lt;=INDEX([1]Calc!$E:$E, MATCH("theta_max_deg", [1]Calc!$C:$C, 0))), "OK", "CHECK"))</f>
        <v>CHECK</v>
      </c>
      <c r="I328" s="3">
        <f>IF($E328="","", INDEX([1]Calc!$E:$E, MATCH("D_vessel_m", [1]Calc!$C:$C, 0)) - $E328 + $B328)</f>
        <v>1.9112508231881176</v>
      </c>
      <c r="J328" s="3">
        <f>IF($F328="","", INDEX([1]Calc!$E:$E, MATCH("D_vessel_m", [1]Calc!$C:$C, 0)) - $F328 + $B328)</f>
        <v>1.9112508231881176</v>
      </c>
      <c r="K328" s="2" t="str">
        <f t="shared" si="17"/>
        <v>Even Keel</v>
      </c>
    </row>
    <row r="329" spans="1:11" x14ac:dyDescent="0.6">
      <c r="A329" s="2" t="str">
        <f>IF('December_Tide_2025 (2)'!A329="","",'December_Tide_2025 (2)'!A329)</f>
        <v>2025-12-14 15:00:00</v>
      </c>
      <c r="B329" s="3">
        <f>IF('December_Tide_2025 (2)'!B329="","",'December_Tide_2025 (2)'!B329)</f>
        <v>2.27</v>
      </c>
      <c r="C329" s="3">
        <f>IF($A329="","", INDEX([1]Calc!$E:$E, MATCH("KminusZ_m", [1]Calc!$C:$C, 0)) + $B329 - INDEX([1]Calc!$E:$E, MATCH("L_ramp_m", [1]Calc!$C:$C, 0)) * TAN(RADIANS(INDEX([1]Calc!$E:$E, MATCH("theta_max_deg", [1]Calc!$C:$C, 0)))))</f>
        <v>4.0087491768118824</v>
      </c>
      <c r="D329" s="3"/>
      <c r="E329" s="3">
        <f t="shared" si="15"/>
        <v>4.0087491768118824</v>
      </c>
      <c r="F329" s="3">
        <f t="shared" si="16"/>
        <v>4.0087491768118824</v>
      </c>
      <c r="G329" s="3">
        <f>IF($E329="","", DEGREES(ATAN((INDEX([1]Calc!$E:$E, MATCH("KminusZ_m", [1]Calc!$C:$C, 0)) - $E329 + $B329) / INDEX([1]Calc!$E:$E, MATCH("L_ramp_m", [1]Calc!$C:$C, 0)))))</f>
        <v>6.0000000000000009</v>
      </c>
      <c r="H329" s="2" t="str">
        <f>IF($E329="","", IF(AND($E329&gt;=INDEX([1]Calc!$E:$E, MATCH("min_fwd_draft_m", [1]Calc!$C:$C, 0)), $E329&lt;=INDEX([1]Calc!$E:$E, MATCH("max_fwd_draft_m", [1]Calc!$C:$C, 0)), $G329&lt;=INDEX([1]Calc!$E:$E, MATCH("theta_max_deg", [1]Calc!$C:$C, 0))), "OK", "CHECK"))</f>
        <v>CHECK</v>
      </c>
      <c r="I329" s="3">
        <f>IF($E329="","", INDEX([1]Calc!$E:$E, MATCH("D_vessel_m", [1]Calc!$C:$C, 0)) - $E329 + $B329)</f>
        <v>1.9112508231881176</v>
      </c>
      <c r="J329" s="3">
        <f>IF($F329="","", INDEX([1]Calc!$E:$E, MATCH("D_vessel_m", [1]Calc!$C:$C, 0)) - $F329 + $B329)</f>
        <v>1.9112508231881176</v>
      </c>
      <c r="K329" s="2" t="str">
        <f t="shared" si="17"/>
        <v>Even Keel</v>
      </c>
    </row>
    <row r="330" spans="1:11" x14ac:dyDescent="0.6">
      <c r="A330" s="2" t="str">
        <f>IF('December_Tide_2025 (2)'!A330="","",'December_Tide_2025 (2)'!A330)</f>
        <v>2025-12-14 16:00:00</v>
      </c>
      <c r="B330" s="3">
        <f>IF('December_Tide_2025 (2)'!B330="","",'December_Tide_2025 (2)'!B330)</f>
        <v>1.82</v>
      </c>
      <c r="C330" s="3">
        <f>IF($A330="","", INDEX([1]Calc!$E:$E, MATCH("KminusZ_m", [1]Calc!$C:$C, 0)) + $B330 - INDEX([1]Calc!$E:$E, MATCH("L_ramp_m", [1]Calc!$C:$C, 0)) * TAN(RADIANS(INDEX([1]Calc!$E:$E, MATCH("theta_max_deg", [1]Calc!$C:$C, 0)))))</f>
        <v>3.5587491768118826</v>
      </c>
      <c r="D330" s="3"/>
      <c r="E330" s="3">
        <f t="shared" si="15"/>
        <v>3.5587491768118826</v>
      </c>
      <c r="F330" s="3">
        <f t="shared" si="16"/>
        <v>3.5587491768118826</v>
      </c>
      <c r="G330" s="3">
        <f>IF($E330="","", DEGREES(ATAN((INDEX([1]Calc!$E:$E, MATCH("KminusZ_m", [1]Calc!$C:$C, 0)) - $E330 + $B330) / INDEX([1]Calc!$E:$E, MATCH("L_ramp_m", [1]Calc!$C:$C, 0)))))</f>
        <v>6</v>
      </c>
      <c r="H330" s="2" t="str">
        <f>IF($E330="","", IF(AND($E330&gt;=INDEX([1]Calc!$E:$E, MATCH("min_fwd_draft_m", [1]Calc!$C:$C, 0)), $E330&lt;=INDEX([1]Calc!$E:$E, MATCH("max_fwd_draft_m", [1]Calc!$C:$C, 0)), $G330&lt;=INDEX([1]Calc!$E:$E, MATCH("theta_max_deg", [1]Calc!$C:$C, 0))), "OK", "CHECK"))</f>
        <v>CHECK</v>
      </c>
      <c r="I330" s="3">
        <f>IF($E330="","", INDEX([1]Calc!$E:$E, MATCH("D_vessel_m", [1]Calc!$C:$C, 0)) - $E330 + $B330)</f>
        <v>1.9112508231881173</v>
      </c>
      <c r="J330" s="3">
        <f>IF($F330="","", INDEX([1]Calc!$E:$E, MATCH("D_vessel_m", [1]Calc!$C:$C, 0)) - $F330 + $B330)</f>
        <v>1.9112508231881173</v>
      </c>
      <c r="K330" s="2" t="str">
        <f t="shared" si="17"/>
        <v>Even Keel</v>
      </c>
    </row>
    <row r="331" spans="1:11" x14ac:dyDescent="0.6">
      <c r="A331" s="2" t="str">
        <f>IF('December_Tide_2025 (2)'!A331="","",'December_Tide_2025 (2)'!A331)</f>
        <v>2025-12-14 17:00:00</v>
      </c>
      <c r="B331" s="3">
        <f>IF('December_Tide_2025 (2)'!B331="","",'December_Tide_2025 (2)'!B331)</f>
        <v>1.36</v>
      </c>
      <c r="C331" s="3">
        <f>IF($A331="","", INDEX([1]Calc!$E:$E, MATCH("KminusZ_m", [1]Calc!$C:$C, 0)) + $B331 - INDEX([1]Calc!$E:$E, MATCH("L_ramp_m", [1]Calc!$C:$C, 0)) * TAN(RADIANS(INDEX([1]Calc!$E:$E, MATCH("theta_max_deg", [1]Calc!$C:$C, 0)))))</f>
        <v>3.0987491768118827</v>
      </c>
      <c r="D331" s="3"/>
      <c r="E331" s="3">
        <f t="shared" si="15"/>
        <v>3.0987491768118827</v>
      </c>
      <c r="F331" s="3">
        <f t="shared" si="16"/>
        <v>3.0987491768118827</v>
      </c>
      <c r="G331" s="3">
        <f>IF($E331="","", DEGREES(ATAN((INDEX([1]Calc!$E:$E, MATCH("KminusZ_m", [1]Calc!$C:$C, 0)) - $E331 + $B331) / INDEX([1]Calc!$E:$E, MATCH("L_ramp_m", [1]Calc!$C:$C, 0)))))</f>
        <v>6</v>
      </c>
      <c r="H331" s="2" t="str">
        <f>IF($E331="","", IF(AND($E331&gt;=INDEX([1]Calc!$E:$E, MATCH("min_fwd_draft_m", [1]Calc!$C:$C, 0)), $E331&lt;=INDEX([1]Calc!$E:$E, MATCH("max_fwd_draft_m", [1]Calc!$C:$C, 0)), $G331&lt;=INDEX([1]Calc!$E:$E, MATCH("theta_max_deg", [1]Calc!$C:$C, 0))), "OK", "CHECK"))</f>
        <v>OK</v>
      </c>
      <c r="I331" s="3">
        <f>IF($E331="","", INDEX([1]Calc!$E:$E, MATCH("D_vessel_m", [1]Calc!$C:$C, 0)) - $E331 + $B331)</f>
        <v>1.9112508231881173</v>
      </c>
      <c r="J331" s="3">
        <f>IF($F331="","", INDEX([1]Calc!$E:$E, MATCH("D_vessel_m", [1]Calc!$C:$C, 0)) - $F331 + $B331)</f>
        <v>1.9112508231881173</v>
      </c>
      <c r="K331" s="2" t="str">
        <f t="shared" si="17"/>
        <v>Even Keel</v>
      </c>
    </row>
    <row r="332" spans="1:11" x14ac:dyDescent="0.6">
      <c r="A332" s="2" t="str">
        <f>IF('December_Tide_2025 (2)'!A332="","",'December_Tide_2025 (2)'!A332)</f>
        <v>2025-12-14 18:00:00</v>
      </c>
      <c r="B332" s="3">
        <f>IF('December_Tide_2025 (2)'!B332="","",'December_Tide_2025 (2)'!B332)</f>
        <v>1.02</v>
      </c>
      <c r="C332" s="3">
        <f>IF($A332="","", INDEX([1]Calc!$E:$E, MATCH("KminusZ_m", [1]Calc!$C:$C, 0)) + $B332 - INDEX([1]Calc!$E:$E, MATCH("L_ramp_m", [1]Calc!$C:$C, 0)) * TAN(RADIANS(INDEX([1]Calc!$E:$E, MATCH("theta_max_deg", [1]Calc!$C:$C, 0)))))</f>
        <v>2.7587491768118819</v>
      </c>
      <c r="D332" s="3"/>
      <c r="E332" s="3">
        <f t="shared" si="15"/>
        <v>2.7587491768118819</v>
      </c>
      <c r="F332" s="3">
        <f t="shared" si="16"/>
        <v>2.7587491768118819</v>
      </c>
      <c r="G332" s="3">
        <f>IF($E332="","", DEGREES(ATAN((INDEX([1]Calc!$E:$E, MATCH("KminusZ_m", [1]Calc!$C:$C, 0)) - $E332 + $B332) / INDEX([1]Calc!$E:$E, MATCH("L_ramp_m", [1]Calc!$C:$C, 0)))))</f>
        <v>6.0000000000000027</v>
      </c>
      <c r="H332" s="2" t="str">
        <f>IF($E332="","", IF(AND($E332&gt;=INDEX([1]Calc!$E:$E, MATCH("min_fwd_draft_m", [1]Calc!$C:$C, 0)), $E332&lt;=INDEX([1]Calc!$E:$E, MATCH("max_fwd_draft_m", [1]Calc!$C:$C, 0)), $G332&lt;=INDEX([1]Calc!$E:$E, MATCH("theta_max_deg", [1]Calc!$C:$C, 0))), "OK", "CHECK"))</f>
        <v>OK</v>
      </c>
      <c r="I332" s="3">
        <f>IF($E332="","", INDEX([1]Calc!$E:$E, MATCH("D_vessel_m", [1]Calc!$C:$C, 0)) - $E332 + $B332)</f>
        <v>1.911250823188118</v>
      </c>
      <c r="J332" s="3">
        <f>IF($F332="","", INDEX([1]Calc!$E:$E, MATCH("D_vessel_m", [1]Calc!$C:$C, 0)) - $F332 + $B332)</f>
        <v>1.911250823188118</v>
      </c>
      <c r="K332" s="2" t="str">
        <f t="shared" si="17"/>
        <v>Even Keel</v>
      </c>
    </row>
    <row r="333" spans="1:11" x14ac:dyDescent="0.6">
      <c r="A333" s="2" t="str">
        <f>IF('December_Tide_2025 (2)'!A333="","",'December_Tide_2025 (2)'!A333)</f>
        <v>2025-12-14 19:00:00</v>
      </c>
      <c r="B333" s="3">
        <f>IF('December_Tide_2025 (2)'!B333="","",'December_Tide_2025 (2)'!B333)</f>
        <v>0.87</v>
      </c>
      <c r="C333" s="3">
        <f>IF($A333="","", INDEX([1]Calc!$E:$E, MATCH("KminusZ_m", [1]Calc!$C:$C, 0)) + $B333 - INDEX([1]Calc!$E:$E, MATCH("L_ramp_m", [1]Calc!$C:$C, 0)) * TAN(RADIANS(INDEX([1]Calc!$E:$E, MATCH("theta_max_deg", [1]Calc!$C:$C, 0)))))</f>
        <v>2.6087491768118825</v>
      </c>
      <c r="D333" s="3"/>
      <c r="E333" s="3">
        <f t="shared" si="15"/>
        <v>2.6087491768118825</v>
      </c>
      <c r="F333" s="3">
        <f t="shared" si="16"/>
        <v>2.6087491768118825</v>
      </c>
      <c r="G333" s="3">
        <f>IF($E333="","", DEGREES(ATAN((INDEX([1]Calc!$E:$E, MATCH("KminusZ_m", [1]Calc!$C:$C, 0)) - $E333 + $B333) / INDEX([1]Calc!$E:$E, MATCH("L_ramp_m", [1]Calc!$C:$C, 0)))))</f>
        <v>6.0000000000000009</v>
      </c>
      <c r="H333" s="2" t="str">
        <f>IF($E333="","", IF(AND($E333&gt;=INDEX([1]Calc!$E:$E, MATCH("min_fwd_draft_m", [1]Calc!$C:$C, 0)), $E333&lt;=INDEX([1]Calc!$E:$E, MATCH("max_fwd_draft_m", [1]Calc!$C:$C, 0)), $G333&lt;=INDEX([1]Calc!$E:$E, MATCH("theta_max_deg", [1]Calc!$C:$C, 0))), "OK", "CHECK"))</f>
        <v>OK</v>
      </c>
      <c r="I333" s="3">
        <f>IF($E333="","", INDEX([1]Calc!$E:$E, MATCH("D_vessel_m", [1]Calc!$C:$C, 0)) - $E333 + $B333)</f>
        <v>1.9112508231881176</v>
      </c>
      <c r="J333" s="3">
        <f>IF($F333="","", INDEX([1]Calc!$E:$E, MATCH("D_vessel_m", [1]Calc!$C:$C, 0)) - $F333 + $B333)</f>
        <v>1.9112508231881176</v>
      </c>
      <c r="K333" s="2" t="str">
        <f t="shared" si="17"/>
        <v>Even Keel</v>
      </c>
    </row>
    <row r="334" spans="1:11" x14ac:dyDescent="0.6">
      <c r="A334" s="2" t="str">
        <f>IF('December_Tide_2025 (2)'!A334="","",'December_Tide_2025 (2)'!A334)</f>
        <v>2025-12-14 20:00:00</v>
      </c>
      <c r="B334" s="3">
        <f>IF('December_Tide_2025 (2)'!B334="","",'December_Tide_2025 (2)'!B334)</f>
        <v>0.95</v>
      </c>
      <c r="C334" s="3">
        <f>IF($A334="","", INDEX([1]Calc!$E:$E, MATCH("KminusZ_m", [1]Calc!$C:$C, 0)) + $B334 - INDEX([1]Calc!$E:$E, MATCH("L_ramp_m", [1]Calc!$C:$C, 0)) * TAN(RADIANS(INDEX([1]Calc!$E:$E, MATCH("theta_max_deg", [1]Calc!$C:$C, 0)))))</f>
        <v>2.6887491768118825</v>
      </c>
      <c r="D334" s="3"/>
      <c r="E334" s="3">
        <f t="shared" si="15"/>
        <v>2.6887491768118825</v>
      </c>
      <c r="F334" s="3">
        <f t="shared" si="16"/>
        <v>2.6887491768118825</v>
      </c>
      <c r="G334" s="3">
        <f>IF($E334="","", DEGREES(ATAN((INDEX([1]Calc!$E:$E, MATCH("KminusZ_m", [1]Calc!$C:$C, 0)) - $E334 + $B334) / INDEX([1]Calc!$E:$E, MATCH("L_ramp_m", [1]Calc!$C:$C, 0)))))</f>
        <v>6</v>
      </c>
      <c r="H334" s="2" t="str">
        <f>IF($E334="","", IF(AND($E334&gt;=INDEX([1]Calc!$E:$E, MATCH("min_fwd_draft_m", [1]Calc!$C:$C, 0)), $E334&lt;=INDEX([1]Calc!$E:$E, MATCH("max_fwd_draft_m", [1]Calc!$C:$C, 0)), $G334&lt;=INDEX([1]Calc!$E:$E, MATCH("theta_max_deg", [1]Calc!$C:$C, 0))), "OK", "CHECK"))</f>
        <v>OK</v>
      </c>
      <c r="I334" s="3">
        <f>IF($E334="","", INDEX([1]Calc!$E:$E, MATCH("D_vessel_m", [1]Calc!$C:$C, 0)) - $E334 + $B334)</f>
        <v>1.9112508231881173</v>
      </c>
      <c r="J334" s="3">
        <f>IF($F334="","", INDEX([1]Calc!$E:$E, MATCH("D_vessel_m", [1]Calc!$C:$C, 0)) - $F334 + $B334)</f>
        <v>1.9112508231881173</v>
      </c>
      <c r="K334" s="2" t="str">
        <f t="shared" si="17"/>
        <v>Even Keel</v>
      </c>
    </row>
    <row r="335" spans="1:11" x14ac:dyDescent="0.6">
      <c r="A335" s="2" t="str">
        <f>IF('December_Tide_2025 (2)'!A335="","",'December_Tide_2025 (2)'!A335)</f>
        <v>2025-12-14 21:00:00</v>
      </c>
      <c r="B335" s="3">
        <f>IF('December_Tide_2025 (2)'!B335="","",'December_Tide_2025 (2)'!B335)</f>
        <v>1.25</v>
      </c>
      <c r="C335" s="3">
        <f>IF($A335="","", INDEX([1]Calc!$E:$E, MATCH("KminusZ_m", [1]Calc!$C:$C, 0)) + $B335 - INDEX([1]Calc!$E:$E, MATCH("L_ramp_m", [1]Calc!$C:$C, 0)) * TAN(RADIANS(INDEX([1]Calc!$E:$E, MATCH("theta_max_deg", [1]Calc!$C:$C, 0)))))</f>
        <v>2.9887491768118823</v>
      </c>
      <c r="D335" s="3"/>
      <c r="E335" s="3">
        <f t="shared" si="15"/>
        <v>2.9887491768118823</v>
      </c>
      <c r="F335" s="3">
        <f t="shared" si="16"/>
        <v>2.9887491768118823</v>
      </c>
      <c r="G335" s="3">
        <f>IF($E335="","", DEGREES(ATAN((INDEX([1]Calc!$E:$E, MATCH("KminusZ_m", [1]Calc!$C:$C, 0)) - $E335 + $B335) / INDEX([1]Calc!$E:$E, MATCH("L_ramp_m", [1]Calc!$C:$C, 0)))))</f>
        <v>6.0000000000000009</v>
      </c>
      <c r="H335" s="2" t="str">
        <f>IF($E335="","", IF(AND($E335&gt;=INDEX([1]Calc!$E:$E, MATCH("min_fwd_draft_m", [1]Calc!$C:$C, 0)), $E335&lt;=INDEX([1]Calc!$E:$E, MATCH("max_fwd_draft_m", [1]Calc!$C:$C, 0)), $G335&lt;=INDEX([1]Calc!$E:$E, MATCH("theta_max_deg", [1]Calc!$C:$C, 0))), "OK", "CHECK"))</f>
        <v>OK</v>
      </c>
      <c r="I335" s="3">
        <f>IF($E335="","", INDEX([1]Calc!$E:$E, MATCH("D_vessel_m", [1]Calc!$C:$C, 0)) - $E335 + $B335)</f>
        <v>1.9112508231881176</v>
      </c>
      <c r="J335" s="3">
        <f>IF($F335="","", INDEX([1]Calc!$E:$E, MATCH("D_vessel_m", [1]Calc!$C:$C, 0)) - $F335 + $B335)</f>
        <v>1.9112508231881176</v>
      </c>
      <c r="K335" s="2" t="str">
        <f t="shared" si="17"/>
        <v>Even Keel</v>
      </c>
    </row>
    <row r="336" spans="1:11" x14ac:dyDescent="0.6">
      <c r="A336" s="2" t="str">
        <f>IF('December_Tide_2025 (2)'!A336="","",'December_Tide_2025 (2)'!A336)</f>
        <v>2025-12-14 22:00:00</v>
      </c>
      <c r="B336" s="3">
        <f>IF('December_Tide_2025 (2)'!B336="","",'December_Tide_2025 (2)'!B336)</f>
        <v>1.68</v>
      </c>
      <c r="C336" s="3">
        <f>IF($A336="","", INDEX([1]Calc!$E:$E, MATCH("KminusZ_m", [1]Calc!$C:$C, 0)) + $B336 - INDEX([1]Calc!$E:$E, MATCH("L_ramp_m", [1]Calc!$C:$C, 0)) * TAN(RADIANS(INDEX([1]Calc!$E:$E, MATCH("theta_max_deg", [1]Calc!$C:$C, 0)))))</f>
        <v>3.4187491768118821</v>
      </c>
      <c r="D336" s="3"/>
      <c r="E336" s="3">
        <f t="shared" si="15"/>
        <v>3.4187491768118821</v>
      </c>
      <c r="F336" s="3">
        <f t="shared" si="16"/>
        <v>3.4187491768118821</v>
      </c>
      <c r="G336" s="3">
        <f>IF($E336="","", DEGREES(ATAN((INDEX([1]Calc!$E:$E, MATCH("KminusZ_m", [1]Calc!$C:$C, 0)) - $E336 + $B336) / INDEX([1]Calc!$E:$E, MATCH("L_ramp_m", [1]Calc!$C:$C, 0)))))</f>
        <v>6.0000000000000009</v>
      </c>
      <c r="H336" s="2" t="str">
        <f>IF($E336="","", IF(AND($E336&gt;=INDEX([1]Calc!$E:$E, MATCH("min_fwd_draft_m", [1]Calc!$C:$C, 0)), $E336&lt;=INDEX([1]Calc!$E:$E, MATCH("max_fwd_draft_m", [1]Calc!$C:$C, 0)), $G336&lt;=INDEX([1]Calc!$E:$E, MATCH("theta_max_deg", [1]Calc!$C:$C, 0))), "OK", "CHECK"))</f>
        <v>OK</v>
      </c>
      <c r="I336" s="3">
        <f>IF($E336="","", INDEX([1]Calc!$E:$E, MATCH("D_vessel_m", [1]Calc!$C:$C, 0)) - $E336 + $B336)</f>
        <v>1.9112508231881178</v>
      </c>
      <c r="J336" s="3">
        <f>IF($F336="","", INDEX([1]Calc!$E:$E, MATCH("D_vessel_m", [1]Calc!$C:$C, 0)) - $F336 + $B336)</f>
        <v>1.9112508231881178</v>
      </c>
      <c r="K336" s="2" t="str">
        <f t="shared" si="17"/>
        <v>Even Keel</v>
      </c>
    </row>
    <row r="337" spans="1:11" x14ac:dyDescent="0.6">
      <c r="A337" s="2" t="str">
        <f>IF('December_Tide_2025 (2)'!A337="","",'December_Tide_2025 (2)'!A337)</f>
        <v>2025-12-14 23:00:00</v>
      </c>
      <c r="B337" s="3">
        <f>IF('December_Tide_2025 (2)'!B337="","",'December_Tide_2025 (2)'!B337)</f>
        <v>2.15</v>
      </c>
      <c r="C337" s="3">
        <f>IF($A337="","", INDEX([1]Calc!$E:$E, MATCH("KminusZ_m", [1]Calc!$C:$C, 0)) + $B337 - INDEX([1]Calc!$E:$E, MATCH("L_ramp_m", [1]Calc!$C:$C, 0)) * TAN(RADIANS(INDEX([1]Calc!$E:$E, MATCH("theta_max_deg", [1]Calc!$C:$C, 0)))))</f>
        <v>3.8887491768118827</v>
      </c>
      <c r="D337" s="3"/>
      <c r="E337" s="3">
        <f t="shared" si="15"/>
        <v>3.8887491768118827</v>
      </c>
      <c r="F337" s="3">
        <f t="shared" si="16"/>
        <v>3.8887491768118827</v>
      </c>
      <c r="G337" s="3">
        <f>IF($E337="","", DEGREES(ATAN((INDEX([1]Calc!$E:$E, MATCH("KminusZ_m", [1]Calc!$C:$C, 0)) - $E337 + $B337) / INDEX([1]Calc!$E:$E, MATCH("L_ramp_m", [1]Calc!$C:$C, 0)))))</f>
        <v>5.9999999999999982</v>
      </c>
      <c r="H337" s="2" t="str">
        <f>IF($E337="","", IF(AND($E337&gt;=INDEX([1]Calc!$E:$E, MATCH("min_fwd_draft_m", [1]Calc!$C:$C, 0)), $E337&lt;=INDEX([1]Calc!$E:$E, MATCH("max_fwd_draft_m", [1]Calc!$C:$C, 0)), $G337&lt;=INDEX([1]Calc!$E:$E, MATCH("theta_max_deg", [1]Calc!$C:$C, 0))), "OK", "CHECK"))</f>
        <v>CHECK</v>
      </c>
      <c r="I337" s="3">
        <f>IF($E337="","", INDEX([1]Calc!$E:$E, MATCH("D_vessel_m", [1]Calc!$C:$C, 0)) - $E337 + $B337)</f>
        <v>1.9112508231881171</v>
      </c>
      <c r="J337" s="3">
        <f>IF($F337="","", INDEX([1]Calc!$E:$E, MATCH("D_vessel_m", [1]Calc!$C:$C, 0)) - $F337 + $B337)</f>
        <v>1.9112508231881171</v>
      </c>
      <c r="K337" s="2" t="str">
        <f t="shared" si="17"/>
        <v>Even Keel</v>
      </c>
    </row>
    <row r="338" spans="1:11" x14ac:dyDescent="0.6">
      <c r="A338" s="2" t="str">
        <f>IF('December_Tide_2025 (2)'!A338="","",'December_Tide_2025 (2)'!A338)</f>
        <v>2025-12-15 00:00:00</v>
      </c>
      <c r="B338" s="3">
        <f>IF('December_Tide_2025 (2)'!B338="","",'December_Tide_2025 (2)'!B338)</f>
        <v>2.5299999999999998</v>
      </c>
      <c r="C338" s="3">
        <f>IF($A338="","", INDEX([1]Calc!$E:$E, MATCH("KminusZ_m", [1]Calc!$C:$C, 0)) + $B338 - INDEX([1]Calc!$E:$E, MATCH("L_ramp_m", [1]Calc!$C:$C, 0)) * TAN(RADIANS(INDEX([1]Calc!$E:$E, MATCH("theta_max_deg", [1]Calc!$C:$C, 0)))))</f>
        <v>4.2687491768118822</v>
      </c>
      <c r="D338" s="3"/>
      <c r="E338" s="3">
        <f t="shared" si="15"/>
        <v>4.2687491768118822</v>
      </c>
      <c r="F338" s="3">
        <f t="shared" si="16"/>
        <v>4.2687491768118822</v>
      </c>
      <c r="G338" s="3">
        <f>IF($E338="","", DEGREES(ATAN((INDEX([1]Calc!$E:$E, MATCH("KminusZ_m", [1]Calc!$C:$C, 0)) - $E338 + $B338) / INDEX([1]Calc!$E:$E, MATCH("L_ramp_m", [1]Calc!$C:$C, 0)))))</f>
        <v>6.0000000000000009</v>
      </c>
      <c r="H338" s="2" t="str">
        <f>IF($E338="","", IF(AND($E338&gt;=INDEX([1]Calc!$E:$E, MATCH("min_fwd_draft_m", [1]Calc!$C:$C, 0)), $E338&lt;=INDEX([1]Calc!$E:$E, MATCH("max_fwd_draft_m", [1]Calc!$C:$C, 0)), $G338&lt;=INDEX([1]Calc!$E:$E, MATCH("theta_max_deg", [1]Calc!$C:$C, 0))), "OK", "CHECK"))</f>
        <v>CHECK</v>
      </c>
      <c r="I338" s="3">
        <f>IF($E338="","", INDEX([1]Calc!$E:$E, MATCH("D_vessel_m", [1]Calc!$C:$C, 0)) - $E338 + $B338)</f>
        <v>1.9112508231881176</v>
      </c>
      <c r="J338" s="3">
        <f>IF($F338="","", INDEX([1]Calc!$E:$E, MATCH("D_vessel_m", [1]Calc!$C:$C, 0)) - $F338 + $B338)</f>
        <v>1.9112508231881176</v>
      </c>
      <c r="K338" s="2" t="str">
        <f t="shared" si="17"/>
        <v>Even Keel</v>
      </c>
    </row>
    <row r="339" spans="1:11" x14ac:dyDescent="0.6">
      <c r="A339" s="2" t="str">
        <f>IF('December_Tide_2025 (2)'!A339="","",'December_Tide_2025 (2)'!A339)</f>
        <v>2025-12-15 01:00:00</v>
      </c>
      <c r="B339" s="3">
        <f>IF('December_Tide_2025 (2)'!B339="","",'December_Tide_2025 (2)'!B339)</f>
        <v>2.72</v>
      </c>
      <c r="C339" s="3">
        <f>IF($A339="","", INDEX([1]Calc!$E:$E, MATCH("KminusZ_m", [1]Calc!$C:$C, 0)) + $B339 - INDEX([1]Calc!$E:$E, MATCH("L_ramp_m", [1]Calc!$C:$C, 0)) * TAN(RADIANS(INDEX([1]Calc!$E:$E, MATCH("theta_max_deg", [1]Calc!$C:$C, 0)))))</f>
        <v>4.4587491768118834</v>
      </c>
      <c r="D339" s="3"/>
      <c r="E339" s="3">
        <f t="shared" si="15"/>
        <v>4.4587491768118834</v>
      </c>
      <c r="F339" s="3">
        <f t="shared" si="16"/>
        <v>4.4587491768118834</v>
      </c>
      <c r="G339" s="3">
        <f>IF($E339="","", DEGREES(ATAN((INDEX([1]Calc!$E:$E, MATCH("KminusZ_m", [1]Calc!$C:$C, 0)) - $E339 + $B339) / INDEX([1]Calc!$E:$E, MATCH("L_ramp_m", [1]Calc!$C:$C, 0)))))</f>
        <v>5.9999999999999964</v>
      </c>
      <c r="H339" s="2" t="str">
        <f>IF($E339="","", IF(AND($E339&gt;=INDEX([1]Calc!$E:$E, MATCH("min_fwd_draft_m", [1]Calc!$C:$C, 0)), $E339&lt;=INDEX([1]Calc!$E:$E, MATCH("max_fwd_draft_m", [1]Calc!$C:$C, 0)), $G339&lt;=INDEX([1]Calc!$E:$E, MATCH("theta_max_deg", [1]Calc!$C:$C, 0))), "OK", "CHECK"))</f>
        <v>CHECK</v>
      </c>
      <c r="I339" s="3">
        <f>IF($E339="","", INDEX([1]Calc!$E:$E, MATCH("D_vessel_m", [1]Calc!$C:$C, 0)) - $E339 + $B339)</f>
        <v>1.9112508231881167</v>
      </c>
      <c r="J339" s="3">
        <f>IF($F339="","", INDEX([1]Calc!$E:$E, MATCH("D_vessel_m", [1]Calc!$C:$C, 0)) - $F339 + $B339)</f>
        <v>1.9112508231881167</v>
      </c>
      <c r="K339" s="2" t="str">
        <f t="shared" si="17"/>
        <v>Even Keel</v>
      </c>
    </row>
    <row r="340" spans="1:11" x14ac:dyDescent="0.6">
      <c r="A340" s="2" t="str">
        <f>IF('December_Tide_2025 (2)'!A340="","",'December_Tide_2025 (2)'!A340)</f>
        <v>2025-12-15 02:00:00</v>
      </c>
      <c r="B340" s="3">
        <f>IF('December_Tide_2025 (2)'!B340="","",'December_Tide_2025 (2)'!B340)</f>
        <v>2.69</v>
      </c>
      <c r="C340" s="3">
        <f>IF($A340="","", INDEX([1]Calc!$E:$E, MATCH("KminusZ_m", [1]Calc!$C:$C, 0)) + $B340 - INDEX([1]Calc!$E:$E, MATCH("L_ramp_m", [1]Calc!$C:$C, 0)) * TAN(RADIANS(INDEX([1]Calc!$E:$E, MATCH("theta_max_deg", [1]Calc!$C:$C, 0)))))</f>
        <v>4.4287491768118823</v>
      </c>
      <c r="D340" s="3"/>
      <c r="E340" s="3">
        <f t="shared" si="15"/>
        <v>4.4287491768118823</v>
      </c>
      <c r="F340" s="3">
        <f t="shared" si="16"/>
        <v>4.4287491768118823</v>
      </c>
      <c r="G340" s="3">
        <f>IF($E340="","", DEGREES(ATAN((INDEX([1]Calc!$E:$E, MATCH("KminusZ_m", [1]Calc!$C:$C, 0)) - $E340 + $B340) / INDEX([1]Calc!$E:$E, MATCH("L_ramp_m", [1]Calc!$C:$C, 0)))))</f>
        <v>6.0000000000000009</v>
      </c>
      <c r="H340" s="2" t="str">
        <f>IF($E340="","", IF(AND($E340&gt;=INDEX([1]Calc!$E:$E, MATCH("min_fwd_draft_m", [1]Calc!$C:$C, 0)), $E340&lt;=INDEX([1]Calc!$E:$E, MATCH("max_fwd_draft_m", [1]Calc!$C:$C, 0)), $G340&lt;=INDEX([1]Calc!$E:$E, MATCH("theta_max_deg", [1]Calc!$C:$C, 0))), "OK", "CHECK"))</f>
        <v>CHECK</v>
      </c>
      <c r="I340" s="3">
        <f>IF($E340="","", INDEX([1]Calc!$E:$E, MATCH("D_vessel_m", [1]Calc!$C:$C, 0)) - $E340 + $B340)</f>
        <v>1.9112508231881176</v>
      </c>
      <c r="J340" s="3">
        <f>IF($F340="","", INDEX([1]Calc!$E:$E, MATCH("D_vessel_m", [1]Calc!$C:$C, 0)) - $F340 + $B340)</f>
        <v>1.9112508231881176</v>
      </c>
      <c r="K340" s="2" t="str">
        <f t="shared" si="17"/>
        <v>Even Keel</v>
      </c>
    </row>
    <row r="341" spans="1:11" x14ac:dyDescent="0.6">
      <c r="A341" s="2" t="str">
        <f>IF('December_Tide_2025 (2)'!A341="","",'December_Tide_2025 (2)'!A341)</f>
        <v>2025-12-15 03:00:00</v>
      </c>
      <c r="B341" s="3">
        <f>IF('December_Tide_2025 (2)'!B341="","",'December_Tide_2025 (2)'!B341)</f>
        <v>2.4300000000000002</v>
      </c>
      <c r="C341" s="3">
        <f>IF($A341="","", INDEX([1]Calc!$E:$E, MATCH("KminusZ_m", [1]Calc!$C:$C, 0)) + $B341 - INDEX([1]Calc!$E:$E, MATCH("L_ramp_m", [1]Calc!$C:$C, 0)) * TAN(RADIANS(INDEX([1]Calc!$E:$E, MATCH("theta_max_deg", [1]Calc!$C:$C, 0)))))</f>
        <v>4.1687491768118825</v>
      </c>
      <c r="D341" s="3"/>
      <c r="E341" s="3">
        <f t="shared" si="15"/>
        <v>4.1687491768118825</v>
      </c>
      <c r="F341" s="3">
        <f t="shared" si="16"/>
        <v>4.1687491768118825</v>
      </c>
      <c r="G341" s="3">
        <f>IF($E341="","", DEGREES(ATAN((INDEX([1]Calc!$E:$E, MATCH("KminusZ_m", [1]Calc!$C:$C, 0)) - $E341 + $B341) / INDEX([1]Calc!$E:$E, MATCH("L_ramp_m", [1]Calc!$C:$C, 0)))))</f>
        <v>6.0000000000000009</v>
      </c>
      <c r="H341" s="2" t="str">
        <f>IF($E341="","", IF(AND($E341&gt;=INDEX([1]Calc!$E:$E, MATCH("min_fwd_draft_m", [1]Calc!$C:$C, 0)), $E341&lt;=INDEX([1]Calc!$E:$E, MATCH("max_fwd_draft_m", [1]Calc!$C:$C, 0)), $G341&lt;=INDEX([1]Calc!$E:$E, MATCH("theta_max_deg", [1]Calc!$C:$C, 0))), "OK", "CHECK"))</f>
        <v>CHECK</v>
      </c>
      <c r="I341" s="3">
        <f>IF($E341="","", INDEX([1]Calc!$E:$E, MATCH("D_vessel_m", [1]Calc!$C:$C, 0)) - $E341 + $B341)</f>
        <v>1.9112508231881176</v>
      </c>
      <c r="J341" s="3">
        <f>IF($F341="","", INDEX([1]Calc!$E:$E, MATCH("D_vessel_m", [1]Calc!$C:$C, 0)) - $F341 + $B341)</f>
        <v>1.9112508231881176</v>
      </c>
      <c r="K341" s="2" t="str">
        <f t="shared" si="17"/>
        <v>Even Keel</v>
      </c>
    </row>
    <row r="342" spans="1:11" x14ac:dyDescent="0.6">
      <c r="A342" s="2" t="str">
        <f>IF('December_Tide_2025 (2)'!A342="","",'December_Tide_2025 (2)'!A342)</f>
        <v>2025-12-15 04:00:00</v>
      </c>
      <c r="B342" s="3">
        <f>IF('December_Tide_2025 (2)'!B342="","",'December_Tide_2025 (2)'!B342)</f>
        <v>2.0099999999999998</v>
      </c>
      <c r="C342" s="3">
        <f>IF($A342="","", INDEX([1]Calc!$E:$E, MATCH("KminusZ_m", [1]Calc!$C:$C, 0)) + $B342 - INDEX([1]Calc!$E:$E, MATCH("L_ramp_m", [1]Calc!$C:$C, 0)) * TAN(RADIANS(INDEX([1]Calc!$E:$E, MATCH("theta_max_deg", [1]Calc!$C:$C, 0)))))</f>
        <v>3.7487491768118821</v>
      </c>
      <c r="D342" s="3"/>
      <c r="E342" s="3">
        <f t="shared" si="15"/>
        <v>3.7487491768118821</v>
      </c>
      <c r="F342" s="3">
        <f t="shared" si="16"/>
        <v>3.7487491768118821</v>
      </c>
      <c r="G342" s="3">
        <f>IF($E342="","", DEGREES(ATAN((INDEX([1]Calc!$E:$E, MATCH("KminusZ_m", [1]Calc!$C:$C, 0)) - $E342 + $B342) / INDEX([1]Calc!$E:$E, MATCH("L_ramp_m", [1]Calc!$C:$C, 0)))))</f>
        <v>6.0000000000000009</v>
      </c>
      <c r="H342" s="2" t="str">
        <f>IF($E342="","", IF(AND($E342&gt;=INDEX([1]Calc!$E:$E, MATCH("min_fwd_draft_m", [1]Calc!$C:$C, 0)), $E342&lt;=INDEX([1]Calc!$E:$E, MATCH("max_fwd_draft_m", [1]Calc!$C:$C, 0)), $G342&lt;=INDEX([1]Calc!$E:$E, MATCH("theta_max_deg", [1]Calc!$C:$C, 0))), "OK", "CHECK"))</f>
        <v>CHECK</v>
      </c>
      <c r="I342" s="3">
        <f>IF($E342="","", INDEX([1]Calc!$E:$E, MATCH("D_vessel_m", [1]Calc!$C:$C, 0)) - $E342 + $B342)</f>
        <v>1.9112508231881176</v>
      </c>
      <c r="J342" s="3">
        <f>IF($F342="","", INDEX([1]Calc!$E:$E, MATCH("D_vessel_m", [1]Calc!$C:$C, 0)) - $F342 + $B342)</f>
        <v>1.9112508231881176</v>
      </c>
      <c r="K342" s="2" t="str">
        <f t="shared" si="17"/>
        <v>Even Keel</v>
      </c>
    </row>
    <row r="343" spans="1:11" x14ac:dyDescent="0.6">
      <c r="A343" s="2" t="str">
        <f>IF('December_Tide_2025 (2)'!A343="","",'December_Tide_2025 (2)'!A343)</f>
        <v>2025-12-15 05:00:00</v>
      </c>
      <c r="B343" s="3">
        <f>IF('December_Tide_2025 (2)'!B343="","",'December_Tide_2025 (2)'!B343)</f>
        <v>1.54</v>
      </c>
      <c r="C343" s="3">
        <f>IF($A343="","", INDEX([1]Calc!$E:$E, MATCH("KminusZ_m", [1]Calc!$C:$C, 0)) + $B343 - INDEX([1]Calc!$E:$E, MATCH("L_ramp_m", [1]Calc!$C:$C, 0)) * TAN(RADIANS(INDEX([1]Calc!$E:$E, MATCH("theta_max_deg", [1]Calc!$C:$C, 0)))))</f>
        <v>3.2787491768118824</v>
      </c>
      <c r="D343" s="3"/>
      <c r="E343" s="3">
        <f t="shared" si="15"/>
        <v>3.2787491768118824</v>
      </c>
      <c r="F343" s="3">
        <f t="shared" si="16"/>
        <v>3.2787491768118824</v>
      </c>
      <c r="G343" s="3">
        <f>IF($E343="","", DEGREES(ATAN((INDEX([1]Calc!$E:$E, MATCH("KminusZ_m", [1]Calc!$C:$C, 0)) - $E343 + $B343) / INDEX([1]Calc!$E:$E, MATCH("L_ramp_m", [1]Calc!$C:$C, 0)))))</f>
        <v>6.0000000000000009</v>
      </c>
      <c r="H343" s="2" t="str">
        <f>IF($E343="","", IF(AND($E343&gt;=INDEX([1]Calc!$E:$E, MATCH("min_fwd_draft_m", [1]Calc!$C:$C, 0)), $E343&lt;=INDEX([1]Calc!$E:$E, MATCH("max_fwd_draft_m", [1]Calc!$C:$C, 0)), $G343&lt;=INDEX([1]Calc!$E:$E, MATCH("theta_max_deg", [1]Calc!$C:$C, 0))), "OK", "CHECK"))</f>
        <v>OK</v>
      </c>
      <c r="I343" s="3">
        <f>IF($E343="","", INDEX([1]Calc!$E:$E, MATCH("D_vessel_m", [1]Calc!$C:$C, 0)) - $E343 + $B343)</f>
        <v>1.9112508231881176</v>
      </c>
      <c r="J343" s="3">
        <f>IF($F343="","", INDEX([1]Calc!$E:$E, MATCH("D_vessel_m", [1]Calc!$C:$C, 0)) - $F343 + $B343)</f>
        <v>1.9112508231881176</v>
      </c>
      <c r="K343" s="2" t="str">
        <f t="shared" si="17"/>
        <v>Even Keel</v>
      </c>
    </row>
    <row r="344" spans="1:11" x14ac:dyDescent="0.6">
      <c r="A344" s="2" t="str">
        <f>IF('December_Tide_2025 (2)'!A344="","",'December_Tide_2025 (2)'!A344)</f>
        <v>2025-12-15 06:00:00</v>
      </c>
      <c r="B344" s="3">
        <f>IF('December_Tide_2025 (2)'!B344="","",'December_Tide_2025 (2)'!B344)</f>
        <v>1.1399999999999999</v>
      </c>
      <c r="C344" s="3">
        <f>IF($A344="","", INDEX([1]Calc!$E:$E, MATCH("KminusZ_m", [1]Calc!$C:$C, 0)) + $B344 - INDEX([1]Calc!$E:$E, MATCH("L_ramp_m", [1]Calc!$C:$C, 0)) * TAN(RADIANS(INDEX([1]Calc!$E:$E, MATCH("theta_max_deg", [1]Calc!$C:$C, 0)))))</f>
        <v>2.878749176811882</v>
      </c>
      <c r="D344" s="3"/>
      <c r="E344" s="3">
        <f t="shared" si="15"/>
        <v>2.878749176811882</v>
      </c>
      <c r="F344" s="3">
        <f t="shared" si="16"/>
        <v>2.878749176811882</v>
      </c>
      <c r="G344" s="3">
        <f>IF($E344="","", DEGREES(ATAN((INDEX([1]Calc!$E:$E, MATCH("KminusZ_m", [1]Calc!$C:$C, 0)) - $E344 + $B344) / INDEX([1]Calc!$E:$E, MATCH("L_ramp_m", [1]Calc!$C:$C, 0)))))</f>
        <v>6.0000000000000009</v>
      </c>
      <c r="H344" s="2" t="str">
        <f>IF($E344="","", IF(AND($E344&gt;=INDEX([1]Calc!$E:$E, MATCH("min_fwd_draft_m", [1]Calc!$C:$C, 0)), $E344&lt;=INDEX([1]Calc!$E:$E, MATCH("max_fwd_draft_m", [1]Calc!$C:$C, 0)), $G344&lt;=INDEX([1]Calc!$E:$E, MATCH("theta_max_deg", [1]Calc!$C:$C, 0))), "OK", "CHECK"))</f>
        <v>OK</v>
      </c>
      <c r="I344" s="3">
        <f>IF($E344="","", INDEX([1]Calc!$E:$E, MATCH("D_vessel_m", [1]Calc!$C:$C, 0)) - $E344 + $B344)</f>
        <v>1.9112508231881178</v>
      </c>
      <c r="J344" s="3">
        <f>IF($F344="","", INDEX([1]Calc!$E:$E, MATCH("D_vessel_m", [1]Calc!$C:$C, 0)) - $F344 + $B344)</f>
        <v>1.9112508231881178</v>
      </c>
      <c r="K344" s="2" t="str">
        <f t="shared" si="17"/>
        <v>Even Keel</v>
      </c>
    </row>
    <row r="345" spans="1:11" x14ac:dyDescent="0.6">
      <c r="A345" s="2" t="str">
        <f>IF('December_Tide_2025 (2)'!A345="","",'December_Tide_2025 (2)'!A345)</f>
        <v>2025-12-15 07:00:00</v>
      </c>
      <c r="B345" s="3">
        <f>IF('December_Tide_2025 (2)'!B345="","",'December_Tide_2025 (2)'!B345)</f>
        <v>0.9</v>
      </c>
      <c r="C345" s="3">
        <f>IF($A345="","", INDEX([1]Calc!$E:$E, MATCH("KminusZ_m", [1]Calc!$C:$C, 0)) + $B345 - INDEX([1]Calc!$E:$E, MATCH("L_ramp_m", [1]Calc!$C:$C, 0)) * TAN(RADIANS(INDEX([1]Calc!$E:$E, MATCH("theta_max_deg", [1]Calc!$C:$C, 0)))))</f>
        <v>2.6387491768118823</v>
      </c>
      <c r="D345" s="3"/>
      <c r="E345" s="3">
        <f t="shared" si="15"/>
        <v>2.6387491768118823</v>
      </c>
      <c r="F345" s="3">
        <f t="shared" si="16"/>
        <v>2.6387491768118823</v>
      </c>
      <c r="G345" s="3">
        <f>IF($E345="","", DEGREES(ATAN((INDEX([1]Calc!$E:$E, MATCH("KminusZ_m", [1]Calc!$C:$C, 0)) - $E345 + $B345) / INDEX([1]Calc!$E:$E, MATCH("L_ramp_m", [1]Calc!$C:$C, 0)))))</f>
        <v>6.0000000000000009</v>
      </c>
      <c r="H345" s="2" t="str">
        <f>IF($E345="","", IF(AND($E345&gt;=INDEX([1]Calc!$E:$E, MATCH("min_fwd_draft_m", [1]Calc!$C:$C, 0)), $E345&lt;=INDEX([1]Calc!$E:$E, MATCH("max_fwd_draft_m", [1]Calc!$C:$C, 0)), $G345&lt;=INDEX([1]Calc!$E:$E, MATCH("theta_max_deg", [1]Calc!$C:$C, 0))), "OK", "CHECK"))</f>
        <v>OK</v>
      </c>
      <c r="I345" s="3">
        <f>IF($E345="","", INDEX([1]Calc!$E:$E, MATCH("D_vessel_m", [1]Calc!$C:$C, 0)) - $E345 + $B345)</f>
        <v>1.9112508231881176</v>
      </c>
      <c r="J345" s="3">
        <f>IF($F345="","", INDEX([1]Calc!$E:$E, MATCH("D_vessel_m", [1]Calc!$C:$C, 0)) - $F345 + $B345)</f>
        <v>1.9112508231881176</v>
      </c>
      <c r="K345" s="2" t="str">
        <f t="shared" si="17"/>
        <v>Even Keel</v>
      </c>
    </row>
    <row r="346" spans="1:11" x14ac:dyDescent="0.6">
      <c r="A346" s="2" t="str">
        <f>IF('December_Tide_2025 (2)'!A346="","",'December_Tide_2025 (2)'!A346)</f>
        <v>2025-12-15 08:00:00</v>
      </c>
      <c r="B346" s="3">
        <f>IF('December_Tide_2025 (2)'!B346="","",'December_Tide_2025 (2)'!B346)</f>
        <v>0.89</v>
      </c>
      <c r="C346" s="3">
        <f>IF($A346="","", INDEX([1]Calc!$E:$E, MATCH("KminusZ_m", [1]Calc!$C:$C, 0)) + $B346 - INDEX([1]Calc!$E:$E, MATCH("L_ramp_m", [1]Calc!$C:$C, 0)) * TAN(RADIANS(INDEX([1]Calc!$E:$E, MATCH("theta_max_deg", [1]Calc!$C:$C, 0)))))</f>
        <v>2.6287491768118825</v>
      </c>
      <c r="D346" s="3"/>
      <c r="E346" s="3">
        <f t="shared" si="15"/>
        <v>2.6287491768118825</v>
      </c>
      <c r="F346" s="3">
        <f t="shared" si="16"/>
        <v>2.6287491768118825</v>
      </c>
      <c r="G346" s="3">
        <f>IF($E346="","", DEGREES(ATAN((INDEX([1]Calc!$E:$E, MATCH("KminusZ_m", [1]Calc!$C:$C, 0)) - $E346 + $B346) / INDEX([1]Calc!$E:$E, MATCH("L_ramp_m", [1]Calc!$C:$C, 0)))))</f>
        <v>6.0000000000000009</v>
      </c>
      <c r="H346" s="2" t="str">
        <f>IF($E346="","", IF(AND($E346&gt;=INDEX([1]Calc!$E:$E, MATCH("min_fwd_draft_m", [1]Calc!$C:$C, 0)), $E346&lt;=INDEX([1]Calc!$E:$E, MATCH("max_fwd_draft_m", [1]Calc!$C:$C, 0)), $G346&lt;=INDEX([1]Calc!$E:$E, MATCH("theta_max_deg", [1]Calc!$C:$C, 0))), "OK", "CHECK"))</f>
        <v>OK</v>
      </c>
      <c r="I346" s="3">
        <f>IF($E346="","", INDEX([1]Calc!$E:$E, MATCH("D_vessel_m", [1]Calc!$C:$C, 0)) - $E346 + $B346)</f>
        <v>1.9112508231881176</v>
      </c>
      <c r="J346" s="3">
        <f>IF($F346="","", INDEX([1]Calc!$E:$E, MATCH("D_vessel_m", [1]Calc!$C:$C, 0)) - $F346 + $B346)</f>
        <v>1.9112508231881176</v>
      </c>
      <c r="K346" s="2" t="str">
        <f t="shared" si="17"/>
        <v>Even Keel</v>
      </c>
    </row>
    <row r="347" spans="1:11" x14ac:dyDescent="0.6">
      <c r="A347" s="2" t="str">
        <f>IF('December_Tide_2025 (2)'!A347="","",'December_Tide_2025 (2)'!A347)</f>
        <v>2025-12-15 09:00:00</v>
      </c>
      <c r="B347" s="3">
        <f>IF('December_Tide_2025 (2)'!B347="","",'December_Tide_2025 (2)'!B347)</f>
        <v>1.1100000000000001</v>
      </c>
      <c r="C347" s="3">
        <f>IF($A347="","", INDEX([1]Calc!$E:$E, MATCH("KminusZ_m", [1]Calc!$C:$C, 0)) + $B347 - INDEX([1]Calc!$E:$E, MATCH("L_ramp_m", [1]Calc!$C:$C, 0)) * TAN(RADIANS(INDEX([1]Calc!$E:$E, MATCH("theta_max_deg", [1]Calc!$C:$C, 0)))))</f>
        <v>2.8487491768118827</v>
      </c>
      <c r="D347" s="3"/>
      <c r="E347" s="3">
        <f t="shared" si="15"/>
        <v>2.8487491768118827</v>
      </c>
      <c r="F347" s="3">
        <f t="shared" si="16"/>
        <v>2.8487491768118827</v>
      </c>
      <c r="G347" s="3">
        <f>IF($E347="","", DEGREES(ATAN((INDEX([1]Calc!$E:$E, MATCH("KminusZ_m", [1]Calc!$C:$C, 0)) - $E347 + $B347) / INDEX([1]Calc!$E:$E, MATCH("L_ramp_m", [1]Calc!$C:$C, 0)))))</f>
        <v>6</v>
      </c>
      <c r="H347" s="2" t="str">
        <f>IF($E347="","", IF(AND($E347&gt;=INDEX([1]Calc!$E:$E, MATCH("min_fwd_draft_m", [1]Calc!$C:$C, 0)), $E347&lt;=INDEX([1]Calc!$E:$E, MATCH("max_fwd_draft_m", [1]Calc!$C:$C, 0)), $G347&lt;=INDEX([1]Calc!$E:$E, MATCH("theta_max_deg", [1]Calc!$C:$C, 0))), "OK", "CHECK"))</f>
        <v>OK</v>
      </c>
      <c r="I347" s="3">
        <f>IF($E347="","", INDEX([1]Calc!$E:$E, MATCH("D_vessel_m", [1]Calc!$C:$C, 0)) - $E347 + $B347)</f>
        <v>1.9112508231881173</v>
      </c>
      <c r="J347" s="3">
        <f>IF($F347="","", INDEX([1]Calc!$E:$E, MATCH("D_vessel_m", [1]Calc!$C:$C, 0)) - $F347 + $B347)</f>
        <v>1.9112508231881173</v>
      </c>
      <c r="K347" s="2" t="str">
        <f t="shared" si="17"/>
        <v>Even Keel</v>
      </c>
    </row>
    <row r="348" spans="1:11" x14ac:dyDescent="0.6">
      <c r="A348" s="2" t="str">
        <f>IF('December_Tide_2025 (2)'!A348="","",'December_Tide_2025 (2)'!A348)</f>
        <v>2025-12-15 10:00:00</v>
      </c>
      <c r="B348" s="3">
        <f>IF('December_Tide_2025 (2)'!B348="","",'December_Tide_2025 (2)'!B348)</f>
        <v>1.5</v>
      </c>
      <c r="C348" s="3">
        <f>IF($A348="","", INDEX([1]Calc!$E:$E, MATCH("KminusZ_m", [1]Calc!$C:$C, 0)) + $B348 - INDEX([1]Calc!$E:$E, MATCH("L_ramp_m", [1]Calc!$C:$C, 0)) * TAN(RADIANS(INDEX([1]Calc!$E:$E, MATCH("theta_max_deg", [1]Calc!$C:$C, 0)))))</f>
        <v>3.2387491768118823</v>
      </c>
      <c r="D348" s="3"/>
      <c r="E348" s="3">
        <f t="shared" si="15"/>
        <v>3.2387491768118823</v>
      </c>
      <c r="F348" s="3">
        <f t="shared" si="16"/>
        <v>3.2387491768118823</v>
      </c>
      <c r="G348" s="3">
        <f>IF($E348="","", DEGREES(ATAN((INDEX([1]Calc!$E:$E, MATCH("KminusZ_m", [1]Calc!$C:$C, 0)) - $E348 + $B348) / INDEX([1]Calc!$E:$E, MATCH("L_ramp_m", [1]Calc!$C:$C, 0)))))</f>
        <v>6.0000000000000009</v>
      </c>
      <c r="H348" s="2" t="str">
        <f>IF($E348="","", IF(AND($E348&gt;=INDEX([1]Calc!$E:$E, MATCH("min_fwd_draft_m", [1]Calc!$C:$C, 0)), $E348&lt;=INDEX([1]Calc!$E:$E, MATCH("max_fwd_draft_m", [1]Calc!$C:$C, 0)), $G348&lt;=INDEX([1]Calc!$E:$E, MATCH("theta_max_deg", [1]Calc!$C:$C, 0))), "OK", "CHECK"))</f>
        <v>OK</v>
      </c>
      <c r="I348" s="3">
        <f>IF($E348="","", INDEX([1]Calc!$E:$E, MATCH("D_vessel_m", [1]Calc!$C:$C, 0)) - $E348 + $B348)</f>
        <v>1.9112508231881176</v>
      </c>
      <c r="J348" s="3">
        <f>IF($F348="","", INDEX([1]Calc!$E:$E, MATCH("D_vessel_m", [1]Calc!$C:$C, 0)) - $F348 + $B348)</f>
        <v>1.9112508231881176</v>
      </c>
      <c r="K348" s="2" t="str">
        <f t="shared" si="17"/>
        <v>Even Keel</v>
      </c>
    </row>
    <row r="349" spans="1:11" x14ac:dyDescent="0.6">
      <c r="A349" s="2" t="str">
        <f>IF('December_Tide_2025 (2)'!A349="","",'December_Tide_2025 (2)'!A349)</f>
        <v>2025-12-15 11:00:00</v>
      </c>
      <c r="B349" s="3">
        <f>IF('December_Tide_2025 (2)'!B349="","",'December_Tide_2025 (2)'!B349)</f>
        <v>1.97</v>
      </c>
      <c r="C349" s="3">
        <f>IF($A349="","", INDEX([1]Calc!$E:$E, MATCH("KminusZ_m", [1]Calc!$C:$C, 0)) + $B349 - INDEX([1]Calc!$E:$E, MATCH("L_ramp_m", [1]Calc!$C:$C, 0)) * TAN(RADIANS(INDEX([1]Calc!$E:$E, MATCH("theta_max_deg", [1]Calc!$C:$C, 0)))))</f>
        <v>3.7087491768118821</v>
      </c>
      <c r="D349" s="3"/>
      <c r="E349" s="3">
        <f t="shared" si="15"/>
        <v>3.7087491768118821</v>
      </c>
      <c r="F349" s="3">
        <f t="shared" si="16"/>
        <v>3.7087491768118821</v>
      </c>
      <c r="G349" s="3">
        <f>IF($E349="","", DEGREES(ATAN((INDEX([1]Calc!$E:$E, MATCH("KminusZ_m", [1]Calc!$C:$C, 0)) - $E349 + $B349) / INDEX([1]Calc!$E:$E, MATCH("L_ramp_m", [1]Calc!$C:$C, 0)))))</f>
        <v>6.0000000000000009</v>
      </c>
      <c r="H349" s="2" t="str">
        <f>IF($E349="","", IF(AND($E349&gt;=INDEX([1]Calc!$E:$E, MATCH("min_fwd_draft_m", [1]Calc!$C:$C, 0)), $E349&lt;=INDEX([1]Calc!$E:$E, MATCH("max_fwd_draft_m", [1]Calc!$C:$C, 0)), $G349&lt;=INDEX([1]Calc!$E:$E, MATCH("theta_max_deg", [1]Calc!$C:$C, 0))), "OK", "CHECK"))</f>
        <v>CHECK</v>
      </c>
      <c r="I349" s="3">
        <f>IF($E349="","", INDEX([1]Calc!$E:$E, MATCH("D_vessel_m", [1]Calc!$C:$C, 0)) - $E349 + $B349)</f>
        <v>1.9112508231881178</v>
      </c>
      <c r="J349" s="3">
        <f>IF($F349="","", INDEX([1]Calc!$E:$E, MATCH("D_vessel_m", [1]Calc!$C:$C, 0)) - $F349 + $B349)</f>
        <v>1.9112508231881178</v>
      </c>
      <c r="K349" s="2" t="str">
        <f t="shared" si="17"/>
        <v>Even Keel</v>
      </c>
    </row>
    <row r="350" spans="1:11" x14ac:dyDescent="0.6">
      <c r="A350" s="2" t="str">
        <f>IF('December_Tide_2025 (2)'!A350="","",'December_Tide_2025 (2)'!A350)</f>
        <v>2025-12-15 12:00:00</v>
      </c>
      <c r="B350" s="3">
        <f>IF('December_Tide_2025 (2)'!B350="","",'December_Tide_2025 (2)'!B350)</f>
        <v>2.39</v>
      </c>
      <c r="C350" s="3">
        <f>IF($A350="","", INDEX([1]Calc!$E:$E, MATCH("KminusZ_m", [1]Calc!$C:$C, 0)) + $B350 - INDEX([1]Calc!$E:$E, MATCH("L_ramp_m", [1]Calc!$C:$C, 0)) * TAN(RADIANS(INDEX([1]Calc!$E:$E, MATCH("theta_max_deg", [1]Calc!$C:$C, 0)))))</f>
        <v>4.1287491768118834</v>
      </c>
      <c r="D350" s="3"/>
      <c r="E350" s="3">
        <f t="shared" si="15"/>
        <v>4.1287491768118834</v>
      </c>
      <c r="F350" s="3">
        <f t="shared" si="16"/>
        <v>4.1287491768118834</v>
      </c>
      <c r="G350" s="3">
        <f>IF($E350="","", DEGREES(ATAN((INDEX([1]Calc!$E:$E, MATCH("KminusZ_m", [1]Calc!$C:$C, 0)) - $E350 + $B350) / INDEX([1]Calc!$E:$E, MATCH("L_ramp_m", [1]Calc!$C:$C, 0)))))</f>
        <v>5.9999999999999964</v>
      </c>
      <c r="H350" s="2" t="str">
        <f>IF($E350="","", IF(AND($E350&gt;=INDEX([1]Calc!$E:$E, MATCH("min_fwd_draft_m", [1]Calc!$C:$C, 0)), $E350&lt;=INDEX([1]Calc!$E:$E, MATCH("max_fwd_draft_m", [1]Calc!$C:$C, 0)), $G350&lt;=INDEX([1]Calc!$E:$E, MATCH("theta_max_deg", [1]Calc!$C:$C, 0))), "OK", "CHECK"))</f>
        <v>CHECK</v>
      </c>
      <c r="I350" s="3">
        <f>IF($E350="","", INDEX([1]Calc!$E:$E, MATCH("D_vessel_m", [1]Calc!$C:$C, 0)) - $E350 + $B350)</f>
        <v>1.9112508231881167</v>
      </c>
      <c r="J350" s="3">
        <f>IF($F350="","", INDEX([1]Calc!$E:$E, MATCH("D_vessel_m", [1]Calc!$C:$C, 0)) - $F350 + $B350)</f>
        <v>1.9112508231881167</v>
      </c>
      <c r="K350" s="2" t="str">
        <f t="shared" si="17"/>
        <v>Even Keel</v>
      </c>
    </row>
    <row r="351" spans="1:11" x14ac:dyDescent="0.6">
      <c r="A351" s="2" t="str">
        <f>IF('December_Tide_2025 (2)'!A351="","",'December_Tide_2025 (2)'!A351)</f>
        <v>2025-12-15 13:00:00</v>
      </c>
      <c r="B351" s="3">
        <f>IF('December_Tide_2025 (2)'!B351="","",'December_Tide_2025 (2)'!B351)</f>
        <v>2.67</v>
      </c>
      <c r="C351" s="3">
        <f>IF($A351="","", INDEX([1]Calc!$E:$E, MATCH("KminusZ_m", [1]Calc!$C:$C, 0)) + $B351 - INDEX([1]Calc!$E:$E, MATCH("L_ramp_m", [1]Calc!$C:$C, 0)) * TAN(RADIANS(INDEX([1]Calc!$E:$E, MATCH("theta_max_deg", [1]Calc!$C:$C, 0)))))</f>
        <v>4.4087491768118827</v>
      </c>
      <c r="D351" s="3"/>
      <c r="E351" s="3">
        <f t="shared" si="15"/>
        <v>4.4087491768118827</v>
      </c>
      <c r="F351" s="3">
        <f t="shared" si="16"/>
        <v>4.4087491768118827</v>
      </c>
      <c r="G351" s="3">
        <f>IF($E351="","", DEGREES(ATAN((INDEX([1]Calc!$E:$E, MATCH("KminusZ_m", [1]Calc!$C:$C, 0)) - $E351 + $B351) / INDEX([1]Calc!$E:$E, MATCH("L_ramp_m", [1]Calc!$C:$C, 0)))))</f>
        <v>5.9999999999999982</v>
      </c>
      <c r="H351" s="2" t="str">
        <f>IF($E351="","", IF(AND($E351&gt;=INDEX([1]Calc!$E:$E, MATCH("min_fwd_draft_m", [1]Calc!$C:$C, 0)), $E351&lt;=INDEX([1]Calc!$E:$E, MATCH("max_fwd_draft_m", [1]Calc!$C:$C, 0)), $G351&lt;=INDEX([1]Calc!$E:$E, MATCH("theta_max_deg", [1]Calc!$C:$C, 0))), "OK", "CHECK"))</f>
        <v>CHECK</v>
      </c>
      <c r="I351" s="3">
        <f>IF($E351="","", INDEX([1]Calc!$E:$E, MATCH("D_vessel_m", [1]Calc!$C:$C, 0)) - $E351 + $B351)</f>
        <v>1.9112508231881171</v>
      </c>
      <c r="J351" s="3">
        <f>IF($F351="","", INDEX([1]Calc!$E:$E, MATCH("D_vessel_m", [1]Calc!$C:$C, 0)) - $F351 + $B351)</f>
        <v>1.9112508231881171</v>
      </c>
      <c r="K351" s="2" t="str">
        <f t="shared" si="17"/>
        <v>Even Keel</v>
      </c>
    </row>
    <row r="352" spans="1:11" x14ac:dyDescent="0.6">
      <c r="A352" s="2" t="str">
        <f>IF('December_Tide_2025 (2)'!A352="","",'December_Tide_2025 (2)'!A352)</f>
        <v>2025-12-15 14:00:00</v>
      </c>
      <c r="B352" s="3">
        <f>IF('December_Tide_2025 (2)'!B352="","",'December_Tide_2025 (2)'!B352)</f>
        <v>2.73</v>
      </c>
      <c r="C352" s="3">
        <f>IF($A352="","", INDEX([1]Calc!$E:$E, MATCH("KminusZ_m", [1]Calc!$C:$C, 0)) + $B352 - INDEX([1]Calc!$E:$E, MATCH("L_ramp_m", [1]Calc!$C:$C, 0)) * TAN(RADIANS(INDEX([1]Calc!$E:$E, MATCH("theta_max_deg", [1]Calc!$C:$C, 0)))))</f>
        <v>4.4687491768118832</v>
      </c>
      <c r="D352" s="3"/>
      <c r="E352" s="3">
        <f t="shared" si="15"/>
        <v>4.4687491768118832</v>
      </c>
      <c r="F352" s="3">
        <f t="shared" si="16"/>
        <v>4.4687491768118832</v>
      </c>
      <c r="G352" s="3">
        <f>IF($E352="","", DEGREES(ATAN((INDEX([1]Calc!$E:$E, MATCH("KminusZ_m", [1]Calc!$C:$C, 0)) - $E352 + $B352) / INDEX([1]Calc!$E:$E, MATCH("L_ramp_m", [1]Calc!$C:$C, 0)))))</f>
        <v>5.9999999999999964</v>
      </c>
      <c r="H352" s="2" t="str">
        <f>IF($E352="","", IF(AND($E352&gt;=INDEX([1]Calc!$E:$E, MATCH("min_fwd_draft_m", [1]Calc!$C:$C, 0)), $E352&lt;=INDEX([1]Calc!$E:$E, MATCH("max_fwd_draft_m", [1]Calc!$C:$C, 0)), $G352&lt;=INDEX([1]Calc!$E:$E, MATCH("theta_max_deg", [1]Calc!$C:$C, 0))), "OK", "CHECK"))</f>
        <v>CHECK</v>
      </c>
      <c r="I352" s="3">
        <f>IF($E352="","", INDEX([1]Calc!$E:$E, MATCH("D_vessel_m", [1]Calc!$C:$C, 0)) - $E352 + $B352)</f>
        <v>1.9112508231881167</v>
      </c>
      <c r="J352" s="3">
        <f>IF($F352="","", INDEX([1]Calc!$E:$E, MATCH("D_vessel_m", [1]Calc!$C:$C, 0)) - $F352 + $B352)</f>
        <v>1.9112508231881167</v>
      </c>
      <c r="K352" s="2" t="str">
        <f t="shared" si="17"/>
        <v>Even Keel</v>
      </c>
    </row>
    <row r="353" spans="1:11" x14ac:dyDescent="0.6">
      <c r="A353" s="2" t="str">
        <f>IF('December_Tide_2025 (2)'!A353="","",'December_Tide_2025 (2)'!A353)</f>
        <v>2025-12-15 15:00:00</v>
      </c>
      <c r="B353" s="3">
        <f>IF('December_Tide_2025 (2)'!B353="","",'December_Tide_2025 (2)'!B353)</f>
        <v>2.5499999999999998</v>
      </c>
      <c r="C353" s="3">
        <f>IF($A353="","", INDEX([1]Calc!$E:$E, MATCH("KminusZ_m", [1]Calc!$C:$C, 0)) + $B353 - INDEX([1]Calc!$E:$E, MATCH("L_ramp_m", [1]Calc!$C:$C, 0)) * TAN(RADIANS(INDEX([1]Calc!$E:$E, MATCH("theta_max_deg", [1]Calc!$C:$C, 0)))))</f>
        <v>4.2887491768118817</v>
      </c>
      <c r="D353" s="3"/>
      <c r="E353" s="3">
        <f t="shared" si="15"/>
        <v>4.2887491768118817</v>
      </c>
      <c r="F353" s="3">
        <f t="shared" si="16"/>
        <v>4.2887491768118817</v>
      </c>
      <c r="G353" s="3">
        <f>IF($E353="","", DEGREES(ATAN((INDEX([1]Calc!$E:$E, MATCH("KminusZ_m", [1]Calc!$C:$C, 0)) - $E353 + $B353) / INDEX([1]Calc!$E:$E, MATCH("L_ramp_m", [1]Calc!$C:$C, 0)))))</f>
        <v>6.0000000000000027</v>
      </c>
      <c r="H353" s="2" t="str">
        <f>IF($E353="","", IF(AND($E353&gt;=INDEX([1]Calc!$E:$E, MATCH("min_fwd_draft_m", [1]Calc!$C:$C, 0)), $E353&lt;=INDEX([1]Calc!$E:$E, MATCH("max_fwd_draft_m", [1]Calc!$C:$C, 0)), $G353&lt;=INDEX([1]Calc!$E:$E, MATCH("theta_max_deg", [1]Calc!$C:$C, 0))), "OK", "CHECK"))</f>
        <v>CHECK</v>
      </c>
      <c r="I353" s="3">
        <f>IF($E353="","", INDEX([1]Calc!$E:$E, MATCH("D_vessel_m", [1]Calc!$C:$C, 0)) - $E353 + $B353)</f>
        <v>1.911250823188118</v>
      </c>
      <c r="J353" s="3">
        <f>IF($F353="","", INDEX([1]Calc!$E:$E, MATCH("D_vessel_m", [1]Calc!$C:$C, 0)) - $F353 + $B353)</f>
        <v>1.911250823188118</v>
      </c>
      <c r="K353" s="2" t="str">
        <f t="shared" si="17"/>
        <v>Even Keel</v>
      </c>
    </row>
    <row r="354" spans="1:11" x14ac:dyDescent="0.6">
      <c r="A354" s="2" t="str">
        <f>IF('December_Tide_2025 (2)'!A354="","",'December_Tide_2025 (2)'!A354)</f>
        <v>2025-12-15 16:00:00</v>
      </c>
      <c r="B354" s="3">
        <f>IF('December_Tide_2025 (2)'!B354="","",'December_Tide_2025 (2)'!B354)</f>
        <v>2.19</v>
      </c>
      <c r="C354" s="3">
        <f>IF($A354="","", INDEX([1]Calc!$E:$E, MATCH("KminusZ_m", [1]Calc!$C:$C, 0)) + $B354 - INDEX([1]Calc!$E:$E, MATCH("L_ramp_m", [1]Calc!$C:$C, 0)) * TAN(RADIANS(INDEX([1]Calc!$E:$E, MATCH("theta_max_deg", [1]Calc!$C:$C, 0)))))</f>
        <v>3.9287491768118818</v>
      </c>
      <c r="D354" s="3"/>
      <c r="E354" s="3">
        <f t="shared" si="15"/>
        <v>3.9287491768118818</v>
      </c>
      <c r="F354" s="3">
        <f t="shared" si="16"/>
        <v>3.9287491768118818</v>
      </c>
      <c r="G354" s="3">
        <f>IF($E354="","", DEGREES(ATAN((INDEX([1]Calc!$E:$E, MATCH("KminusZ_m", [1]Calc!$C:$C, 0)) - $E354 + $B354) / INDEX([1]Calc!$E:$E, MATCH("L_ramp_m", [1]Calc!$C:$C, 0)))))</f>
        <v>6.0000000000000027</v>
      </c>
      <c r="H354" s="2" t="str">
        <f>IF($E354="","", IF(AND($E354&gt;=INDEX([1]Calc!$E:$E, MATCH("min_fwd_draft_m", [1]Calc!$C:$C, 0)), $E354&lt;=INDEX([1]Calc!$E:$E, MATCH("max_fwd_draft_m", [1]Calc!$C:$C, 0)), $G354&lt;=INDEX([1]Calc!$E:$E, MATCH("theta_max_deg", [1]Calc!$C:$C, 0))), "OK", "CHECK"))</f>
        <v>CHECK</v>
      </c>
      <c r="I354" s="3">
        <f>IF($E354="","", INDEX([1]Calc!$E:$E, MATCH("D_vessel_m", [1]Calc!$C:$C, 0)) - $E354 + $B354)</f>
        <v>1.911250823188118</v>
      </c>
      <c r="J354" s="3">
        <f>IF($F354="","", INDEX([1]Calc!$E:$E, MATCH("D_vessel_m", [1]Calc!$C:$C, 0)) - $F354 + $B354)</f>
        <v>1.911250823188118</v>
      </c>
      <c r="K354" s="2" t="str">
        <f t="shared" si="17"/>
        <v>Even Keel</v>
      </c>
    </row>
    <row r="355" spans="1:11" x14ac:dyDescent="0.6">
      <c r="A355" s="2" t="str">
        <f>IF('December_Tide_2025 (2)'!A355="","",'December_Tide_2025 (2)'!A355)</f>
        <v>2025-12-15 17:00:00</v>
      </c>
      <c r="B355" s="3">
        <f>IF('December_Tide_2025 (2)'!B355="","",'December_Tide_2025 (2)'!B355)</f>
        <v>1.73</v>
      </c>
      <c r="C355" s="3">
        <f>IF($A355="","", INDEX([1]Calc!$E:$E, MATCH("KminusZ_m", [1]Calc!$C:$C, 0)) + $B355 - INDEX([1]Calc!$E:$E, MATCH("L_ramp_m", [1]Calc!$C:$C, 0)) * TAN(RADIANS(INDEX([1]Calc!$E:$E, MATCH("theta_max_deg", [1]Calc!$C:$C, 0)))))</f>
        <v>3.4687491768118828</v>
      </c>
      <c r="D355" s="3"/>
      <c r="E355" s="3">
        <f t="shared" si="15"/>
        <v>3.4687491768118828</v>
      </c>
      <c r="F355" s="3">
        <f t="shared" si="16"/>
        <v>3.4687491768118828</v>
      </c>
      <c r="G355" s="3">
        <f>IF($E355="","", DEGREES(ATAN((INDEX([1]Calc!$E:$E, MATCH("KminusZ_m", [1]Calc!$C:$C, 0)) - $E355 + $B355) / INDEX([1]Calc!$E:$E, MATCH("L_ramp_m", [1]Calc!$C:$C, 0)))))</f>
        <v>5.9999999999999982</v>
      </c>
      <c r="H355" s="2" t="str">
        <f>IF($E355="","", IF(AND($E355&gt;=INDEX([1]Calc!$E:$E, MATCH("min_fwd_draft_m", [1]Calc!$C:$C, 0)), $E355&lt;=INDEX([1]Calc!$E:$E, MATCH("max_fwd_draft_m", [1]Calc!$C:$C, 0)), $G355&lt;=INDEX([1]Calc!$E:$E, MATCH("theta_max_deg", [1]Calc!$C:$C, 0))), "OK", "CHECK"))</f>
        <v>OK</v>
      </c>
      <c r="I355" s="3">
        <f>IF($E355="","", INDEX([1]Calc!$E:$E, MATCH("D_vessel_m", [1]Calc!$C:$C, 0)) - $E355 + $B355)</f>
        <v>1.9112508231881171</v>
      </c>
      <c r="J355" s="3">
        <f>IF($F355="","", INDEX([1]Calc!$E:$E, MATCH("D_vessel_m", [1]Calc!$C:$C, 0)) - $F355 + $B355)</f>
        <v>1.9112508231881171</v>
      </c>
      <c r="K355" s="2" t="str">
        <f t="shared" si="17"/>
        <v>Even Keel</v>
      </c>
    </row>
    <row r="356" spans="1:11" x14ac:dyDescent="0.6">
      <c r="A356" s="2" t="str">
        <f>IF('December_Tide_2025 (2)'!A356="","",'December_Tide_2025 (2)'!A356)</f>
        <v>2025-12-15 18:00:00</v>
      </c>
      <c r="B356" s="3">
        <f>IF('December_Tide_2025 (2)'!B356="","",'December_Tide_2025 (2)'!B356)</f>
        <v>1.28</v>
      </c>
      <c r="C356" s="3">
        <f>IF($A356="","", INDEX([1]Calc!$E:$E, MATCH("KminusZ_m", [1]Calc!$C:$C, 0)) + $B356 - INDEX([1]Calc!$E:$E, MATCH("L_ramp_m", [1]Calc!$C:$C, 0)) * TAN(RADIANS(INDEX([1]Calc!$E:$E, MATCH("theta_max_deg", [1]Calc!$C:$C, 0)))))</f>
        <v>3.0187491768118826</v>
      </c>
      <c r="D356" s="3"/>
      <c r="E356" s="3">
        <f t="shared" si="15"/>
        <v>3.0187491768118826</v>
      </c>
      <c r="F356" s="3">
        <f t="shared" si="16"/>
        <v>3.0187491768118826</v>
      </c>
      <c r="G356" s="3">
        <f>IF($E356="","", DEGREES(ATAN((INDEX([1]Calc!$E:$E, MATCH("KminusZ_m", [1]Calc!$C:$C, 0)) - $E356 + $B356) / INDEX([1]Calc!$E:$E, MATCH("L_ramp_m", [1]Calc!$C:$C, 0)))))</f>
        <v>6</v>
      </c>
      <c r="H356" s="2" t="str">
        <f>IF($E356="","", IF(AND($E356&gt;=INDEX([1]Calc!$E:$E, MATCH("min_fwd_draft_m", [1]Calc!$C:$C, 0)), $E356&lt;=INDEX([1]Calc!$E:$E, MATCH("max_fwd_draft_m", [1]Calc!$C:$C, 0)), $G356&lt;=INDEX([1]Calc!$E:$E, MATCH("theta_max_deg", [1]Calc!$C:$C, 0))), "OK", "CHECK"))</f>
        <v>OK</v>
      </c>
      <c r="I356" s="3">
        <f>IF($E356="","", INDEX([1]Calc!$E:$E, MATCH("D_vessel_m", [1]Calc!$C:$C, 0)) - $E356 + $B356)</f>
        <v>1.9112508231881173</v>
      </c>
      <c r="J356" s="3">
        <f>IF($F356="","", INDEX([1]Calc!$E:$E, MATCH("D_vessel_m", [1]Calc!$C:$C, 0)) - $F356 + $B356)</f>
        <v>1.9112508231881173</v>
      </c>
      <c r="K356" s="2" t="str">
        <f t="shared" si="17"/>
        <v>Even Keel</v>
      </c>
    </row>
    <row r="357" spans="1:11" x14ac:dyDescent="0.6">
      <c r="A357" s="2" t="str">
        <f>IF('December_Tide_2025 (2)'!A357="","",'December_Tide_2025 (2)'!A357)</f>
        <v>2025-12-15 19:00:00</v>
      </c>
      <c r="B357" s="3">
        <f>IF('December_Tide_2025 (2)'!B357="","",'December_Tide_2025 (2)'!B357)</f>
        <v>0.97</v>
      </c>
      <c r="C357" s="3">
        <f>IF($A357="","", INDEX([1]Calc!$E:$E, MATCH("KminusZ_m", [1]Calc!$C:$C, 0)) + $B357 - INDEX([1]Calc!$E:$E, MATCH("L_ramp_m", [1]Calc!$C:$C, 0)) * TAN(RADIANS(INDEX([1]Calc!$E:$E, MATCH("theta_max_deg", [1]Calc!$C:$C, 0)))))</f>
        <v>2.7087491768118821</v>
      </c>
      <c r="D357" s="3"/>
      <c r="E357" s="3">
        <f t="shared" si="15"/>
        <v>2.7087491768118821</v>
      </c>
      <c r="F357" s="3">
        <f t="shared" si="16"/>
        <v>2.7087491768118821</v>
      </c>
      <c r="G357" s="3">
        <f>IF($E357="","", DEGREES(ATAN((INDEX([1]Calc!$E:$E, MATCH("KminusZ_m", [1]Calc!$C:$C, 0)) - $E357 + $B357) / INDEX([1]Calc!$E:$E, MATCH("L_ramp_m", [1]Calc!$C:$C, 0)))))</f>
        <v>6.0000000000000009</v>
      </c>
      <c r="H357" s="2" t="str">
        <f>IF($E357="","", IF(AND($E357&gt;=INDEX([1]Calc!$E:$E, MATCH("min_fwd_draft_m", [1]Calc!$C:$C, 0)), $E357&lt;=INDEX([1]Calc!$E:$E, MATCH("max_fwd_draft_m", [1]Calc!$C:$C, 0)), $G357&lt;=INDEX([1]Calc!$E:$E, MATCH("theta_max_deg", [1]Calc!$C:$C, 0))), "OK", "CHECK"))</f>
        <v>OK</v>
      </c>
      <c r="I357" s="3">
        <f>IF($E357="","", INDEX([1]Calc!$E:$E, MATCH("D_vessel_m", [1]Calc!$C:$C, 0)) - $E357 + $B357)</f>
        <v>1.9112508231881178</v>
      </c>
      <c r="J357" s="3">
        <f>IF($F357="","", INDEX([1]Calc!$E:$E, MATCH("D_vessel_m", [1]Calc!$C:$C, 0)) - $F357 + $B357)</f>
        <v>1.9112508231881178</v>
      </c>
      <c r="K357" s="2" t="str">
        <f t="shared" si="17"/>
        <v>Even Keel</v>
      </c>
    </row>
    <row r="358" spans="1:11" x14ac:dyDescent="0.6">
      <c r="A358" s="2" t="str">
        <f>IF('December_Tide_2025 (2)'!A358="","",'December_Tide_2025 (2)'!A358)</f>
        <v>2025-12-15 20:00:00</v>
      </c>
      <c r="B358" s="3">
        <f>IF('December_Tide_2025 (2)'!B358="","",'December_Tide_2025 (2)'!B358)</f>
        <v>0.86</v>
      </c>
      <c r="C358" s="3">
        <f>IF($A358="","", INDEX([1]Calc!$E:$E, MATCH("KminusZ_m", [1]Calc!$C:$C, 0)) + $B358 - INDEX([1]Calc!$E:$E, MATCH("L_ramp_m", [1]Calc!$C:$C, 0)) * TAN(RADIANS(INDEX([1]Calc!$E:$E, MATCH("theta_max_deg", [1]Calc!$C:$C, 0)))))</f>
        <v>2.5987491768118822</v>
      </c>
      <c r="D358" s="3"/>
      <c r="E358" s="3">
        <f t="shared" si="15"/>
        <v>2.5987491768118822</v>
      </c>
      <c r="F358" s="3">
        <f t="shared" si="16"/>
        <v>2.5987491768118822</v>
      </c>
      <c r="G358" s="3">
        <f>IF($E358="","", DEGREES(ATAN((INDEX([1]Calc!$E:$E, MATCH("KminusZ_m", [1]Calc!$C:$C, 0)) - $E358 + $B358) / INDEX([1]Calc!$E:$E, MATCH("L_ramp_m", [1]Calc!$C:$C, 0)))))</f>
        <v>6.0000000000000009</v>
      </c>
      <c r="H358" s="2" t="str">
        <f>IF($E358="","", IF(AND($E358&gt;=INDEX([1]Calc!$E:$E, MATCH("min_fwd_draft_m", [1]Calc!$C:$C, 0)), $E358&lt;=INDEX([1]Calc!$E:$E, MATCH("max_fwd_draft_m", [1]Calc!$C:$C, 0)), $G358&lt;=INDEX([1]Calc!$E:$E, MATCH("theta_max_deg", [1]Calc!$C:$C, 0))), "OK", "CHECK"))</f>
        <v>OK</v>
      </c>
      <c r="I358" s="3">
        <f>IF($E358="","", INDEX([1]Calc!$E:$E, MATCH("D_vessel_m", [1]Calc!$C:$C, 0)) - $E358 + $B358)</f>
        <v>1.9112508231881176</v>
      </c>
      <c r="J358" s="3">
        <f>IF($F358="","", INDEX([1]Calc!$E:$E, MATCH("D_vessel_m", [1]Calc!$C:$C, 0)) - $F358 + $B358)</f>
        <v>1.9112508231881176</v>
      </c>
      <c r="K358" s="2" t="str">
        <f t="shared" si="17"/>
        <v>Even Keel</v>
      </c>
    </row>
    <row r="359" spans="1:11" x14ac:dyDescent="0.6">
      <c r="A359" s="2" t="str">
        <f>IF('December_Tide_2025 (2)'!A359="","",'December_Tide_2025 (2)'!A359)</f>
        <v>2025-12-15 21:00:00</v>
      </c>
      <c r="B359" s="3">
        <f>IF('December_Tide_2025 (2)'!B359="","",'December_Tide_2025 (2)'!B359)</f>
        <v>0.99</v>
      </c>
      <c r="C359" s="3">
        <f>IF($A359="","", INDEX([1]Calc!$E:$E, MATCH("KminusZ_m", [1]Calc!$C:$C, 0)) + $B359 - INDEX([1]Calc!$E:$E, MATCH("L_ramp_m", [1]Calc!$C:$C, 0)) * TAN(RADIANS(INDEX([1]Calc!$E:$E, MATCH("theta_max_deg", [1]Calc!$C:$C, 0)))))</f>
        <v>2.7287491768118826</v>
      </c>
      <c r="D359" s="3"/>
      <c r="E359" s="3">
        <f t="shared" si="15"/>
        <v>2.7287491768118826</v>
      </c>
      <c r="F359" s="3">
        <f t="shared" si="16"/>
        <v>2.7287491768118826</v>
      </c>
      <c r="G359" s="3">
        <f>IF($E359="","", DEGREES(ATAN((INDEX([1]Calc!$E:$E, MATCH("KminusZ_m", [1]Calc!$C:$C, 0)) - $E359 + $B359) / INDEX([1]Calc!$E:$E, MATCH("L_ramp_m", [1]Calc!$C:$C, 0)))))</f>
        <v>6</v>
      </c>
      <c r="H359" s="2" t="str">
        <f>IF($E359="","", IF(AND($E359&gt;=INDEX([1]Calc!$E:$E, MATCH("min_fwd_draft_m", [1]Calc!$C:$C, 0)), $E359&lt;=INDEX([1]Calc!$E:$E, MATCH("max_fwd_draft_m", [1]Calc!$C:$C, 0)), $G359&lt;=INDEX([1]Calc!$E:$E, MATCH("theta_max_deg", [1]Calc!$C:$C, 0))), "OK", "CHECK"))</f>
        <v>OK</v>
      </c>
      <c r="I359" s="3">
        <f>IF($E359="","", INDEX([1]Calc!$E:$E, MATCH("D_vessel_m", [1]Calc!$C:$C, 0)) - $E359 + $B359)</f>
        <v>1.9112508231881173</v>
      </c>
      <c r="J359" s="3">
        <f>IF($F359="","", INDEX([1]Calc!$E:$E, MATCH("D_vessel_m", [1]Calc!$C:$C, 0)) - $F359 + $B359)</f>
        <v>1.9112508231881173</v>
      </c>
      <c r="K359" s="2" t="str">
        <f t="shared" si="17"/>
        <v>Even Keel</v>
      </c>
    </row>
    <row r="360" spans="1:11" x14ac:dyDescent="0.6">
      <c r="A360" s="2" t="str">
        <f>IF('December_Tide_2025 (2)'!A360="","",'December_Tide_2025 (2)'!A360)</f>
        <v>2025-12-15 22:00:00</v>
      </c>
      <c r="B360" s="3">
        <f>IF('December_Tide_2025 (2)'!B360="","",'December_Tide_2025 (2)'!B360)</f>
        <v>1.33</v>
      </c>
      <c r="C360" s="3">
        <f>IF($A360="","", INDEX([1]Calc!$E:$E, MATCH("KminusZ_m", [1]Calc!$C:$C, 0)) + $B360 - INDEX([1]Calc!$E:$E, MATCH("L_ramp_m", [1]Calc!$C:$C, 0)) * TAN(RADIANS(INDEX([1]Calc!$E:$E, MATCH("theta_max_deg", [1]Calc!$C:$C, 0)))))</f>
        <v>3.0687491768118824</v>
      </c>
      <c r="D360" s="3"/>
      <c r="E360" s="3">
        <f t="shared" si="15"/>
        <v>3.0687491768118824</v>
      </c>
      <c r="F360" s="3">
        <f t="shared" si="16"/>
        <v>3.0687491768118824</v>
      </c>
      <c r="G360" s="3">
        <f>IF($E360="","", DEGREES(ATAN((INDEX([1]Calc!$E:$E, MATCH("KminusZ_m", [1]Calc!$C:$C, 0)) - $E360 + $B360) / INDEX([1]Calc!$E:$E, MATCH("L_ramp_m", [1]Calc!$C:$C, 0)))))</f>
        <v>6.0000000000000009</v>
      </c>
      <c r="H360" s="2" t="str">
        <f>IF($E360="","", IF(AND($E360&gt;=INDEX([1]Calc!$E:$E, MATCH("min_fwd_draft_m", [1]Calc!$C:$C, 0)), $E360&lt;=INDEX([1]Calc!$E:$E, MATCH("max_fwd_draft_m", [1]Calc!$C:$C, 0)), $G360&lt;=INDEX([1]Calc!$E:$E, MATCH("theta_max_deg", [1]Calc!$C:$C, 0))), "OK", "CHECK"))</f>
        <v>OK</v>
      </c>
      <c r="I360" s="3">
        <f>IF($E360="","", INDEX([1]Calc!$E:$E, MATCH("D_vessel_m", [1]Calc!$C:$C, 0)) - $E360 + $B360)</f>
        <v>1.9112508231881176</v>
      </c>
      <c r="J360" s="3">
        <f>IF($F360="","", INDEX([1]Calc!$E:$E, MATCH("D_vessel_m", [1]Calc!$C:$C, 0)) - $F360 + $B360)</f>
        <v>1.9112508231881176</v>
      </c>
      <c r="K360" s="2" t="str">
        <f t="shared" si="17"/>
        <v>Even Keel</v>
      </c>
    </row>
    <row r="361" spans="1:11" x14ac:dyDescent="0.6">
      <c r="A361" s="2" t="str">
        <f>IF('December_Tide_2025 (2)'!A361="","",'December_Tide_2025 (2)'!A361)</f>
        <v>2025-12-15 23:00:00</v>
      </c>
      <c r="B361" s="3">
        <f>IF('December_Tide_2025 (2)'!B361="","",'December_Tide_2025 (2)'!B361)</f>
        <v>1.78</v>
      </c>
      <c r="C361" s="3">
        <f>IF($A361="","", INDEX([1]Calc!$E:$E, MATCH("KminusZ_m", [1]Calc!$C:$C, 0)) + $B361 - INDEX([1]Calc!$E:$E, MATCH("L_ramp_m", [1]Calc!$C:$C, 0)) * TAN(RADIANS(INDEX([1]Calc!$E:$E, MATCH("theta_max_deg", [1]Calc!$C:$C, 0)))))</f>
        <v>3.5187491768118826</v>
      </c>
      <c r="D361" s="3"/>
      <c r="E361" s="3">
        <f t="shared" si="15"/>
        <v>3.5187491768118826</v>
      </c>
      <c r="F361" s="3">
        <f t="shared" si="16"/>
        <v>3.5187491768118826</v>
      </c>
      <c r="G361" s="3">
        <f>IF($E361="","", DEGREES(ATAN((INDEX([1]Calc!$E:$E, MATCH("KminusZ_m", [1]Calc!$C:$C, 0)) - $E361 + $B361) / INDEX([1]Calc!$E:$E, MATCH("L_ramp_m", [1]Calc!$C:$C, 0)))))</f>
        <v>6</v>
      </c>
      <c r="H361" s="2" t="str">
        <f>IF($E361="","", IF(AND($E361&gt;=INDEX([1]Calc!$E:$E, MATCH("min_fwd_draft_m", [1]Calc!$C:$C, 0)), $E361&lt;=INDEX([1]Calc!$E:$E, MATCH("max_fwd_draft_m", [1]Calc!$C:$C, 0)), $G361&lt;=INDEX([1]Calc!$E:$E, MATCH("theta_max_deg", [1]Calc!$C:$C, 0))), "OK", "CHECK"))</f>
        <v>CHECK</v>
      </c>
      <c r="I361" s="3">
        <f>IF($E361="","", INDEX([1]Calc!$E:$E, MATCH("D_vessel_m", [1]Calc!$C:$C, 0)) - $E361 + $B361)</f>
        <v>1.9112508231881173</v>
      </c>
      <c r="J361" s="3">
        <f>IF($F361="","", INDEX([1]Calc!$E:$E, MATCH("D_vessel_m", [1]Calc!$C:$C, 0)) - $F361 + $B361)</f>
        <v>1.9112508231881173</v>
      </c>
      <c r="K361" s="2" t="str">
        <f t="shared" si="17"/>
        <v>Even Keel</v>
      </c>
    </row>
    <row r="362" spans="1:11" x14ac:dyDescent="0.6">
      <c r="A362" s="2" t="str">
        <f>IF('December_Tide_2025 (2)'!A362="","",'December_Tide_2025 (2)'!A362)</f>
        <v>2025-12-16 00:00:00</v>
      </c>
      <c r="B362" s="3">
        <f>IF('December_Tide_2025 (2)'!B362="","",'December_Tide_2025 (2)'!B362)</f>
        <v>2.2400000000000002</v>
      </c>
      <c r="C362" s="3">
        <f>IF($A362="","", INDEX([1]Calc!$E:$E, MATCH("KminusZ_m", [1]Calc!$C:$C, 0)) + $B362 - INDEX([1]Calc!$E:$E, MATCH("L_ramp_m", [1]Calc!$C:$C, 0)) * TAN(RADIANS(INDEX([1]Calc!$E:$E, MATCH("theta_max_deg", [1]Calc!$C:$C, 0)))))</f>
        <v>3.9787491768118826</v>
      </c>
      <c r="D362" s="3"/>
      <c r="E362" s="3">
        <f t="shared" si="15"/>
        <v>3.9787491768118826</v>
      </c>
      <c r="F362" s="3">
        <f t="shared" si="16"/>
        <v>3.9787491768118826</v>
      </c>
      <c r="G362" s="3">
        <f>IF($E362="","", DEGREES(ATAN((INDEX([1]Calc!$E:$E, MATCH("KminusZ_m", [1]Calc!$C:$C, 0)) - $E362 + $B362) / INDEX([1]Calc!$E:$E, MATCH("L_ramp_m", [1]Calc!$C:$C, 0)))))</f>
        <v>6.0000000000000009</v>
      </c>
      <c r="H362" s="2" t="str">
        <f>IF($E362="","", IF(AND($E362&gt;=INDEX([1]Calc!$E:$E, MATCH("min_fwd_draft_m", [1]Calc!$C:$C, 0)), $E362&lt;=INDEX([1]Calc!$E:$E, MATCH("max_fwd_draft_m", [1]Calc!$C:$C, 0)), $G362&lt;=INDEX([1]Calc!$E:$E, MATCH("theta_max_deg", [1]Calc!$C:$C, 0))), "OK", "CHECK"))</f>
        <v>CHECK</v>
      </c>
      <c r="I362" s="3">
        <f>IF($E362="","", INDEX([1]Calc!$E:$E, MATCH("D_vessel_m", [1]Calc!$C:$C, 0)) - $E362 + $B362)</f>
        <v>1.9112508231881176</v>
      </c>
      <c r="J362" s="3">
        <f>IF($F362="","", INDEX([1]Calc!$E:$E, MATCH("D_vessel_m", [1]Calc!$C:$C, 0)) - $F362 + $B362)</f>
        <v>1.9112508231881176</v>
      </c>
      <c r="K362" s="2" t="str">
        <f t="shared" si="17"/>
        <v>Even Keel</v>
      </c>
    </row>
    <row r="363" spans="1:11" x14ac:dyDescent="0.6">
      <c r="A363" s="2" t="str">
        <f>IF('December_Tide_2025 (2)'!A363="","",'December_Tide_2025 (2)'!A363)</f>
        <v>2025-12-16 01:00:00</v>
      </c>
      <c r="B363" s="3">
        <f>IF('December_Tide_2025 (2)'!B363="","",'December_Tide_2025 (2)'!B363)</f>
        <v>2.58</v>
      </c>
      <c r="C363" s="3">
        <f>IF($A363="","", INDEX([1]Calc!$E:$E, MATCH("KminusZ_m", [1]Calc!$C:$C, 0)) + $B363 - INDEX([1]Calc!$E:$E, MATCH("L_ramp_m", [1]Calc!$C:$C, 0)) * TAN(RADIANS(INDEX([1]Calc!$E:$E, MATCH("theta_max_deg", [1]Calc!$C:$C, 0)))))</f>
        <v>4.3187491768118829</v>
      </c>
      <c r="D363" s="3"/>
      <c r="E363" s="3">
        <f t="shared" si="15"/>
        <v>4.3187491768118829</v>
      </c>
      <c r="F363" s="3">
        <f t="shared" si="16"/>
        <v>4.3187491768118829</v>
      </c>
      <c r="G363" s="3">
        <f>IF($E363="","", DEGREES(ATAN((INDEX([1]Calc!$E:$E, MATCH("KminusZ_m", [1]Calc!$C:$C, 0)) - $E363 + $B363) / INDEX([1]Calc!$E:$E, MATCH("L_ramp_m", [1]Calc!$C:$C, 0)))))</f>
        <v>5.9999999999999982</v>
      </c>
      <c r="H363" s="2" t="str">
        <f>IF($E363="","", IF(AND($E363&gt;=INDEX([1]Calc!$E:$E, MATCH("min_fwd_draft_m", [1]Calc!$C:$C, 0)), $E363&lt;=INDEX([1]Calc!$E:$E, MATCH("max_fwd_draft_m", [1]Calc!$C:$C, 0)), $G363&lt;=INDEX([1]Calc!$E:$E, MATCH("theta_max_deg", [1]Calc!$C:$C, 0))), "OK", "CHECK"))</f>
        <v>CHECK</v>
      </c>
      <c r="I363" s="3">
        <f>IF($E363="","", INDEX([1]Calc!$E:$E, MATCH("D_vessel_m", [1]Calc!$C:$C, 0)) - $E363 + $B363)</f>
        <v>1.9112508231881171</v>
      </c>
      <c r="J363" s="3">
        <f>IF($F363="","", INDEX([1]Calc!$E:$E, MATCH("D_vessel_m", [1]Calc!$C:$C, 0)) - $F363 + $B363)</f>
        <v>1.9112508231881171</v>
      </c>
      <c r="K363" s="2" t="str">
        <f t="shared" si="17"/>
        <v>Even Keel</v>
      </c>
    </row>
    <row r="364" spans="1:11" x14ac:dyDescent="0.6">
      <c r="A364" s="2" t="str">
        <f>IF('December_Tide_2025 (2)'!A364="","",'December_Tide_2025 (2)'!A364)</f>
        <v>2025-12-16 02:00:00</v>
      </c>
      <c r="B364" s="3">
        <f>IF('December_Tide_2025 (2)'!B364="","",'December_Tide_2025 (2)'!B364)</f>
        <v>2.73</v>
      </c>
      <c r="C364" s="3">
        <f>IF($A364="","", INDEX([1]Calc!$E:$E, MATCH("KminusZ_m", [1]Calc!$C:$C, 0)) + $B364 - INDEX([1]Calc!$E:$E, MATCH("L_ramp_m", [1]Calc!$C:$C, 0)) * TAN(RADIANS(INDEX([1]Calc!$E:$E, MATCH("theta_max_deg", [1]Calc!$C:$C, 0)))))</f>
        <v>4.4687491768118832</v>
      </c>
      <c r="D364" s="3"/>
      <c r="E364" s="3">
        <f t="shared" si="15"/>
        <v>4.4687491768118832</v>
      </c>
      <c r="F364" s="3">
        <f t="shared" si="16"/>
        <v>4.4687491768118832</v>
      </c>
      <c r="G364" s="3">
        <f>IF($E364="","", DEGREES(ATAN((INDEX([1]Calc!$E:$E, MATCH("KminusZ_m", [1]Calc!$C:$C, 0)) - $E364 + $B364) / INDEX([1]Calc!$E:$E, MATCH("L_ramp_m", [1]Calc!$C:$C, 0)))))</f>
        <v>5.9999999999999964</v>
      </c>
      <c r="H364" s="2" t="str">
        <f>IF($E364="","", IF(AND($E364&gt;=INDEX([1]Calc!$E:$E, MATCH("min_fwd_draft_m", [1]Calc!$C:$C, 0)), $E364&lt;=INDEX([1]Calc!$E:$E, MATCH("max_fwd_draft_m", [1]Calc!$C:$C, 0)), $G364&lt;=INDEX([1]Calc!$E:$E, MATCH("theta_max_deg", [1]Calc!$C:$C, 0))), "OK", "CHECK"))</f>
        <v>CHECK</v>
      </c>
      <c r="I364" s="3">
        <f>IF($E364="","", INDEX([1]Calc!$E:$E, MATCH("D_vessel_m", [1]Calc!$C:$C, 0)) - $E364 + $B364)</f>
        <v>1.9112508231881167</v>
      </c>
      <c r="J364" s="3">
        <f>IF($F364="","", INDEX([1]Calc!$E:$E, MATCH("D_vessel_m", [1]Calc!$C:$C, 0)) - $F364 + $B364)</f>
        <v>1.9112508231881167</v>
      </c>
      <c r="K364" s="2" t="str">
        <f t="shared" si="17"/>
        <v>Even Keel</v>
      </c>
    </row>
    <row r="365" spans="1:11" x14ac:dyDescent="0.6">
      <c r="A365" s="2" t="str">
        <f>IF('December_Tide_2025 (2)'!A365="","",'December_Tide_2025 (2)'!A365)</f>
        <v>2025-12-16 03:00:00</v>
      </c>
      <c r="B365" s="3">
        <f>IF('December_Tide_2025 (2)'!B365="","",'December_Tide_2025 (2)'!B365)</f>
        <v>2.65</v>
      </c>
      <c r="C365" s="3">
        <f>IF($A365="","", INDEX([1]Calc!$E:$E, MATCH("KminusZ_m", [1]Calc!$C:$C, 0)) + $B365 - INDEX([1]Calc!$E:$E, MATCH("L_ramp_m", [1]Calc!$C:$C, 0)) * TAN(RADIANS(INDEX([1]Calc!$E:$E, MATCH("theta_max_deg", [1]Calc!$C:$C, 0)))))</f>
        <v>4.3887491768118831</v>
      </c>
      <c r="D365" s="3"/>
      <c r="E365" s="3">
        <f t="shared" si="15"/>
        <v>4.3887491768118831</v>
      </c>
      <c r="F365" s="3">
        <f t="shared" si="16"/>
        <v>4.3887491768118831</v>
      </c>
      <c r="G365" s="3">
        <f>IF($E365="","", DEGREES(ATAN((INDEX([1]Calc!$E:$E, MATCH("KminusZ_m", [1]Calc!$C:$C, 0)) - $E365 + $B365) / INDEX([1]Calc!$E:$E, MATCH("L_ramp_m", [1]Calc!$C:$C, 0)))))</f>
        <v>5.9999999999999964</v>
      </c>
      <c r="H365" s="2" t="str">
        <f>IF($E365="","", IF(AND($E365&gt;=INDEX([1]Calc!$E:$E, MATCH("min_fwd_draft_m", [1]Calc!$C:$C, 0)), $E365&lt;=INDEX([1]Calc!$E:$E, MATCH("max_fwd_draft_m", [1]Calc!$C:$C, 0)), $G365&lt;=INDEX([1]Calc!$E:$E, MATCH("theta_max_deg", [1]Calc!$C:$C, 0))), "OK", "CHECK"))</f>
        <v>CHECK</v>
      </c>
      <c r="I365" s="3">
        <f>IF($E365="","", INDEX([1]Calc!$E:$E, MATCH("D_vessel_m", [1]Calc!$C:$C, 0)) - $E365 + $B365)</f>
        <v>1.9112508231881167</v>
      </c>
      <c r="J365" s="3">
        <f>IF($F365="","", INDEX([1]Calc!$E:$E, MATCH("D_vessel_m", [1]Calc!$C:$C, 0)) - $F365 + $B365)</f>
        <v>1.9112508231881167</v>
      </c>
      <c r="K365" s="2" t="str">
        <f t="shared" si="17"/>
        <v>Even Keel</v>
      </c>
    </row>
    <row r="366" spans="1:11" x14ac:dyDescent="0.6">
      <c r="A366" s="2" t="str">
        <f>IF('December_Tide_2025 (2)'!A366="","",'December_Tide_2025 (2)'!A366)</f>
        <v>2025-12-16 04:00:00</v>
      </c>
      <c r="B366" s="3">
        <f>IF('December_Tide_2025 (2)'!B366="","",'December_Tide_2025 (2)'!B366)</f>
        <v>2.35</v>
      </c>
      <c r="C366" s="3">
        <f>IF($A366="","", INDEX([1]Calc!$E:$E, MATCH("KminusZ_m", [1]Calc!$C:$C, 0)) + $B366 - INDEX([1]Calc!$E:$E, MATCH("L_ramp_m", [1]Calc!$C:$C, 0)) * TAN(RADIANS(INDEX([1]Calc!$E:$E, MATCH("theta_max_deg", [1]Calc!$C:$C, 0)))))</f>
        <v>4.0887491768118824</v>
      </c>
      <c r="D366" s="3"/>
      <c r="E366" s="3">
        <f t="shared" si="15"/>
        <v>4.0887491768118824</v>
      </c>
      <c r="F366" s="3">
        <f t="shared" si="16"/>
        <v>4.0887491768118824</v>
      </c>
      <c r="G366" s="3">
        <f>IF($E366="","", DEGREES(ATAN((INDEX([1]Calc!$E:$E, MATCH("KminusZ_m", [1]Calc!$C:$C, 0)) - $E366 + $B366) / INDEX([1]Calc!$E:$E, MATCH("L_ramp_m", [1]Calc!$C:$C, 0)))))</f>
        <v>6.0000000000000009</v>
      </c>
      <c r="H366" s="2" t="str">
        <f>IF($E366="","", IF(AND($E366&gt;=INDEX([1]Calc!$E:$E, MATCH("min_fwd_draft_m", [1]Calc!$C:$C, 0)), $E366&lt;=INDEX([1]Calc!$E:$E, MATCH("max_fwd_draft_m", [1]Calc!$C:$C, 0)), $G366&lt;=INDEX([1]Calc!$E:$E, MATCH("theta_max_deg", [1]Calc!$C:$C, 0))), "OK", "CHECK"))</f>
        <v>CHECK</v>
      </c>
      <c r="I366" s="3">
        <f>IF($E366="","", INDEX([1]Calc!$E:$E, MATCH("D_vessel_m", [1]Calc!$C:$C, 0)) - $E366 + $B366)</f>
        <v>1.9112508231881176</v>
      </c>
      <c r="J366" s="3">
        <f>IF($F366="","", INDEX([1]Calc!$E:$E, MATCH("D_vessel_m", [1]Calc!$C:$C, 0)) - $F366 + $B366)</f>
        <v>1.9112508231881176</v>
      </c>
      <c r="K366" s="2" t="str">
        <f t="shared" si="17"/>
        <v>Even Keel</v>
      </c>
    </row>
    <row r="367" spans="1:11" x14ac:dyDescent="0.6">
      <c r="A367" s="2" t="str">
        <f>IF('December_Tide_2025 (2)'!A367="","",'December_Tide_2025 (2)'!A367)</f>
        <v>2025-12-16 05:00:00</v>
      </c>
      <c r="B367" s="3">
        <f>IF('December_Tide_2025 (2)'!B367="","",'December_Tide_2025 (2)'!B367)</f>
        <v>1.92</v>
      </c>
      <c r="C367" s="3">
        <f>IF($A367="","", INDEX([1]Calc!$E:$E, MATCH("KminusZ_m", [1]Calc!$C:$C, 0)) + $B367 - INDEX([1]Calc!$E:$E, MATCH("L_ramp_m", [1]Calc!$C:$C, 0)) * TAN(RADIANS(INDEX([1]Calc!$E:$E, MATCH("theta_max_deg", [1]Calc!$C:$C, 0)))))</f>
        <v>3.6587491768118823</v>
      </c>
      <c r="D367" s="3"/>
      <c r="E367" s="3">
        <f t="shared" si="15"/>
        <v>3.6587491768118823</v>
      </c>
      <c r="F367" s="3">
        <f t="shared" si="16"/>
        <v>3.6587491768118823</v>
      </c>
      <c r="G367" s="3">
        <f>IF($E367="","", DEGREES(ATAN((INDEX([1]Calc!$E:$E, MATCH("KminusZ_m", [1]Calc!$C:$C, 0)) - $E367 + $B367) / INDEX([1]Calc!$E:$E, MATCH("L_ramp_m", [1]Calc!$C:$C, 0)))))</f>
        <v>6.0000000000000009</v>
      </c>
      <c r="H367" s="2" t="str">
        <f>IF($E367="","", IF(AND($E367&gt;=INDEX([1]Calc!$E:$E, MATCH("min_fwd_draft_m", [1]Calc!$C:$C, 0)), $E367&lt;=INDEX([1]Calc!$E:$E, MATCH("max_fwd_draft_m", [1]Calc!$C:$C, 0)), $G367&lt;=INDEX([1]Calc!$E:$E, MATCH("theta_max_deg", [1]Calc!$C:$C, 0))), "OK", "CHECK"))</f>
        <v>CHECK</v>
      </c>
      <c r="I367" s="3">
        <f>IF($E367="","", INDEX([1]Calc!$E:$E, MATCH("D_vessel_m", [1]Calc!$C:$C, 0)) - $E367 + $B367)</f>
        <v>1.9112508231881176</v>
      </c>
      <c r="J367" s="3">
        <f>IF($F367="","", INDEX([1]Calc!$E:$E, MATCH("D_vessel_m", [1]Calc!$C:$C, 0)) - $F367 + $B367)</f>
        <v>1.9112508231881176</v>
      </c>
      <c r="K367" s="2" t="str">
        <f t="shared" si="17"/>
        <v>Even Keel</v>
      </c>
    </row>
    <row r="368" spans="1:11" x14ac:dyDescent="0.6">
      <c r="A368" s="2" t="str">
        <f>IF('December_Tide_2025 (2)'!A368="","",'December_Tide_2025 (2)'!A368)</f>
        <v>2025-12-16 06:00:00</v>
      </c>
      <c r="B368" s="3">
        <f>IF('December_Tide_2025 (2)'!B368="","",'December_Tide_2025 (2)'!B368)</f>
        <v>1.45</v>
      </c>
      <c r="C368" s="3">
        <f>IF($A368="","", INDEX([1]Calc!$E:$E, MATCH("KminusZ_m", [1]Calc!$C:$C, 0)) + $B368 - INDEX([1]Calc!$E:$E, MATCH("L_ramp_m", [1]Calc!$C:$C, 0)) * TAN(RADIANS(INDEX([1]Calc!$E:$E, MATCH("theta_max_deg", [1]Calc!$C:$C, 0)))))</f>
        <v>3.1887491768118825</v>
      </c>
      <c r="D368" s="3"/>
      <c r="E368" s="3">
        <f t="shared" si="15"/>
        <v>3.1887491768118825</v>
      </c>
      <c r="F368" s="3">
        <f t="shared" si="16"/>
        <v>3.1887491768118825</v>
      </c>
      <c r="G368" s="3">
        <f>IF($E368="","", DEGREES(ATAN((INDEX([1]Calc!$E:$E, MATCH("KminusZ_m", [1]Calc!$C:$C, 0)) - $E368 + $B368) / INDEX([1]Calc!$E:$E, MATCH("L_ramp_m", [1]Calc!$C:$C, 0)))))</f>
        <v>6</v>
      </c>
      <c r="H368" s="2" t="str">
        <f>IF($E368="","", IF(AND($E368&gt;=INDEX([1]Calc!$E:$E, MATCH("min_fwd_draft_m", [1]Calc!$C:$C, 0)), $E368&lt;=INDEX([1]Calc!$E:$E, MATCH("max_fwd_draft_m", [1]Calc!$C:$C, 0)), $G368&lt;=INDEX([1]Calc!$E:$E, MATCH("theta_max_deg", [1]Calc!$C:$C, 0))), "OK", "CHECK"))</f>
        <v>OK</v>
      </c>
      <c r="I368" s="3">
        <f>IF($E368="","", INDEX([1]Calc!$E:$E, MATCH("D_vessel_m", [1]Calc!$C:$C, 0)) - $E368 + $B368)</f>
        <v>1.9112508231881173</v>
      </c>
      <c r="J368" s="3">
        <f>IF($F368="","", INDEX([1]Calc!$E:$E, MATCH("D_vessel_m", [1]Calc!$C:$C, 0)) - $F368 + $B368)</f>
        <v>1.9112508231881173</v>
      </c>
      <c r="K368" s="2" t="str">
        <f t="shared" si="17"/>
        <v>Even Keel</v>
      </c>
    </row>
    <row r="369" spans="1:11" x14ac:dyDescent="0.6">
      <c r="A369" s="2" t="str">
        <f>IF('December_Tide_2025 (2)'!A369="","",'December_Tide_2025 (2)'!A369)</f>
        <v>2025-12-16 07:00:00</v>
      </c>
      <c r="B369" s="3">
        <f>IF('December_Tide_2025 (2)'!B369="","",'December_Tide_2025 (2)'!B369)</f>
        <v>1.07</v>
      </c>
      <c r="C369" s="3">
        <f>IF($A369="","", INDEX([1]Calc!$E:$E, MATCH("KminusZ_m", [1]Calc!$C:$C, 0)) + $B369 - INDEX([1]Calc!$E:$E, MATCH("L_ramp_m", [1]Calc!$C:$C, 0)) * TAN(RADIANS(INDEX([1]Calc!$E:$E, MATCH("theta_max_deg", [1]Calc!$C:$C, 0)))))</f>
        <v>2.8087491768118826</v>
      </c>
      <c r="D369" s="3"/>
      <c r="E369" s="3">
        <f t="shared" si="15"/>
        <v>2.8087491768118826</v>
      </c>
      <c r="F369" s="3">
        <f t="shared" si="16"/>
        <v>2.8087491768118826</v>
      </c>
      <c r="G369" s="3">
        <f>IF($E369="","", DEGREES(ATAN((INDEX([1]Calc!$E:$E, MATCH("KminusZ_m", [1]Calc!$C:$C, 0)) - $E369 + $B369) / INDEX([1]Calc!$E:$E, MATCH("L_ramp_m", [1]Calc!$C:$C, 0)))))</f>
        <v>6</v>
      </c>
      <c r="H369" s="2" t="str">
        <f>IF($E369="","", IF(AND($E369&gt;=INDEX([1]Calc!$E:$E, MATCH("min_fwd_draft_m", [1]Calc!$C:$C, 0)), $E369&lt;=INDEX([1]Calc!$E:$E, MATCH("max_fwd_draft_m", [1]Calc!$C:$C, 0)), $G369&lt;=INDEX([1]Calc!$E:$E, MATCH("theta_max_deg", [1]Calc!$C:$C, 0))), "OK", "CHECK"))</f>
        <v>OK</v>
      </c>
      <c r="I369" s="3">
        <f>IF($E369="","", INDEX([1]Calc!$E:$E, MATCH("D_vessel_m", [1]Calc!$C:$C, 0)) - $E369 + $B369)</f>
        <v>1.9112508231881173</v>
      </c>
      <c r="J369" s="3">
        <f>IF($F369="","", INDEX([1]Calc!$E:$E, MATCH("D_vessel_m", [1]Calc!$C:$C, 0)) - $F369 + $B369)</f>
        <v>1.9112508231881173</v>
      </c>
      <c r="K369" s="2" t="str">
        <f t="shared" si="17"/>
        <v>Even Keel</v>
      </c>
    </row>
    <row r="370" spans="1:11" x14ac:dyDescent="0.6">
      <c r="A370" s="2" t="str">
        <f>IF('December_Tide_2025 (2)'!A370="","",'December_Tide_2025 (2)'!A370)</f>
        <v>2025-12-16 08:00:00</v>
      </c>
      <c r="B370" s="3">
        <f>IF('December_Tide_2025 (2)'!B370="","",'December_Tide_2025 (2)'!B370)</f>
        <v>0.88</v>
      </c>
      <c r="C370" s="3">
        <f>IF($A370="","", INDEX([1]Calc!$E:$E, MATCH("KminusZ_m", [1]Calc!$C:$C, 0)) + $B370 - INDEX([1]Calc!$E:$E, MATCH("L_ramp_m", [1]Calc!$C:$C, 0)) * TAN(RADIANS(INDEX([1]Calc!$E:$E, MATCH("theta_max_deg", [1]Calc!$C:$C, 0)))))</f>
        <v>2.6187491768118822</v>
      </c>
      <c r="D370" s="3"/>
      <c r="E370" s="3">
        <f t="shared" si="15"/>
        <v>2.6187491768118822</v>
      </c>
      <c r="F370" s="3">
        <f t="shared" si="16"/>
        <v>2.6187491768118822</v>
      </c>
      <c r="G370" s="3">
        <f>IF($E370="","", DEGREES(ATAN((INDEX([1]Calc!$E:$E, MATCH("KminusZ_m", [1]Calc!$C:$C, 0)) - $E370 + $B370) / INDEX([1]Calc!$E:$E, MATCH("L_ramp_m", [1]Calc!$C:$C, 0)))))</f>
        <v>6.0000000000000009</v>
      </c>
      <c r="H370" s="2" t="str">
        <f>IF($E370="","", IF(AND($E370&gt;=INDEX([1]Calc!$E:$E, MATCH("min_fwd_draft_m", [1]Calc!$C:$C, 0)), $E370&lt;=INDEX([1]Calc!$E:$E, MATCH("max_fwd_draft_m", [1]Calc!$C:$C, 0)), $G370&lt;=INDEX([1]Calc!$E:$E, MATCH("theta_max_deg", [1]Calc!$C:$C, 0))), "OK", "CHECK"))</f>
        <v>OK</v>
      </c>
      <c r="I370" s="3">
        <f>IF($E370="","", INDEX([1]Calc!$E:$E, MATCH("D_vessel_m", [1]Calc!$C:$C, 0)) - $E370 + $B370)</f>
        <v>1.9112508231881176</v>
      </c>
      <c r="J370" s="3">
        <f>IF($F370="","", INDEX([1]Calc!$E:$E, MATCH("D_vessel_m", [1]Calc!$C:$C, 0)) - $F370 + $B370)</f>
        <v>1.9112508231881176</v>
      </c>
      <c r="K370" s="2" t="str">
        <f t="shared" si="17"/>
        <v>Even Keel</v>
      </c>
    </row>
    <row r="371" spans="1:11" x14ac:dyDescent="0.6">
      <c r="A371" s="2" t="str">
        <f>IF('December_Tide_2025 (2)'!A371="","",'December_Tide_2025 (2)'!A371)</f>
        <v>2025-12-16 09:00:00</v>
      </c>
      <c r="B371" s="3">
        <f>IF('December_Tide_2025 (2)'!B371="","",'December_Tide_2025 (2)'!B371)</f>
        <v>0.91</v>
      </c>
      <c r="C371" s="3">
        <f>IF($A371="","", INDEX([1]Calc!$E:$E, MATCH("KminusZ_m", [1]Calc!$C:$C, 0)) + $B371 - INDEX([1]Calc!$E:$E, MATCH("L_ramp_m", [1]Calc!$C:$C, 0)) * TAN(RADIANS(INDEX([1]Calc!$E:$E, MATCH("theta_max_deg", [1]Calc!$C:$C, 0)))))</f>
        <v>2.6487491768118825</v>
      </c>
      <c r="D371" s="3"/>
      <c r="E371" s="3">
        <f t="shared" si="15"/>
        <v>2.6487491768118825</v>
      </c>
      <c r="F371" s="3">
        <f t="shared" si="16"/>
        <v>2.6487491768118825</v>
      </c>
      <c r="G371" s="3">
        <f>IF($E371="","", DEGREES(ATAN((INDEX([1]Calc!$E:$E, MATCH("KminusZ_m", [1]Calc!$C:$C, 0)) - $E371 + $B371) / INDEX([1]Calc!$E:$E, MATCH("L_ramp_m", [1]Calc!$C:$C, 0)))))</f>
        <v>6.0000000000000009</v>
      </c>
      <c r="H371" s="2" t="str">
        <f>IF($E371="","", IF(AND($E371&gt;=INDEX([1]Calc!$E:$E, MATCH("min_fwd_draft_m", [1]Calc!$C:$C, 0)), $E371&lt;=INDEX([1]Calc!$E:$E, MATCH("max_fwd_draft_m", [1]Calc!$C:$C, 0)), $G371&lt;=INDEX([1]Calc!$E:$E, MATCH("theta_max_deg", [1]Calc!$C:$C, 0))), "OK", "CHECK"))</f>
        <v>OK</v>
      </c>
      <c r="I371" s="3">
        <f>IF($E371="","", INDEX([1]Calc!$E:$E, MATCH("D_vessel_m", [1]Calc!$C:$C, 0)) - $E371 + $B371)</f>
        <v>1.9112508231881176</v>
      </c>
      <c r="J371" s="3">
        <f>IF($F371="","", INDEX([1]Calc!$E:$E, MATCH("D_vessel_m", [1]Calc!$C:$C, 0)) - $F371 + $B371)</f>
        <v>1.9112508231881176</v>
      </c>
      <c r="K371" s="2" t="str">
        <f t="shared" si="17"/>
        <v>Even Keel</v>
      </c>
    </row>
    <row r="372" spans="1:11" x14ac:dyDescent="0.6">
      <c r="A372" s="2" t="str">
        <f>IF('December_Tide_2025 (2)'!A372="","",'December_Tide_2025 (2)'!A372)</f>
        <v>2025-12-16 10:00:00</v>
      </c>
      <c r="B372" s="3">
        <f>IF('December_Tide_2025 (2)'!B372="","",'December_Tide_2025 (2)'!B372)</f>
        <v>1.17</v>
      </c>
      <c r="C372" s="3">
        <f>IF($A372="","", INDEX([1]Calc!$E:$E, MATCH("KminusZ_m", [1]Calc!$C:$C, 0)) + $B372 - INDEX([1]Calc!$E:$E, MATCH("L_ramp_m", [1]Calc!$C:$C, 0)) * TAN(RADIANS(INDEX([1]Calc!$E:$E, MATCH("theta_max_deg", [1]Calc!$C:$C, 0)))))</f>
        <v>2.9087491768118823</v>
      </c>
      <c r="D372" s="3"/>
      <c r="E372" s="3">
        <f t="shared" si="15"/>
        <v>2.9087491768118823</v>
      </c>
      <c r="F372" s="3">
        <f t="shared" si="16"/>
        <v>2.9087491768118823</v>
      </c>
      <c r="G372" s="3">
        <f>IF($E372="","", DEGREES(ATAN((INDEX([1]Calc!$E:$E, MATCH("KminusZ_m", [1]Calc!$C:$C, 0)) - $E372 + $B372) / INDEX([1]Calc!$E:$E, MATCH("L_ramp_m", [1]Calc!$C:$C, 0)))))</f>
        <v>6.0000000000000009</v>
      </c>
      <c r="H372" s="2" t="str">
        <f>IF($E372="","", IF(AND($E372&gt;=INDEX([1]Calc!$E:$E, MATCH("min_fwd_draft_m", [1]Calc!$C:$C, 0)), $E372&lt;=INDEX([1]Calc!$E:$E, MATCH("max_fwd_draft_m", [1]Calc!$C:$C, 0)), $G372&lt;=INDEX([1]Calc!$E:$E, MATCH("theta_max_deg", [1]Calc!$C:$C, 0))), "OK", "CHECK"))</f>
        <v>OK</v>
      </c>
      <c r="I372" s="3">
        <f>IF($E372="","", INDEX([1]Calc!$E:$E, MATCH("D_vessel_m", [1]Calc!$C:$C, 0)) - $E372 + $B372)</f>
        <v>1.9112508231881176</v>
      </c>
      <c r="J372" s="3">
        <f>IF($F372="","", INDEX([1]Calc!$E:$E, MATCH("D_vessel_m", [1]Calc!$C:$C, 0)) - $F372 + $B372)</f>
        <v>1.9112508231881176</v>
      </c>
      <c r="K372" s="2" t="str">
        <f t="shared" si="17"/>
        <v>Even Keel</v>
      </c>
    </row>
    <row r="373" spans="1:11" x14ac:dyDescent="0.6">
      <c r="A373" s="2" t="str">
        <f>IF('December_Tide_2025 (2)'!A373="","",'December_Tide_2025 (2)'!A373)</f>
        <v>2025-12-16 11:00:00</v>
      </c>
      <c r="B373" s="3">
        <f>IF('December_Tide_2025 (2)'!B373="","",'December_Tide_2025 (2)'!B373)</f>
        <v>1.59</v>
      </c>
      <c r="C373" s="3">
        <f>IF($A373="","", INDEX([1]Calc!$E:$E, MATCH("KminusZ_m", [1]Calc!$C:$C, 0)) + $B373 - INDEX([1]Calc!$E:$E, MATCH("L_ramp_m", [1]Calc!$C:$C, 0)) * TAN(RADIANS(INDEX([1]Calc!$E:$E, MATCH("theta_max_deg", [1]Calc!$C:$C, 0)))))</f>
        <v>3.3287491768118822</v>
      </c>
      <c r="D373" s="3"/>
      <c r="E373" s="3">
        <f t="shared" si="15"/>
        <v>3.3287491768118822</v>
      </c>
      <c r="F373" s="3">
        <f t="shared" si="16"/>
        <v>3.3287491768118822</v>
      </c>
      <c r="G373" s="3">
        <f>IF($E373="","", DEGREES(ATAN((INDEX([1]Calc!$E:$E, MATCH("KminusZ_m", [1]Calc!$C:$C, 0)) - $E373 + $B373) / INDEX([1]Calc!$E:$E, MATCH("L_ramp_m", [1]Calc!$C:$C, 0)))))</f>
        <v>6.0000000000000009</v>
      </c>
      <c r="H373" s="2" t="str">
        <f>IF($E373="","", IF(AND($E373&gt;=INDEX([1]Calc!$E:$E, MATCH("min_fwd_draft_m", [1]Calc!$C:$C, 0)), $E373&lt;=INDEX([1]Calc!$E:$E, MATCH("max_fwd_draft_m", [1]Calc!$C:$C, 0)), $G373&lt;=INDEX([1]Calc!$E:$E, MATCH("theta_max_deg", [1]Calc!$C:$C, 0))), "OK", "CHECK"))</f>
        <v>OK</v>
      </c>
      <c r="I373" s="3">
        <f>IF($E373="","", INDEX([1]Calc!$E:$E, MATCH("D_vessel_m", [1]Calc!$C:$C, 0)) - $E373 + $B373)</f>
        <v>1.9112508231881178</v>
      </c>
      <c r="J373" s="3">
        <f>IF($F373="","", INDEX([1]Calc!$E:$E, MATCH("D_vessel_m", [1]Calc!$C:$C, 0)) - $F373 + $B373)</f>
        <v>1.9112508231881178</v>
      </c>
      <c r="K373" s="2" t="str">
        <f t="shared" si="17"/>
        <v>Even Keel</v>
      </c>
    </row>
    <row r="374" spans="1:11" x14ac:dyDescent="0.6">
      <c r="A374" s="2" t="str">
        <f>IF('December_Tide_2025 (2)'!A374="","",'December_Tide_2025 (2)'!A374)</f>
        <v>2025-12-16 12:00:00</v>
      </c>
      <c r="B374" s="3">
        <f>IF('December_Tide_2025 (2)'!B374="","",'December_Tide_2025 (2)'!B374)</f>
        <v>2.06</v>
      </c>
      <c r="C374" s="3">
        <f>IF($A374="","", INDEX([1]Calc!$E:$E, MATCH("KminusZ_m", [1]Calc!$C:$C, 0)) + $B374 - INDEX([1]Calc!$E:$E, MATCH("L_ramp_m", [1]Calc!$C:$C, 0)) * TAN(RADIANS(INDEX([1]Calc!$E:$E, MATCH("theta_max_deg", [1]Calc!$C:$C, 0)))))</f>
        <v>3.7987491768118828</v>
      </c>
      <c r="D374" s="3"/>
      <c r="E374" s="3">
        <f t="shared" si="15"/>
        <v>3.7987491768118828</v>
      </c>
      <c r="F374" s="3">
        <f t="shared" si="16"/>
        <v>3.7987491768118828</v>
      </c>
      <c r="G374" s="3">
        <f>IF($E374="","", DEGREES(ATAN((INDEX([1]Calc!$E:$E, MATCH("KminusZ_m", [1]Calc!$C:$C, 0)) - $E374 + $B374) / INDEX([1]Calc!$E:$E, MATCH("L_ramp_m", [1]Calc!$C:$C, 0)))))</f>
        <v>5.9999999999999982</v>
      </c>
      <c r="H374" s="2" t="str">
        <f>IF($E374="","", IF(AND($E374&gt;=INDEX([1]Calc!$E:$E, MATCH("min_fwd_draft_m", [1]Calc!$C:$C, 0)), $E374&lt;=INDEX([1]Calc!$E:$E, MATCH("max_fwd_draft_m", [1]Calc!$C:$C, 0)), $G374&lt;=INDEX([1]Calc!$E:$E, MATCH("theta_max_deg", [1]Calc!$C:$C, 0))), "OK", "CHECK"))</f>
        <v>CHECK</v>
      </c>
      <c r="I374" s="3">
        <f>IF($E374="","", INDEX([1]Calc!$E:$E, MATCH("D_vessel_m", [1]Calc!$C:$C, 0)) - $E374 + $B374)</f>
        <v>1.9112508231881171</v>
      </c>
      <c r="J374" s="3">
        <f>IF($F374="","", INDEX([1]Calc!$E:$E, MATCH("D_vessel_m", [1]Calc!$C:$C, 0)) - $F374 + $B374)</f>
        <v>1.9112508231881171</v>
      </c>
      <c r="K374" s="2" t="str">
        <f t="shared" si="17"/>
        <v>Even Keel</v>
      </c>
    </row>
    <row r="375" spans="1:11" x14ac:dyDescent="0.6">
      <c r="A375" s="2" t="str">
        <f>IF('December_Tide_2025 (2)'!A375="","",'December_Tide_2025 (2)'!A375)</f>
        <v>2025-12-16 13:00:00</v>
      </c>
      <c r="B375" s="3">
        <f>IF('December_Tide_2025 (2)'!B375="","",'December_Tide_2025 (2)'!B375)</f>
        <v>2.46</v>
      </c>
      <c r="C375" s="3">
        <f>IF($A375="","", INDEX([1]Calc!$E:$E, MATCH("KminusZ_m", [1]Calc!$C:$C, 0)) + $B375 - INDEX([1]Calc!$E:$E, MATCH("L_ramp_m", [1]Calc!$C:$C, 0)) * TAN(RADIANS(INDEX([1]Calc!$E:$E, MATCH("theta_max_deg", [1]Calc!$C:$C, 0)))))</f>
        <v>4.1987491768118819</v>
      </c>
      <c r="D375" s="3"/>
      <c r="E375" s="3">
        <f t="shared" si="15"/>
        <v>4.1987491768118819</v>
      </c>
      <c r="F375" s="3">
        <f t="shared" si="16"/>
        <v>4.1987491768118819</v>
      </c>
      <c r="G375" s="3">
        <f>IF($E375="","", DEGREES(ATAN((INDEX([1]Calc!$E:$E, MATCH("KminusZ_m", [1]Calc!$C:$C, 0)) - $E375 + $B375) / INDEX([1]Calc!$E:$E, MATCH("L_ramp_m", [1]Calc!$C:$C, 0)))))</f>
        <v>6.0000000000000027</v>
      </c>
      <c r="H375" s="2" t="str">
        <f>IF($E375="","", IF(AND($E375&gt;=INDEX([1]Calc!$E:$E, MATCH("min_fwd_draft_m", [1]Calc!$C:$C, 0)), $E375&lt;=INDEX([1]Calc!$E:$E, MATCH("max_fwd_draft_m", [1]Calc!$C:$C, 0)), $G375&lt;=INDEX([1]Calc!$E:$E, MATCH("theta_max_deg", [1]Calc!$C:$C, 0))), "OK", "CHECK"))</f>
        <v>CHECK</v>
      </c>
      <c r="I375" s="3">
        <f>IF($E375="","", INDEX([1]Calc!$E:$E, MATCH("D_vessel_m", [1]Calc!$C:$C, 0)) - $E375 + $B375)</f>
        <v>1.911250823188118</v>
      </c>
      <c r="J375" s="3">
        <f>IF($F375="","", INDEX([1]Calc!$E:$E, MATCH("D_vessel_m", [1]Calc!$C:$C, 0)) - $F375 + $B375)</f>
        <v>1.911250823188118</v>
      </c>
      <c r="K375" s="2" t="str">
        <f t="shared" si="17"/>
        <v>Even Keel</v>
      </c>
    </row>
    <row r="376" spans="1:11" x14ac:dyDescent="0.6">
      <c r="A376" s="2" t="str">
        <f>IF('December_Tide_2025 (2)'!A376="","",'December_Tide_2025 (2)'!A376)</f>
        <v>2025-12-16 14:00:00</v>
      </c>
      <c r="B376" s="3">
        <f>IF('December_Tide_2025 (2)'!B376="","",'December_Tide_2025 (2)'!B376)</f>
        <v>2.7</v>
      </c>
      <c r="C376" s="3">
        <f>IF($A376="","", INDEX([1]Calc!$E:$E, MATCH("KminusZ_m", [1]Calc!$C:$C, 0)) + $B376 - INDEX([1]Calc!$E:$E, MATCH("L_ramp_m", [1]Calc!$C:$C, 0)) * TAN(RADIANS(INDEX([1]Calc!$E:$E, MATCH("theta_max_deg", [1]Calc!$C:$C, 0)))))</f>
        <v>4.4387491768118821</v>
      </c>
      <c r="D376" s="3"/>
      <c r="E376" s="3">
        <f t="shared" si="15"/>
        <v>4.4387491768118821</v>
      </c>
      <c r="F376" s="3">
        <f t="shared" si="16"/>
        <v>4.4387491768118821</v>
      </c>
      <c r="G376" s="3">
        <f>IF($E376="","", DEGREES(ATAN((INDEX([1]Calc!$E:$E, MATCH("KminusZ_m", [1]Calc!$C:$C, 0)) - $E376 + $B376) / INDEX([1]Calc!$E:$E, MATCH("L_ramp_m", [1]Calc!$C:$C, 0)))))</f>
        <v>6.0000000000000027</v>
      </c>
      <c r="H376" s="2" t="str">
        <f>IF($E376="","", IF(AND($E376&gt;=INDEX([1]Calc!$E:$E, MATCH("min_fwd_draft_m", [1]Calc!$C:$C, 0)), $E376&lt;=INDEX([1]Calc!$E:$E, MATCH("max_fwd_draft_m", [1]Calc!$C:$C, 0)), $G376&lt;=INDEX([1]Calc!$E:$E, MATCH("theta_max_deg", [1]Calc!$C:$C, 0))), "OK", "CHECK"))</f>
        <v>CHECK</v>
      </c>
      <c r="I376" s="3">
        <f>IF($E376="","", INDEX([1]Calc!$E:$E, MATCH("D_vessel_m", [1]Calc!$C:$C, 0)) - $E376 + $B376)</f>
        <v>1.911250823188118</v>
      </c>
      <c r="J376" s="3">
        <f>IF($F376="","", INDEX([1]Calc!$E:$E, MATCH("D_vessel_m", [1]Calc!$C:$C, 0)) - $F376 + $B376)</f>
        <v>1.911250823188118</v>
      </c>
      <c r="K376" s="2" t="str">
        <f t="shared" si="17"/>
        <v>Even Keel</v>
      </c>
    </row>
    <row r="377" spans="1:11" x14ac:dyDescent="0.6">
      <c r="A377" s="2" t="str">
        <f>IF('December_Tide_2025 (2)'!A377="","",'December_Tide_2025 (2)'!A377)</f>
        <v>2025-12-16 15:00:00</v>
      </c>
      <c r="B377" s="3">
        <f>IF('December_Tide_2025 (2)'!B377="","",'December_Tide_2025 (2)'!B377)</f>
        <v>2.71</v>
      </c>
      <c r="C377" s="3">
        <f>IF($A377="","", INDEX([1]Calc!$E:$E, MATCH("KminusZ_m", [1]Calc!$C:$C, 0)) + $B377 - INDEX([1]Calc!$E:$E, MATCH("L_ramp_m", [1]Calc!$C:$C, 0)) * TAN(RADIANS(INDEX([1]Calc!$E:$E, MATCH("theta_max_deg", [1]Calc!$C:$C, 0)))))</f>
        <v>4.4487491768118819</v>
      </c>
      <c r="D377" s="3"/>
      <c r="E377" s="3">
        <f t="shared" si="15"/>
        <v>4.4487491768118819</v>
      </c>
      <c r="F377" s="3">
        <f t="shared" si="16"/>
        <v>4.4487491768118819</v>
      </c>
      <c r="G377" s="3">
        <f>IF($E377="","", DEGREES(ATAN((INDEX([1]Calc!$E:$E, MATCH("KminusZ_m", [1]Calc!$C:$C, 0)) - $E377 + $B377) / INDEX([1]Calc!$E:$E, MATCH("L_ramp_m", [1]Calc!$C:$C, 0)))))</f>
        <v>6.0000000000000027</v>
      </c>
      <c r="H377" s="2" t="str">
        <f>IF($E377="","", IF(AND($E377&gt;=INDEX([1]Calc!$E:$E, MATCH("min_fwd_draft_m", [1]Calc!$C:$C, 0)), $E377&lt;=INDEX([1]Calc!$E:$E, MATCH("max_fwd_draft_m", [1]Calc!$C:$C, 0)), $G377&lt;=INDEX([1]Calc!$E:$E, MATCH("theta_max_deg", [1]Calc!$C:$C, 0))), "OK", "CHECK"))</f>
        <v>CHECK</v>
      </c>
      <c r="I377" s="3">
        <f>IF($E377="","", INDEX([1]Calc!$E:$E, MATCH("D_vessel_m", [1]Calc!$C:$C, 0)) - $E377 + $B377)</f>
        <v>1.911250823188118</v>
      </c>
      <c r="J377" s="3">
        <f>IF($F377="","", INDEX([1]Calc!$E:$E, MATCH("D_vessel_m", [1]Calc!$C:$C, 0)) - $F377 + $B377)</f>
        <v>1.911250823188118</v>
      </c>
      <c r="K377" s="2" t="str">
        <f t="shared" si="17"/>
        <v>Even Keel</v>
      </c>
    </row>
    <row r="378" spans="1:11" x14ac:dyDescent="0.6">
      <c r="A378" s="2" t="str">
        <f>IF('December_Tide_2025 (2)'!A378="","",'December_Tide_2025 (2)'!A378)</f>
        <v>2025-12-16 16:00:00</v>
      </c>
      <c r="B378" s="3">
        <f>IF('December_Tide_2025 (2)'!B378="","",'December_Tide_2025 (2)'!B378)</f>
        <v>2.4900000000000002</v>
      </c>
      <c r="C378" s="3">
        <f>IF($A378="","", INDEX([1]Calc!$E:$E, MATCH("KminusZ_m", [1]Calc!$C:$C, 0)) + $B378 - INDEX([1]Calc!$E:$E, MATCH("L_ramp_m", [1]Calc!$C:$C, 0)) * TAN(RADIANS(INDEX([1]Calc!$E:$E, MATCH("theta_max_deg", [1]Calc!$C:$C, 0)))))</f>
        <v>4.228749176811883</v>
      </c>
      <c r="D378" s="3"/>
      <c r="E378" s="3">
        <f t="shared" si="15"/>
        <v>4.228749176811883</v>
      </c>
      <c r="F378" s="3">
        <f t="shared" si="16"/>
        <v>4.228749176811883</v>
      </c>
      <c r="G378" s="3">
        <f>IF($E378="","", DEGREES(ATAN((INDEX([1]Calc!$E:$E, MATCH("KminusZ_m", [1]Calc!$C:$C, 0)) - $E378 + $B378) / INDEX([1]Calc!$E:$E, MATCH("L_ramp_m", [1]Calc!$C:$C, 0)))))</f>
        <v>5.9999999999999982</v>
      </c>
      <c r="H378" s="2" t="str">
        <f>IF($E378="","", IF(AND($E378&gt;=INDEX([1]Calc!$E:$E, MATCH("min_fwd_draft_m", [1]Calc!$C:$C, 0)), $E378&lt;=INDEX([1]Calc!$E:$E, MATCH("max_fwd_draft_m", [1]Calc!$C:$C, 0)), $G378&lt;=INDEX([1]Calc!$E:$E, MATCH("theta_max_deg", [1]Calc!$C:$C, 0))), "OK", "CHECK"))</f>
        <v>CHECK</v>
      </c>
      <c r="I378" s="3">
        <f>IF($E378="","", INDEX([1]Calc!$E:$E, MATCH("D_vessel_m", [1]Calc!$C:$C, 0)) - $E378 + $B378)</f>
        <v>1.9112508231881171</v>
      </c>
      <c r="J378" s="3">
        <f>IF($F378="","", INDEX([1]Calc!$E:$E, MATCH("D_vessel_m", [1]Calc!$C:$C, 0)) - $F378 + $B378)</f>
        <v>1.9112508231881171</v>
      </c>
      <c r="K378" s="2" t="str">
        <f t="shared" si="17"/>
        <v>Even Keel</v>
      </c>
    </row>
    <row r="379" spans="1:11" x14ac:dyDescent="0.6">
      <c r="A379" s="2" t="str">
        <f>IF('December_Tide_2025 (2)'!A379="","",'December_Tide_2025 (2)'!A379)</f>
        <v>2025-12-16 17:00:00</v>
      </c>
      <c r="B379" s="3">
        <f>IF('December_Tide_2025 (2)'!B379="","",'December_Tide_2025 (2)'!B379)</f>
        <v>2.1</v>
      </c>
      <c r="C379" s="3">
        <f>IF($A379="","", INDEX([1]Calc!$E:$E, MATCH("KminusZ_m", [1]Calc!$C:$C, 0)) + $B379 - INDEX([1]Calc!$E:$E, MATCH("L_ramp_m", [1]Calc!$C:$C, 0)) * TAN(RADIANS(INDEX([1]Calc!$E:$E, MATCH("theta_max_deg", [1]Calc!$C:$C, 0)))))</f>
        <v>3.838749176811882</v>
      </c>
      <c r="D379" s="3"/>
      <c r="E379" s="3">
        <f t="shared" si="15"/>
        <v>3.838749176811882</v>
      </c>
      <c r="F379" s="3">
        <f t="shared" si="16"/>
        <v>3.838749176811882</v>
      </c>
      <c r="G379" s="3">
        <f>IF($E379="","", DEGREES(ATAN((INDEX([1]Calc!$E:$E, MATCH("KminusZ_m", [1]Calc!$C:$C, 0)) - $E379 + $B379) / INDEX([1]Calc!$E:$E, MATCH("L_ramp_m", [1]Calc!$C:$C, 0)))))</f>
        <v>6.0000000000000027</v>
      </c>
      <c r="H379" s="2" t="str">
        <f>IF($E379="","", IF(AND($E379&gt;=INDEX([1]Calc!$E:$E, MATCH("min_fwd_draft_m", [1]Calc!$C:$C, 0)), $E379&lt;=INDEX([1]Calc!$E:$E, MATCH("max_fwd_draft_m", [1]Calc!$C:$C, 0)), $G379&lt;=INDEX([1]Calc!$E:$E, MATCH("theta_max_deg", [1]Calc!$C:$C, 0))), "OK", "CHECK"))</f>
        <v>CHECK</v>
      </c>
      <c r="I379" s="3">
        <f>IF($E379="","", INDEX([1]Calc!$E:$E, MATCH("D_vessel_m", [1]Calc!$C:$C, 0)) - $E379 + $B379)</f>
        <v>1.911250823188118</v>
      </c>
      <c r="J379" s="3">
        <f>IF($F379="","", INDEX([1]Calc!$E:$E, MATCH("D_vessel_m", [1]Calc!$C:$C, 0)) - $F379 + $B379)</f>
        <v>1.911250823188118</v>
      </c>
      <c r="K379" s="2" t="str">
        <f t="shared" si="17"/>
        <v>Even Keel</v>
      </c>
    </row>
    <row r="380" spans="1:11" x14ac:dyDescent="0.6">
      <c r="A380" s="2" t="str">
        <f>IF('December_Tide_2025 (2)'!A380="","",'December_Tide_2025 (2)'!A380)</f>
        <v>2025-12-16 18:00:00</v>
      </c>
      <c r="B380" s="3">
        <f>IF('December_Tide_2025 (2)'!B380="","",'December_Tide_2025 (2)'!B380)</f>
        <v>1.63</v>
      </c>
      <c r="C380" s="3">
        <f>IF($A380="","", INDEX([1]Calc!$E:$E, MATCH("KminusZ_m", [1]Calc!$C:$C, 0)) + $B380 - INDEX([1]Calc!$E:$E, MATCH("L_ramp_m", [1]Calc!$C:$C, 0)) * TAN(RADIANS(INDEX([1]Calc!$E:$E, MATCH("theta_max_deg", [1]Calc!$C:$C, 0)))))</f>
        <v>3.3687491768118822</v>
      </c>
      <c r="D380" s="3"/>
      <c r="E380" s="3">
        <f t="shared" si="15"/>
        <v>3.3687491768118822</v>
      </c>
      <c r="F380" s="3">
        <f t="shared" si="16"/>
        <v>3.3687491768118822</v>
      </c>
      <c r="G380" s="3">
        <f>IF($E380="","", DEGREES(ATAN((INDEX([1]Calc!$E:$E, MATCH("KminusZ_m", [1]Calc!$C:$C, 0)) - $E380 + $B380) / INDEX([1]Calc!$E:$E, MATCH("L_ramp_m", [1]Calc!$C:$C, 0)))))</f>
        <v>6.0000000000000009</v>
      </c>
      <c r="H380" s="2" t="str">
        <f>IF($E380="","", IF(AND($E380&gt;=INDEX([1]Calc!$E:$E, MATCH("min_fwd_draft_m", [1]Calc!$C:$C, 0)), $E380&lt;=INDEX([1]Calc!$E:$E, MATCH("max_fwd_draft_m", [1]Calc!$C:$C, 0)), $G380&lt;=INDEX([1]Calc!$E:$E, MATCH("theta_max_deg", [1]Calc!$C:$C, 0))), "OK", "CHECK"))</f>
        <v>OK</v>
      </c>
      <c r="I380" s="3">
        <f>IF($E380="","", INDEX([1]Calc!$E:$E, MATCH("D_vessel_m", [1]Calc!$C:$C, 0)) - $E380 + $B380)</f>
        <v>1.9112508231881176</v>
      </c>
      <c r="J380" s="3">
        <f>IF($F380="","", INDEX([1]Calc!$E:$E, MATCH("D_vessel_m", [1]Calc!$C:$C, 0)) - $F380 + $B380)</f>
        <v>1.9112508231881176</v>
      </c>
      <c r="K380" s="2" t="str">
        <f t="shared" si="17"/>
        <v>Even Keel</v>
      </c>
    </row>
    <row r="381" spans="1:11" x14ac:dyDescent="0.6">
      <c r="A381" s="2" t="str">
        <f>IF('December_Tide_2025 (2)'!A381="","",'December_Tide_2025 (2)'!A381)</f>
        <v>2025-12-16 19:00:00</v>
      </c>
      <c r="B381" s="3">
        <f>IF('December_Tide_2025 (2)'!B381="","",'December_Tide_2025 (2)'!B381)</f>
        <v>1.21</v>
      </c>
      <c r="C381" s="3">
        <f>IF($A381="","", INDEX([1]Calc!$E:$E, MATCH("KminusZ_m", [1]Calc!$C:$C, 0)) + $B381 - INDEX([1]Calc!$E:$E, MATCH("L_ramp_m", [1]Calc!$C:$C, 0)) * TAN(RADIANS(INDEX([1]Calc!$E:$E, MATCH("theta_max_deg", [1]Calc!$C:$C, 0)))))</f>
        <v>2.9487491768118823</v>
      </c>
      <c r="D381" s="3"/>
      <c r="E381" s="3">
        <f t="shared" si="15"/>
        <v>2.9487491768118823</v>
      </c>
      <c r="F381" s="3">
        <f t="shared" si="16"/>
        <v>2.9487491768118823</v>
      </c>
      <c r="G381" s="3">
        <f>IF($E381="","", DEGREES(ATAN((INDEX([1]Calc!$E:$E, MATCH("KminusZ_m", [1]Calc!$C:$C, 0)) - $E381 + $B381) / INDEX([1]Calc!$E:$E, MATCH("L_ramp_m", [1]Calc!$C:$C, 0)))))</f>
        <v>6.0000000000000009</v>
      </c>
      <c r="H381" s="2" t="str">
        <f>IF($E381="","", IF(AND($E381&gt;=INDEX([1]Calc!$E:$E, MATCH("min_fwd_draft_m", [1]Calc!$C:$C, 0)), $E381&lt;=INDEX([1]Calc!$E:$E, MATCH("max_fwd_draft_m", [1]Calc!$C:$C, 0)), $G381&lt;=INDEX([1]Calc!$E:$E, MATCH("theta_max_deg", [1]Calc!$C:$C, 0))), "OK", "CHECK"))</f>
        <v>OK</v>
      </c>
      <c r="I381" s="3">
        <f>IF($E381="","", INDEX([1]Calc!$E:$E, MATCH("D_vessel_m", [1]Calc!$C:$C, 0)) - $E381 + $B381)</f>
        <v>1.9112508231881176</v>
      </c>
      <c r="J381" s="3">
        <f>IF($F381="","", INDEX([1]Calc!$E:$E, MATCH("D_vessel_m", [1]Calc!$C:$C, 0)) - $F381 + $B381)</f>
        <v>1.9112508231881176</v>
      </c>
      <c r="K381" s="2" t="str">
        <f t="shared" si="17"/>
        <v>Even Keel</v>
      </c>
    </row>
    <row r="382" spans="1:11" x14ac:dyDescent="0.6">
      <c r="A382" s="2" t="str">
        <f>IF('December_Tide_2025 (2)'!A382="","",'December_Tide_2025 (2)'!A382)</f>
        <v>2025-12-16 20:00:00</v>
      </c>
      <c r="B382" s="3">
        <f>IF('December_Tide_2025 (2)'!B382="","",'December_Tide_2025 (2)'!B382)</f>
        <v>0.93</v>
      </c>
      <c r="C382" s="3">
        <f>IF($A382="","", INDEX([1]Calc!$E:$E, MATCH("KminusZ_m", [1]Calc!$C:$C, 0)) + $B382 - INDEX([1]Calc!$E:$E, MATCH("L_ramp_m", [1]Calc!$C:$C, 0)) * TAN(RADIANS(INDEX([1]Calc!$E:$E, MATCH("theta_max_deg", [1]Calc!$C:$C, 0)))))</f>
        <v>2.6687491768118825</v>
      </c>
      <c r="D382" s="3"/>
      <c r="E382" s="3">
        <f t="shared" si="15"/>
        <v>2.6687491768118825</v>
      </c>
      <c r="F382" s="3">
        <f t="shared" si="16"/>
        <v>2.6687491768118825</v>
      </c>
      <c r="G382" s="3">
        <f>IF($E382="","", DEGREES(ATAN((INDEX([1]Calc!$E:$E, MATCH("KminusZ_m", [1]Calc!$C:$C, 0)) - $E382 + $B382) / INDEX([1]Calc!$E:$E, MATCH("L_ramp_m", [1]Calc!$C:$C, 0)))))</f>
        <v>6.0000000000000009</v>
      </c>
      <c r="H382" s="2" t="str">
        <f>IF($E382="","", IF(AND($E382&gt;=INDEX([1]Calc!$E:$E, MATCH("min_fwd_draft_m", [1]Calc!$C:$C, 0)), $E382&lt;=INDEX([1]Calc!$E:$E, MATCH("max_fwd_draft_m", [1]Calc!$C:$C, 0)), $G382&lt;=INDEX([1]Calc!$E:$E, MATCH("theta_max_deg", [1]Calc!$C:$C, 0))), "OK", "CHECK"))</f>
        <v>OK</v>
      </c>
      <c r="I382" s="3">
        <f>IF($E382="","", INDEX([1]Calc!$E:$E, MATCH("D_vessel_m", [1]Calc!$C:$C, 0)) - $E382 + $B382)</f>
        <v>1.9112508231881176</v>
      </c>
      <c r="J382" s="3">
        <f>IF($F382="","", INDEX([1]Calc!$E:$E, MATCH("D_vessel_m", [1]Calc!$C:$C, 0)) - $F382 + $B382)</f>
        <v>1.9112508231881176</v>
      </c>
      <c r="K382" s="2" t="str">
        <f t="shared" si="17"/>
        <v>Even Keel</v>
      </c>
    </row>
    <row r="383" spans="1:11" x14ac:dyDescent="0.6">
      <c r="A383" s="2" t="str">
        <f>IF('December_Tide_2025 (2)'!A383="","",'December_Tide_2025 (2)'!A383)</f>
        <v>2025-12-16 21:00:00</v>
      </c>
      <c r="B383" s="3">
        <f>IF('December_Tide_2025 (2)'!B383="","",'December_Tide_2025 (2)'!B383)</f>
        <v>0.87</v>
      </c>
      <c r="C383" s="3">
        <f>IF($A383="","", INDEX([1]Calc!$E:$E, MATCH("KminusZ_m", [1]Calc!$C:$C, 0)) + $B383 - INDEX([1]Calc!$E:$E, MATCH("L_ramp_m", [1]Calc!$C:$C, 0)) * TAN(RADIANS(INDEX([1]Calc!$E:$E, MATCH("theta_max_deg", [1]Calc!$C:$C, 0)))))</f>
        <v>2.6087491768118825</v>
      </c>
      <c r="D383" s="3"/>
      <c r="E383" s="3">
        <f t="shared" si="15"/>
        <v>2.6087491768118825</v>
      </c>
      <c r="F383" s="3">
        <f t="shared" si="16"/>
        <v>2.6087491768118825</v>
      </c>
      <c r="G383" s="3">
        <f>IF($E383="","", DEGREES(ATAN((INDEX([1]Calc!$E:$E, MATCH("KminusZ_m", [1]Calc!$C:$C, 0)) - $E383 + $B383) / INDEX([1]Calc!$E:$E, MATCH("L_ramp_m", [1]Calc!$C:$C, 0)))))</f>
        <v>6.0000000000000009</v>
      </c>
      <c r="H383" s="2" t="str">
        <f>IF($E383="","", IF(AND($E383&gt;=INDEX([1]Calc!$E:$E, MATCH("min_fwd_draft_m", [1]Calc!$C:$C, 0)), $E383&lt;=INDEX([1]Calc!$E:$E, MATCH("max_fwd_draft_m", [1]Calc!$C:$C, 0)), $G383&lt;=INDEX([1]Calc!$E:$E, MATCH("theta_max_deg", [1]Calc!$C:$C, 0))), "OK", "CHECK"))</f>
        <v>OK</v>
      </c>
      <c r="I383" s="3">
        <f>IF($E383="","", INDEX([1]Calc!$E:$E, MATCH("D_vessel_m", [1]Calc!$C:$C, 0)) - $E383 + $B383)</f>
        <v>1.9112508231881176</v>
      </c>
      <c r="J383" s="3">
        <f>IF($F383="","", INDEX([1]Calc!$E:$E, MATCH("D_vessel_m", [1]Calc!$C:$C, 0)) - $F383 + $B383)</f>
        <v>1.9112508231881176</v>
      </c>
      <c r="K383" s="2" t="str">
        <f t="shared" si="17"/>
        <v>Even Keel</v>
      </c>
    </row>
    <row r="384" spans="1:11" x14ac:dyDescent="0.6">
      <c r="A384" s="2" t="str">
        <f>IF('December_Tide_2025 (2)'!A384="","",'December_Tide_2025 (2)'!A384)</f>
        <v>2025-12-16 22:00:00</v>
      </c>
      <c r="B384" s="3">
        <f>IF('December_Tide_2025 (2)'!B384="","",'December_Tide_2025 (2)'!B384)</f>
        <v>1.05</v>
      </c>
      <c r="C384" s="3">
        <f>IF($A384="","", INDEX([1]Calc!$E:$E, MATCH("KminusZ_m", [1]Calc!$C:$C, 0)) + $B384 - INDEX([1]Calc!$E:$E, MATCH("L_ramp_m", [1]Calc!$C:$C, 0)) * TAN(RADIANS(INDEX([1]Calc!$E:$E, MATCH("theta_max_deg", [1]Calc!$C:$C, 0)))))</f>
        <v>2.7887491768118822</v>
      </c>
      <c r="D384" s="3"/>
      <c r="E384" s="3">
        <f t="shared" si="15"/>
        <v>2.7887491768118822</v>
      </c>
      <c r="F384" s="3">
        <f t="shared" si="16"/>
        <v>2.7887491768118822</v>
      </c>
      <c r="G384" s="3">
        <f>IF($E384="","", DEGREES(ATAN((INDEX([1]Calc!$E:$E, MATCH("KminusZ_m", [1]Calc!$C:$C, 0)) - $E384 + $B384) / INDEX([1]Calc!$E:$E, MATCH("L_ramp_m", [1]Calc!$C:$C, 0)))))</f>
        <v>6.0000000000000009</v>
      </c>
      <c r="H384" s="2" t="str">
        <f>IF($E384="","", IF(AND($E384&gt;=INDEX([1]Calc!$E:$E, MATCH("min_fwd_draft_m", [1]Calc!$C:$C, 0)), $E384&lt;=INDEX([1]Calc!$E:$E, MATCH("max_fwd_draft_m", [1]Calc!$C:$C, 0)), $G384&lt;=INDEX([1]Calc!$E:$E, MATCH("theta_max_deg", [1]Calc!$C:$C, 0))), "OK", "CHECK"))</f>
        <v>OK</v>
      </c>
      <c r="I384" s="3">
        <f>IF($E384="","", INDEX([1]Calc!$E:$E, MATCH("D_vessel_m", [1]Calc!$C:$C, 0)) - $E384 + $B384)</f>
        <v>1.9112508231881178</v>
      </c>
      <c r="J384" s="3">
        <f>IF($F384="","", INDEX([1]Calc!$E:$E, MATCH("D_vessel_m", [1]Calc!$C:$C, 0)) - $F384 + $B384)</f>
        <v>1.9112508231881178</v>
      </c>
      <c r="K384" s="2" t="str">
        <f t="shared" si="17"/>
        <v>Even Keel</v>
      </c>
    </row>
    <row r="385" spans="1:11" x14ac:dyDescent="0.6">
      <c r="A385" s="2" t="str">
        <f>IF('December_Tide_2025 (2)'!A385="","",'December_Tide_2025 (2)'!A385)</f>
        <v>2025-12-16 23:00:00</v>
      </c>
      <c r="B385" s="3">
        <f>IF('December_Tide_2025 (2)'!B385="","",'December_Tide_2025 (2)'!B385)</f>
        <v>1.41</v>
      </c>
      <c r="C385" s="3">
        <f>IF($A385="","", INDEX([1]Calc!$E:$E, MATCH("KminusZ_m", [1]Calc!$C:$C, 0)) + $B385 - INDEX([1]Calc!$E:$E, MATCH("L_ramp_m", [1]Calc!$C:$C, 0)) * TAN(RADIANS(INDEX([1]Calc!$E:$E, MATCH("theta_max_deg", [1]Calc!$C:$C, 0)))))</f>
        <v>3.1487491768118825</v>
      </c>
      <c r="D385" s="3"/>
      <c r="E385" s="3">
        <f t="shared" si="15"/>
        <v>3.1487491768118825</v>
      </c>
      <c r="F385" s="3">
        <f t="shared" si="16"/>
        <v>3.1487491768118825</v>
      </c>
      <c r="G385" s="3">
        <f>IF($E385="","", DEGREES(ATAN((INDEX([1]Calc!$E:$E, MATCH("KminusZ_m", [1]Calc!$C:$C, 0)) - $E385 + $B385) / INDEX([1]Calc!$E:$E, MATCH("L_ramp_m", [1]Calc!$C:$C, 0)))))</f>
        <v>6</v>
      </c>
      <c r="H385" s="2" t="str">
        <f>IF($E385="","", IF(AND($E385&gt;=INDEX([1]Calc!$E:$E, MATCH("min_fwd_draft_m", [1]Calc!$C:$C, 0)), $E385&lt;=INDEX([1]Calc!$E:$E, MATCH("max_fwd_draft_m", [1]Calc!$C:$C, 0)), $G385&lt;=INDEX([1]Calc!$E:$E, MATCH("theta_max_deg", [1]Calc!$C:$C, 0))), "OK", "CHECK"))</f>
        <v>OK</v>
      </c>
      <c r="I385" s="3">
        <f>IF($E385="","", INDEX([1]Calc!$E:$E, MATCH("D_vessel_m", [1]Calc!$C:$C, 0)) - $E385 + $B385)</f>
        <v>1.9112508231881173</v>
      </c>
      <c r="J385" s="3">
        <f>IF($F385="","", INDEX([1]Calc!$E:$E, MATCH("D_vessel_m", [1]Calc!$C:$C, 0)) - $F385 + $B385)</f>
        <v>1.9112508231881173</v>
      </c>
      <c r="K385" s="2" t="str">
        <f t="shared" si="17"/>
        <v>Even Keel</v>
      </c>
    </row>
    <row r="386" spans="1:11" x14ac:dyDescent="0.6">
      <c r="A386" s="2" t="str">
        <f>IF('December_Tide_2025 (2)'!A386="","",'December_Tide_2025 (2)'!A386)</f>
        <v>2025-12-17 00:00:00</v>
      </c>
      <c r="B386" s="3">
        <f>IF('December_Tide_2025 (2)'!B386="","",'December_Tide_2025 (2)'!B386)</f>
        <v>1.87</v>
      </c>
      <c r="C386" s="3">
        <f>IF($A386="","", INDEX([1]Calc!$E:$E, MATCH("KminusZ_m", [1]Calc!$C:$C, 0)) + $B386 - INDEX([1]Calc!$E:$E, MATCH("L_ramp_m", [1]Calc!$C:$C, 0)) * TAN(RADIANS(INDEX([1]Calc!$E:$E, MATCH("theta_max_deg", [1]Calc!$C:$C, 0)))))</f>
        <v>3.6087491768118825</v>
      </c>
      <c r="D386" s="3"/>
      <c r="E386" s="3">
        <f t="shared" ref="E386:E449" si="18">IF($C386="","", IF($D386="", $C386, $C386 - $D386/2))</f>
        <v>3.6087491768118825</v>
      </c>
      <c r="F386" s="3">
        <f t="shared" ref="F386:F449" si="19">IF($C386="","", IF($D386="", $C386, $C386 + $D386/2))</f>
        <v>3.6087491768118825</v>
      </c>
      <c r="G386" s="3">
        <f>IF($E386="","", DEGREES(ATAN((INDEX([1]Calc!$E:$E, MATCH("KminusZ_m", [1]Calc!$C:$C, 0)) - $E386 + $B386) / INDEX([1]Calc!$E:$E, MATCH("L_ramp_m", [1]Calc!$C:$C, 0)))))</f>
        <v>6.0000000000000009</v>
      </c>
      <c r="H386" s="2" t="str">
        <f>IF($E386="","", IF(AND($E386&gt;=INDEX([1]Calc!$E:$E, MATCH("min_fwd_draft_m", [1]Calc!$C:$C, 0)), $E386&lt;=INDEX([1]Calc!$E:$E, MATCH("max_fwd_draft_m", [1]Calc!$C:$C, 0)), $G386&lt;=INDEX([1]Calc!$E:$E, MATCH("theta_max_deg", [1]Calc!$C:$C, 0))), "OK", "CHECK"))</f>
        <v>CHECK</v>
      </c>
      <c r="I386" s="3">
        <f>IF($E386="","", INDEX([1]Calc!$E:$E, MATCH("D_vessel_m", [1]Calc!$C:$C, 0)) - $E386 + $B386)</f>
        <v>1.9112508231881176</v>
      </c>
      <c r="J386" s="3">
        <f>IF($F386="","", INDEX([1]Calc!$E:$E, MATCH("D_vessel_m", [1]Calc!$C:$C, 0)) - $F386 + $B386)</f>
        <v>1.9112508231881176</v>
      </c>
      <c r="K386" s="2" t="str">
        <f t="shared" ref="K386:K449" si="20">IF(D386=0, "Even Keel", "")</f>
        <v>Even Keel</v>
      </c>
    </row>
    <row r="387" spans="1:11" x14ac:dyDescent="0.6">
      <c r="A387" s="2" t="str">
        <f>IF('December_Tide_2025 (2)'!A387="","",'December_Tide_2025 (2)'!A387)</f>
        <v>2025-12-17 01:00:00</v>
      </c>
      <c r="B387" s="3">
        <f>IF('December_Tide_2025 (2)'!B387="","",'December_Tide_2025 (2)'!B387)</f>
        <v>2.3199999999999998</v>
      </c>
      <c r="C387" s="3">
        <f>IF($A387="","", INDEX([1]Calc!$E:$E, MATCH("KminusZ_m", [1]Calc!$C:$C, 0)) + $B387 - INDEX([1]Calc!$E:$E, MATCH("L_ramp_m", [1]Calc!$C:$C, 0)) * TAN(RADIANS(INDEX([1]Calc!$E:$E, MATCH("theta_max_deg", [1]Calc!$C:$C, 0)))))</f>
        <v>4.0587491768118831</v>
      </c>
      <c r="D387" s="3"/>
      <c r="E387" s="3">
        <f t="shared" si="18"/>
        <v>4.0587491768118831</v>
      </c>
      <c r="F387" s="3">
        <f t="shared" si="19"/>
        <v>4.0587491768118831</v>
      </c>
      <c r="G387" s="3">
        <f>IF($E387="","", DEGREES(ATAN((INDEX([1]Calc!$E:$E, MATCH("KminusZ_m", [1]Calc!$C:$C, 0)) - $E387 + $B387) / INDEX([1]Calc!$E:$E, MATCH("L_ramp_m", [1]Calc!$C:$C, 0)))))</f>
        <v>5.9999999999999964</v>
      </c>
      <c r="H387" s="2" t="str">
        <f>IF($E387="","", IF(AND($E387&gt;=INDEX([1]Calc!$E:$E, MATCH("min_fwd_draft_m", [1]Calc!$C:$C, 0)), $E387&lt;=INDEX([1]Calc!$E:$E, MATCH("max_fwd_draft_m", [1]Calc!$C:$C, 0)), $G387&lt;=INDEX([1]Calc!$E:$E, MATCH("theta_max_deg", [1]Calc!$C:$C, 0))), "OK", "CHECK"))</f>
        <v>CHECK</v>
      </c>
      <c r="I387" s="3">
        <f>IF($E387="","", INDEX([1]Calc!$E:$E, MATCH("D_vessel_m", [1]Calc!$C:$C, 0)) - $E387 + $B387)</f>
        <v>1.9112508231881167</v>
      </c>
      <c r="J387" s="3">
        <f>IF($F387="","", INDEX([1]Calc!$E:$E, MATCH("D_vessel_m", [1]Calc!$C:$C, 0)) - $F387 + $B387)</f>
        <v>1.9112508231881167</v>
      </c>
      <c r="K387" s="2" t="str">
        <f t="shared" si="20"/>
        <v>Even Keel</v>
      </c>
    </row>
    <row r="388" spans="1:11" x14ac:dyDescent="0.6">
      <c r="A388" s="2" t="str">
        <f>IF('December_Tide_2025 (2)'!A388="","",'December_Tide_2025 (2)'!A388)</f>
        <v>2025-12-17 02:00:00</v>
      </c>
      <c r="B388" s="3">
        <f>IF('December_Tide_2025 (2)'!B388="","",'December_Tide_2025 (2)'!B388)</f>
        <v>2.63</v>
      </c>
      <c r="C388" s="3">
        <f>IF($A388="","", INDEX([1]Calc!$E:$E, MATCH("KminusZ_m", [1]Calc!$C:$C, 0)) + $B388 - INDEX([1]Calc!$E:$E, MATCH("L_ramp_m", [1]Calc!$C:$C, 0)) * TAN(RADIANS(INDEX([1]Calc!$E:$E, MATCH("theta_max_deg", [1]Calc!$C:$C, 0)))))</f>
        <v>4.3687491768118818</v>
      </c>
      <c r="D388" s="3"/>
      <c r="E388" s="3">
        <f t="shared" si="18"/>
        <v>4.3687491768118818</v>
      </c>
      <c r="F388" s="3">
        <f t="shared" si="19"/>
        <v>4.3687491768118818</v>
      </c>
      <c r="G388" s="3">
        <f>IF($E388="","", DEGREES(ATAN((INDEX([1]Calc!$E:$E, MATCH("KminusZ_m", [1]Calc!$C:$C, 0)) - $E388 + $B388) / INDEX([1]Calc!$E:$E, MATCH("L_ramp_m", [1]Calc!$C:$C, 0)))))</f>
        <v>6.0000000000000027</v>
      </c>
      <c r="H388" s="2" t="str">
        <f>IF($E388="","", IF(AND($E388&gt;=INDEX([1]Calc!$E:$E, MATCH("min_fwd_draft_m", [1]Calc!$C:$C, 0)), $E388&lt;=INDEX([1]Calc!$E:$E, MATCH("max_fwd_draft_m", [1]Calc!$C:$C, 0)), $G388&lt;=INDEX([1]Calc!$E:$E, MATCH("theta_max_deg", [1]Calc!$C:$C, 0))), "OK", "CHECK"))</f>
        <v>CHECK</v>
      </c>
      <c r="I388" s="3">
        <f>IF($E388="","", INDEX([1]Calc!$E:$E, MATCH("D_vessel_m", [1]Calc!$C:$C, 0)) - $E388 + $B388)</f>
        <v>1.911250823188118</v>
      </c>
      <c r="J388" s="3">
        <f>IF($F388="","", INDEX([1]Calc!$E:$E, MATCH("D_vessel_m", [1]Calc!$C:$C, 0)) - $F388 + $B388)</f>
        <v>1.911250823188118</v>
      </c>
      <c r="K388" s="2" t="str">
        <f t="shared" si="20"/>
        <v>Even Keel</v>
      </c>
    </row>
    <row r="389" spans="1:11" x14ac:dyDescent="0.6">
      <c r="A389" s="2" t="str">
        <f>IF('December_Tide_2025 (2)'!A389="","",'December_Tide_2025 (2)'!A389)</f>
        <v>2025-12-17 03:00:00</v>
      </c>
      <c r="B389" s="3">
        <f>IF('December_Tide_2025 (2)'!B389="","",'December_Tide_2025 (2)'!B389)</f>
        <v>2.74</v>
      </c>
      <c r="C389" s="3">
        <f>IF($A389="","", INDEX([1]Calc!$E:$E, MATCH("KminusZ_m", [1]Calc!$C:$C, 0)) + $B389 - INDEX([1]Calc!$E:$E, MATCH("L_ramp_m", [1]Calc!$C:$C, 0)) * TAN(RADIANS(INDEX([1]Calc!$E:$E, MATCH("theta_max_deg", [1]Calc!$C:$C, 0)))))</f>
        <v>4.478749176811883</v>
      </c>
      <c r="D389" s="3"/>
      <c r="E389" s="3">
        <f t="shared" si="18"/>
        <v>4.478749176811883</v>
      </c>
      <c r="F389" s="3">
        <f t="shared" si="19"/>
        <v>4.478749176811883</v>
      </c>
      <c r="G389" s="3">
        <f>IF($E389="","", DEGREES(ATAN((INDEX([1]Calc!$E:$E, MATCH("KminusZ_m", [1]Calc!$C:$C, 0)) - $E389 + $B389) / INDEX([1]Calc!$E:$E, MATCH("L_ramp_m", [1]Calc!$C:$C, 0)))))</f>
        <v>5.9999999999999982</v>
      </c>
      <c r="H389" s="2" t="str">
        <f>IF($E389="","", IF(AND($E389&gt;=INDEX([1]Calc!$E:$E, MATCH("min_fwd_draft_m", [1]Calc!$C:$C, 0)), $E389&lt;=INDEX([1]Calc!$E:$E, MATCH("max_fwd_draft_m", [1]Calc!$C:$C, 0)), $G389&lt;=INDEX([1]Calc!$E:$E, MATCH("theta_max_deg", [1]Calc!$C:$C, 0))), "OK", "CHECK"))</f>
        <v>CHECK</v>
      </c>
      <c r="I389" s="3">
        <f>IF($E389="","", INDEX([1]Calc!$E:$E, MATCH("D_vessel_m", [1]Calc!$C:$C, 0)) - $E389 + $B389)</f>
        <v>1.9112508231881171</v>
      </c>
      <c r="J389" s="3">
        <f>IF($F389="","", INDEX([1]Calc!$E:$E, MATCH("D_vessel_m", [1]Calc!$C:$C, 0)) - $F389 + $B389)</f>
        <v>1.9112508231881171</v>
      </c>
      <c r="K389" s="2" t="str">
        <f t="shared" si="20"/>
        <v>Even Keel</v>
      </c>
    </row>
    <row r="390" spans="1:11" x14ac:dyDescent="0.6">
      <c r="A390" s="2" t="str">
        <f>IF('December_Tide_2025 (2)'!A390="","",'December_Tide_2025 (2)'!A390)</f>
        <v>2025-12-17 04:00:00</v>
      </c>
      <c r="B390" s="3">
        <f>IF('December_Tide_2025 (2)'!B390="","",'December_Tide_2025 (2)'!B390)</f>
        <v>2.61</v>
      </c>
      <c r="C390" s="3">
        <f>IF($A390="","", INDEX([1]Calc!$E:$E, MATCH("KminusZ_m", [1]Calc!$C:$C, 0)) + $B390 - INDEX([1]Calc!$E:$E, MATCH("L_ramp_m", [1]Calc!$C:$C, 0)) * TAN(RADIANS(INDEX([1]Calc!$E:$E, MATCH("theta_max_deg", [1]Calc!$C:$C, 0)))))</f>
        <v>4.3487491768118822</v>
      </c>
      <c r="D390" s="3"/>
      <c r="E390" s="3">
        <f t="shared" si="18"/>
        <v>4.3487491768118822</v>
      </c>
      <c r="F390" s="3">
        <f t="shared" si="19"/>
        <v>4.3487491768118822</v>
      </c>
      <c r="G390" s="3">
        <f>IF($E390="","", DEGREES(ATAN((INDEX([1]Calc!$E:$E, MATCH("KminusZ_m", [1]Calc!$C:$C, 0)) - $E390 + $B390) / INDEX([1]Calc!$E:$E, MATCH("L_ramp_m", [1]Calc!$C:$C, 0)))))</f>
        <v>6.0000000000000009</v>
      </c>
      <c r="H390" s="2" t="str">
        <f>IF($E390="","", IF(AND($E390&gt;=INDEX([1]Calc!$E:$E, MATCH("min_fwd_draft_m", [1]Calc!$C:$C, 0)), $E390&lt;=INDEX([1]Calc!$E:$E, MATCH("max_fwd_draft_m", [1]Calc!$C:$C, 0)), $G390&lt;=INDEX([1]Calc!$E:$E, MATCH("theta_max_deg", [1]Calc!$C:$C, 0))), "OK", "CHECK"))</f>
        <v>CHECK</v>
      </c>
      <c r="I390" s="3">
        <f>IF($E390="","", INDEX([1]Calc!$E:$E, MATCH("D_vessel_m", [1]Calc!$C:$C, 0)) - $E390 + $B390)</f>
        <v>1.9112508231881176</v>
      </c>
      <c r="J390" s="3">
        <f>IF($F390="","", INDEX([1]Calc!$E:$E, MATCH("D_vessel_m", [1]Calc!$C:$C, 0)) - $F390 + $B390)</f>
        <v>1.9112508231881176</v>
      </c>
      <c r="K390" s="2" t="str">
        <f t="shared" si="20"/>
        <v>Even Keel</v>
      </c>
    </row>
    <row r="391" spans="1:11" x14ac:dyDescent="0.6">
      <c r="A391" s="2" t="str">
        <f>IF('December_Tide_2025 (2)'!A391="","",'December_Tide_2025 (2)'!A391)</f>
        <v>2025-12-17 05:00:00</v>
      </c>
      <c r="B391" s="3">
        <f>IF('December_Tide_2025 (2)'!B391="","",'December_Tide_2025 (2)'!B391)</f>
        <v>2.27</v>
      </c>
      <c r="C391" s="3">
        <f>IF($A391="","", INDEX([1]Calc!$E:$E, MATCH("KminusZ_m", [1]Calc!$C:$C, 0)) + $B391 - INDEX([1]Calc!$E:$E, MATCH("L_ramp_m", [1]Calc!$C:$C, 0)) * TAN(RADIANS(INDEX([1]Calc!$E:$E, MATCH("theta_max_deg", [1]Calc!$C:$C, 0)))))</f>
        <v>4.0087491768118824</v>
      </c>
      <c r="D391" s="3"/>
      <c r="E391" s="3">
        <f t="shared" si="18"/>
        <v>4.0087491768118824</v>
      </c>
      <c r="F391" s="3">
        <f t="shared" si="19"/>
        <v>4.0087491768118824</v>
      </c>
      <c r="G391" s="3">
        <f>IF($E391="","", DEGREES(ATAN((INDEX([1]Calc!$E:$E, MATCH("KminusZ_m", [1]Calc!$C:$C, 0)) - $E391 + $B391) / INDEX([1]Calc!$E:$E, MATCH("L_ramp_m", [1]Calc!$C:$C, 0)))))</f>
        <v>6.0000000000000009</v>
      </c>
      <c r="H391" s="2" t="str">
        <f>IF($E391="","", IF(AND($E391&gt;=INDEX([1]Calc!$E:$E, MATCH("min_fwd_draft_m", [1]Calc!$C:$C, 0)), $E391&lt;=INDEX([1]Calc!$E:$E, MATCH("max_fwd_draft_m", [1]Calc!$C:$C, 0)), $G391&lt;=INDEX([1]Calc!$E:$E, MATCH("theta_max_deg", [1]Calc!$C:$C, 0))), "OK", "CHECK"))</f>
        <v>CHECK</v>
      </c>
      <c r="I391" s="3">
        <f>IF($E391="","", INDEX([1]Calc!$E:$E, MATCH("D_vessel_m", [1]Calc!$C:$C, 0)) - $E391 + $B391)</f>
        <v>1.9112508231881176</v>
      </c>
      <c r="J391" s="3">
        <f>IF($F391="","", INDEX([1]Calc!$E:$E, MATCH("D_vessel_m", [1]Calc!$C:$C, 0)) - $F391 + $B391)</f>
        <v>1.9112508231881176</v>
      </c>
      <c r="K391" s="2" t="str">
        <f t="shared" si="20"/>
        <v>Even Keel</v>
      </c>
    </row>
    <row r="392" spans="1:11" x14ac:dyDescent="0.6">
      <c r="A392" s="2" t="str">
        <f>IF('December_Tide_2025 (2)'!A392="","",'December_Tide_2025 (2)'!A392)</f>
        <v>2025-12-17 06:00:00</v>
      </c>
      <c r="B392" s="3">
        <f>IF('December_Tide_2025 (2)'!B392="","",'December_Tide_2025 (2)'!B392)</f>
        <v>1.82</v>
      </c>
      <c r="C392" s="3">
        <f>IF($A392="","", INDEX([1]Calc!$E:$E, MATCH("KminusZ_m", [1]Calc!$C:$C, 0)) + $B392 - INDEX([1]Calc!$E:$E, MATCH("L_ramp_m", [1]Calc!$C:$C, 0)) * TAN(RADIANS(INDEX([1]Calc!$E:$E, MATCH("theta_max_deg", [1]Calc!$C:$C, 0)))))</f>
        <v>3.5587491768118826</v>
      </c>
      <c r="D392" s="3"/>
      <c r="E392" s="3">
        <f t="shared" si="18"/>
        <v>3.5587491768118826</v>
      </c>
      <c r="F392" s="3">
        <f t="shared" si="19"/>
        <v>3.5587491768118826</v>
      </c>
      <c r="G392" s="3">
        <f>IF($E392="","", DEGREES(ATAN((INDEX([1]Calc!$E:$E, MATCH("KminusZ_m", [1]Calc!$C:$C, 0)) - $E392 + $B392) / INDEX([1]Calc!$E:$E, MATCH("L_ramp_m", [1]Calc!$C:$C, 0)))))</f>
        <v>6</v>
      </c>
      <c r="H392" s="2" t="str">
        <f>IF($E392="","", IF(AND($E392&gt;=INDEX([1]Calc!$E:$E, MATCH("min_fwd_draft_m", [1]Calc!$C:$C, 0)), $E392&lt;=INDEX([1]Calc!$E:$E, MATCH("max_fwd_draft_m", [1]Calc!$C:$C, 0)), $G392&lt;=INDEX([1]Calc!$E:$E, MATCH("theta_max_deg", [1]Calc!$C:$C, 0))), "OK", "CHECK"))</f>
        <v>CHECK</v>
      </c>
      <c r="I392" s="3">
        <f>IF($E392="","", INDEX([1]Calc!$E:$E, MATCH("D_vessel_m", [1]Calc!$C:$C, 0)) - $E392 + $B392)</f>
        <v>1.9112508231881173</v>
      </c>
      <c r="J392" s="3">
        <f>IF($F392="","", INDEX([1]Calc!$E:$E, MATCH("D_vessel_m", [1]Calc!$C:$C, 0)) - $F392 + $B392)</f>
        <v>1.9112508231881173</v>
      </c>
      <c r="K392" s="2" t="str">
        <f t="shared" si="20"/>
        <v>Even Keel</v>
      </c>
    </row>
    <row r="393" spans="1:11" x14ac:dyDescent="0.6">
      <c r="A393" s="2" t="str">
        <f>IF('December_Tide_2025 (2)'!A393="","",'December_Tide_2025 (2)'!A393)</f>
        <v>2025-12-17 07:00:00</v>
      </c>
      <c r="B393" s="3">
        <f>IF('December_Tide_2025 (2)'!B393="","",'December_Tide_2025 (2)'!B393)</f>
        <v>1.36</v>
      </c>
      <c r="C393" s="3">
        <f>IF($A393="","", INDEX([1]Calc!$E:$E, MATCH("KminusZ_m", [1]Calc!$C:$C, 0)) + $B393 - INDEX([1]Calc!$E:$E, MATCH("L_ramp_m", [1]Calc!$C:$C, 0)) * TAN(RADIANS(INDEX([1]Calc!$E:$E, MATCH("theta_max_deg", [1]Calc!$C:$C, 0)))))</f>
        <v>3.0987491768118827</v>
      </c>
      <c r="D393" s="3"/>
      <c r="E393" s="3">
        <f t="shared" si="18"/>
        <v>3.0987491768118827</v>
      </c>
      <c r="F393" s="3">
        <f t="shared" si="19"/>
        <v>3.0987491768118827</v>
      </c>
      <c r="G393" s="3">
        <f>IF($E393="","", DEGREES(ATAN((INDEX([1]Calc!$E:$E, MATCH("KminusZ_m", [1]Calc!$C:$C, 0)) - $E393 + $B393) / INDEX([1]Calc!$E:$E, MATCH("L_ramp_m", [1]Calc!$C:$C, 0)))))</f>
        <v>6</v>
      </c>
      <c r="H393" s="2" t="str">
        <f>IF($E393="","", IF(AND($E393&gt;=INDEX([1]Calc!$E:$E, MATCH("min_fwd_draft_m", [1]Calc!$C:$C, 0)), $E393&lt;=INDEX([1]Calc!$E:$E, MATCH("max_fwd_draft_m", [1]Calc!$C:$C, 0)), $G393&lt;=INDEX([1]Calc!$E:$E, MATCH("theta_max_deg", [1]Calc!$C:$C, 0))), "OK", "CHECK"))</f>
        <v>OK</v>
      </c>
      <c r="I393" s="3">
        <f>IF($E393="","", INDEX([1]Calc!$E:$E, MATCH("D_vessel_m", [1]Calc!$C:$C, 0)) - $E393 + $B393)</f>
        <v>1.9112508231881173</v>
      </c>
      <c r="J393" s="3">
        <f>IF($F393="","", INDEX([1]Calc!$E:$E, MATCH("D_vessel_m", [1]Calc!$C:$C, 0)) - $F393 + $B393)</f>
        <v>1.9112508231881173</v>
      </c>
      <c r="K393" s="2" t="str">
        <f t="shared" si="20"/>
        <v>Even Keel</v>
      </c>
    </row>
    <row r="394" spans="1:11" x14ac:dyDescent="0.6">
      <c r="A394" s="2" t="str">
        <f>IF('December_Tide_2025 (2)'!A394="","",'December_Tide_2025 (2)'!A394)</f>
        <v>2025-12-17 08:00:00</v>
      </c>
      <c r="B394" s="3">
        <f>IF('December_Tide_2025 (2)'!B394="","",'December_Tide_2025 (2)'!B394)</f>
        <v>1.02</v>
      </c>
      <c r="C394" s="3">
        <f>IF($A394="","", INDEX([1]Calc!$E:$E, MATCH("KminusZ_m", [1]Calc!$C:$C, 0)) + $B394 - INDEX([1]Calc!$E:$E, MATCH("L_ramp_m", [1]Calc!$C:$C, 0)) * TAN(RADIANS(INDEX([1]Calc!$E:$E, MATCH("theta_max_deg", [1]Calc!$C:$C, 0)))))</f>
        <v>2.7587491768118819</v>
      </c>
      <c r="D394" s="3"/>
      <c r="E394" s="3">
        <f t="shared" si="18"/>
        <v>2.7587491768118819</v>
      </c>
      <c r="F394" s="3">
        <f t="shared" si="19"/>
        <v>2.7587491768118819</v>
      </c>
      <c r="G394" s="3">
        <f>IF($E394="","", DEGREES(ATAN((INDEX([1]Calc!$E:$E, MATCH("KminusZ_m", [1]Calc!$C:$C, 0)) - $E394 + $B394) / INDEX([1]Calc!$E:$E, MATCH("L_ramp_m", [1]Calc!$C:$C, 0)))))</f>
        <v>6.0000000000000027</v>
      </c>
      <c r="H394" s="2" t="str">
        <f>IF($E394="","", IF(AND($E394&gt;=INDEX([1]Calc!$E:$E, MATCH("min_fwd_draft_m", [1]Calc!$C:$C, 0)), $E394&lt;=INDEX([1]Calc!$E:$E, MATCH("max_fwd_draft_m", [1]Calc!$C:$C, 0)), $G394&lt;=INDEX([1]Calc!$E:$E, MATCH("theta_max_deg", [1]Calc!$C:$C, 0))), "OK", "CHECK"))</f>
        <v>OK</v>
      </c>
      <c r="I394" s="3">
        <f>IF($E394="","", INDEX([1]Calc!$E:$E, MATCH("D_vessel_m", [1]Calc!$C:$C, 0)) - $E394 + $B394)</f>
        <v>1.911250823188118</v>
      </c>
      <c r="J394" s="3">
        <f>IF($F394="","", INDEX([1]Calc!$E:$E, MATCH("D_vessel_m", [1]Calc!$C:$C, 0)) - $F394 + $B394)</f>
        <v>1.911250823188118</v>
      </c>
      <c r="K394" s="2" t="str">
        <f t="shared" si="20"/>
        <v>Even Keel</v>
      </c>
    </row>
    <row r="395" spans="1:11" x14ac:dyDescent="0.6">
      <c r="A395" s="2" t="str">
        <f>IF('December_Tide_2025 (2)'!A395="","",'December_Tide_2025 (2)'!A395)</f>
        <v>2025-12-17 09:00:00</v>
      </c>
      <c r="B395" s="3">
        <f>IF('December_Tide_2025 (2)'!B395="","",'December_Tide_2025 (2)'!B395)</f>
        <v>0.87</v>
      </c>
      <c r="C395" s="3">
        <f>IF($A395="","", INDEX([1]Calc!$E:$E, MATCH("KminusZ_m", [1]Calc!$C:$C, 0)) + $B395 - INDEX([1]Calc!$E:$E, MATCH("L_ramp_m", [1]Calc!$C:$C, 0)) * TAN(RADIANS(INDEX([1]Calc!$E:$E, MATCH("theta_max_deg", [1]Calc!$C:$C, 0)))))</f>
        <v>2.6087491768118825</v>
      </c>
      <c r="D395" s="3"/>
      <c r="E395" s="3">
        <f t="shared" si="18"/>
        <v>2.6087491768118825</v>
      </c>
      <c r="F395" s="3">
        <f t="shared" si="19"/>
        <v>2.6087491768118825</v>
      </c>
      <c r="G395" s="3">
        <f>IF($E395="","", DEGREES(ATAN((INDEX([1]Calc!$E:$E, MATCH("KminusZ_m", [1]Calc!$C:$C, 0)) - $E395 + $B395) / INDEX([1]Calc!$E:$E, MATCH("L_ramp_m", [1]Calc!$C:$C, 0)))))</f>
        <v>6.0000000000000009</v>
      </c>
      <c r="H395" s="2" t="str">
        <f>IF($E395="","", IF(AND($E395&gt;=INDEX([1]Calc!$E:$E, MATCH("min_fwd_draft_m", [1]Calc!$C:$C, 0)), $E395&lt;=INDEX([1]Calc!$E:$E, MATCH("max_fwd_draft_m", [1]Calc!$C:$C, 0)), $G395&lt;=INDEX([1]Calc!$E:$E, MATCH("theta_max_deg", [1]Calc!$C:$C, 0))), "OK", "CHECK"))</f>
        <v>OK</v>
      </c>
      <c r="I395" s="3">
        <f>IF($E395="","", INDEX([1]Calc!$E:$E, MATCH("D_vessel_m", [1]Calc!$C:$C, 0)) - $E395 + $B395)</f>
        <v>1.9112508231881176</v>
      </c>
      <c r="J395" s="3">
        <f>IF($F395="","", INDEX([1]Calc!$E:$E, MATCH("D_vessel_m", [1]Calc!$C:$C, 0)) - $F395 + $B395)</f>
        <v>1.9112508231881176</v>
      </c>
      <c r="K395" s="2" t="str">
        <f t="shared" si="20"/>
        <v>Even Keel</v>
      </c>
    </row>
    <row r="396" spans="1:11" x14ac:dyDescent="0.6">
      <c r="A396" s="2" t="str">
        <f>IF('December_Tide_2025 (2)'!A396="","",'December_Tide_2025 (2)'!A396)</f>
        <v>2025-12-17 10:00:00</v>
      </c>
      <c r="B396" s="3">
        <f>IF('December_Tide_2025 (2)'!B396="","",'December_Tide_2025 (2)'!B396)</f>
        <v>0.95</v>
      </c>
      <c r="C396" s="3">
        <f>IF($A396="","", INDEX([1]Calc!$E:$E, MATCH("KminusZ_m", [1]Calc!$C:$C, 0)) + $B396 - INDEX([1]Calc!$E:$E, MATCH("L_ramp_m", [1]Calc!$C:$C, 0)) * TAN(RADIANS(INDEX([1]Calc!$E:$E, MATCH("theta_max_deg", [1]Calc!$C:$C, 0)))))</f>
        <v>2.6887491768118825</v>
      </c>
      <c r="D396" s="3"/>
      <c r="E396" s="3">
        <f t="shared" si="18"/>
        <v>2.6887491768118825</v>
      </c>
      <c r="F396" s="3">
        <f t="shared" si="19"/>
        <v>2.6887491768118825</v>
      </c>
      <c r="G396" s="3">
        <f>IF($E396="","", DEGREES(ATAN((INDEX([1]Calc!$E:$E, MATCH("KminusZ_m", [1]Calc!$C:$C, 0)) - $E396 + $B396) / INDEX([1]Calc!$E:$E, MATCH("L_ramp_m", [1]Calc!$C:$C, 0)))))</f>
        <v>6</v>
      </c>
      <c r="H396" s="2" t="str">
        <f>IF($E396="","", IF(AND($E396&gt;=INDEX([1]Calc!$E:$E, MATCH("min_fwd_draft_m", [1]Calc!$C:$C, 0)), $E396&lt;=INDEX([1]Calc!$E:$E, MATCH("max_fwd_draft_m", [1]Calc!$C:$C, 0)), $G396&lt;=INDEX([1]Calc!$E:$E, MATCH("theta_max_deg", [1]Calc!$C:$C, 0))), "OK", "CHECK"))</f>
        <v>OK</v>
      </c>
      <c r="I396" s="3">
        <f>IF($E396="","", INDEX([1]Calc!$E:$E, MATCH("D_vessel_m", [1]Calc!$C:$C, 0)) - $E396 + $B396)</f>
        <v>1.9112508231881173</v>
      </c>
      <c r="J396" s="3">
        <f>IF($F396="","", INDEX([1]Calc!$E:$E, MATCH("D_vessel_m", [1]Calc!$C:$C, 0)) - $F396 + $B396)</f>
        <v>1.9112508231881173</v>
      </c>
      <c r="K396" s="2" t="str">
        <f t="shared" si="20"/>
        <v>Even Keel</v>
      </c>
    </row>
    <row r="397" spans="1:11" x14ac:dyDescent="0.6">
      <c r="A397" s="2" t="str">
        <f>IF('December_Tide_2025 (2)'!A397="","",'December_Tide_2025 (2)'!A397)</f>
        <v>2025-12-17 11:00:00</v>
      </c>
      <c r="B397" s="3">
        <f>IF('December_Tide_2025 (2)'!B397="","",'December_Tide_2025 (2)'!B397)</f>
        <v>1.25</v>
      </c>
      <c r="C397" s="3">
        <f>IF($A397="","", INDEX([1]Calc!$E:$E, MATCH("KminusZ_m", [1]Calc!$C:$C, 0)) + $B397 - INDEX([1]Calc!$E:$E, MATCH("L_ramp_m", [1]Calc!$C:$C, 0)) * TAN(RADIANS(INDEX([1]Calc!$E:$E, MATCH("theta_max_deg", [1]Calc!$C:$C, 0)))))</f>
        <v>2.9887491768118823</v>
      </c>
      <c r="D397" s="3"/>
      <c r="E397" s="3">
        <f t="shared" si="18"/>
        <v>2.9887491768118823</v>
      </c>
      <c r="F397" s="3">
        <f t="shared" si="19"/>
        <v>2.9887491768118823</v>
      </c>
      <c r="G397" s="3">
        <f>IF($E397="","", DEGREES(ATAN((INDEX([1]Calc!$E:$E, MATCH("KminusZ_m", [1]Calc!$C:$C, 0)) - $E397 + $B397) / INDEX([1]Calc!$E:$E, MATCH("L_ramp_m", [1]Calc!$C:$C, 0)))))</f>
        <v>6.0000000000000009</v>
      </c>
      <c r="H397" s="2" t="str">
        <f>IF($E397="","", IF(AND($E397&gt;=INDEX([1]Calc!$E:$E, MATCH("min_fwd_draft_m", [1]Calc!$C:$C, 0)), $E397&lt;=INDEX([1]Calc!$E:$E, MATCH("max_fwd_draft_m", [1]Calc!$C:$C, 0)), $G397&lt;=INDEX([1]Calc!$E:$E, MATCH("theta_max_deg", [1]Calc!$C:$C, 0))), "OK", "CHECK"))</f>
        <v>OK</v>
      </c>
      <c r="I397" s="3">
        <f>IF($E397="","", INDEX([1]Calc!$E:$E, MATCH("D_vessel_m", [1]Calc!$C:$C, 0)) - $E397 + $B397)</f>
        <v>1.9112508231881176</v>
      </c>
      <c r="J397" s="3">
        <f>IF($F397="","", INDEX([1]Calc!$E:$E, MATCH("D_vessel_m", [1]Calc!$C:$C, 0)) - $F397 + $B397)</f>
        <v>1.9112508231881176</v>
      </c>
      <c r="K397" s="2" t="str">
        <f t="shared" si="20"/>
        <v>Even Keel</v>
      </c>
    </row>
    <row r="398" spans="1:11" x14ac:dyDescent="0.6">
      <c r="A398" s="2" t="str">
        <f>IF('December_Tide_2025 (2)'!A398="","",'December_Tide_2025 (2)'!A398)</f>
        <v>2025-12-17 12:00:00</v>
      </c>
      <c r="B398" s="3">
        <f>IF('December_Tide_2025 (2)'!B398="","",'December_Tide_2025 (2)'!B398)</f>
        <v>1.68</v>
      </c>
      <c r="C398" s="3">
        <f>IF($A398="","", INDEX([1]Calc!$E:$E, MATCH("KminusZ_m", [1]Calc!$C:$C, 0)) + $B398 - INDEX([1]Calc!$E:$E, MATCH("L_ramp_m", [1]Calc!$C:$C, 0)) * TAN(RADIANS(INDEX([1]Calc!$E:$E, MATCH("theta_max_deg", [1]Calc!$C:$C, 0)))))</f>
        <v>3.4187491768118821</v>
      </c>
      <c r="D398" s="3"/>
      <c r="E398" s="3">
        <f t="shared" si="18"/>
        <v>3.4187491768118821</v>
      </c>
      <c r="F398" s="3">
        <f t="shared" si="19"/>
        <v>3.4187491768118821</v>
      </c>
      <c r="G398" s="3">
        <f>IF($E398="","", DEGREES(ATAN((INDEX([1]Calc!$E:$E, MATCH("KminusZ_m", [1]Calc!$C:$C, 0)) - $E398 + $B398) / INDEX([1]Calc!$E:$E, MATCH("L_ramp_m", [1]Calc!$C:$C, 0)))))</f>
        <v>6.0000000000000009</v>
      </c>
      <c r="H398" s="2" t="str">
        <f>IF($E398="","", IF(AND($E398&gt;=INDEX([1]Calc!$E:$E, MATCH("min_fwd_draft_m", [1]Calc!$C:$C, 0)), $E398&lt;=INDEX([1]Calc!$E:$E, MATCH("max_fwd_draft_m", [1]Calc!$C:$C, 0)), $G398&lt;=INDEX([1]Calc!$E:$E, MATCH("theta_max_deg", [1]Calc!$C:$C, 0))), "OK", "CHECK"))</f>
        <v>OK</v>
      </c>
      <c r="I398" s="3">
        <f>IF($E398="","", INDEX([1]Calc!$E:$E, MATCH("D_vessel_m", [1]Calc!$C:$C, 0)) - $E398 + $B398)</f>
        <v>1.9112508231881178</v>
      </c>
      <c r="J398" s="3">
        <f>IF($F398="","", INDEX([1]Calc!$E:$E, MATCH("D_vessel_m", [1]Calc!$C:$C, 0)) - $F398 + $B398)</f>
        <v>1.9112508231881178</v>
      </c>
      <c r="K398" s="2" t="str">
        <f t="shared" si="20"/>
        <v>Even Keel</v>
      </c>
    </row>
    <row r="399" spans="1:11" x14ac:dyDescent="0.6">
      <c r="A399" s="2" t="str">
        <f>IF('December_Tide_2025 (2)'!A399="","",'December_Tide_2025 (2)'!A399)</f>
        <v>2025-12-17 13:00:00</v>
      </c>
      <c r="B399" s="3">
        <f>IF('December_Tide_2025 (2)'!B399="","",'December_Tide_2025 (2)'!B399)</f>
        <v>2.15</v>
      </c>
      <c r="C399" s="3">
        <f>IF($A399="","", INDEX([1]Calc!$E:$E, MATCH("KminusZ_m", [1]Calc!$C:$C, 0)) + $B399 - INDEX([1]Calc!$E:$E, MATCH("L_ramp_m", [1]Calc!$C:$C, 0)) * TAN(RADIANS(INDEX([1]Calc!$E:$E, MATCH("theta_max_deg", [1]Calc!$C:$C, 0)))))</f>
        <v>3.8887491768118827</v>
      </c>
      <c r="D399" s="3"/>
      <c r="E399" s="3">
        <f t="shared" si="18"/>
        <v>3.8887491768118827</v>
      </c>
      <c r="F399" s="3">
        <f t="shared" si="19"/>
        <v>3.8887491768118827</v>
      </c>
      <c r="G399" s="3">
        <f>IF($E399="","", DEGREES(ATAN((INDEX([1]Calc!$E:$E, MATCH("KminusZ_m", [1]Calc!$C:$C, 0)) - $E399 + $B399) / INDEX([1]Calc!$E:$E, MATCH("L_ramp_m", [1]Calc!$C:$C, 0)))))</f>
        <v>5.9999999999999982</v>
      </c>
      <c r="H399" s="2" t="str">
        <f>IF($E399="","", IF(AND($E399&gt;=INDEX([1]Calc!$E:$E, MATCH("min_fwd_draft_m", [1]Calc!$C:$C, 0)), $E399&lt;=INDEX([1]Calc!$E:$E, MATCH("max_fwd_draft_m", [1]Calc!$C:$C, 0)), $G399&lt;=INDEX([1]Calc!$E:$E, MATCH("theta_max_deg", [1]Calc!$C:$C, 0))), "OK", "CHECK"))</f>
        <v>CHECK</v>
      </c>
      <c r="I399" s="3">
        <f>IF($E399="","", INDEX([1]Calc!$E:$E, MATCH("D_vessel_m", [1]Calc!$C:$C, 0)) - $E399 + $B399)</f>
        <v>1.9112508231881171</v>
      </c>
      <c r="J399" s="3">
        <f>IF($F399="","", INDEX([1]Calc!$E:$E, MATCH("D_vessel_m", [1]Calc!$C:$C, 0)) - $F399 + $B399)</f>
        <v>1.9112508231881171</v>
      </c>
      <c r="K399" s="2" t="str">
        <f t="shared" si="20"/>
        <v>Even Keel</v>
      </c>
    </row>
    <row r="400" spans="1:11" x14ac:dyDescent="0.6">
      <c r="A400" s="2" t="str">
        <f>IF('December_Tide_2025 (2)'!A400="","",'December_Tide_2025 (2)'!A400)</f>
        <v>2025-12-17 14:00:00</v>
      </c>
      <c r="B400" s="3">
        <f>IF('December_Tide_2025 (2)'!B400="","",'December_Tide_2025 (2)'!B400)</f>
        <v>2.5299999999999998</v>
      </c>
      <c r="C400" s="3">
        <f>IF($A400="","", INDEX([1]Calc!$E:$E, MATCH("KminusZ_m", [1]Calc!$C:$C, 0)) + $B400 - INDEX([1]Calc!$E:$E, MATCH("L_ramp_m", [1]Calc!$C:$C, 0)) * TAN(RADIANS(INDEX([1]Calc!$E:$E, MATCH("theta_max_deg", [1]Calc!$C:$C, 0)))))</f>
        <v>4.2687491768118822</v>
      </c>
      <c r="D400" s="3"/>
      <c r="E400" s="3">
        <f t="shared" si="18"/>
        <v>4.2687491768118822</v>
      </c>
      <c r="F400" s="3">
        <f t="shared" si="19"/>
        <v>4.2687491768118822</v>
      </c>
      <c r="G400" s="3">
        <f>IF($E400="","", DEGREES(ATAN((INDEX([1]Calc!$E:$E, MATCH("KminusZ_m", [1]Calc!$C:$C, 0)) - $E400 + $B400) / INDEX([1]Calc!$E:$E, MATCH("L_ramp_m", [1]Calc!$C:$C, 0)))))</f>
        <v>6.0000000000000009</v>
      </c>
      <c r="H400" s="2" t="str">
        <f>IF($E400="","", IF(AND($E400&gt;=INDEX([1]Calc!$E:$E, MATCH("min_fwd_draft_m", [1]Calc!$C:$C, 0)), $E400&lt;=INDEX([1]Calc!$E:$E, MATCH("max_fwd_draft_m", [1]Calc!$C:$C, 0)), $G400&lt;=INDEX([1]Calc!$E:$E, MATCH("theta_max_deg", [1]Calc!$C:$C, 0))), "OK", "CHECK"))</f>
        <v>CHECK</v>
      </c>
      <c r="I400" s="3">
        <f>IF($E400="","", INDEX([1]Calc!$E:$E, MATCH("D_vessel_m", [1]Calc!$C:$C, 0)) - $E400 + $B400)</f>
        <v>1.9112508231881176</v>
      </c>
      <c r="J400" s="3">
        <f>IF($F400="","", INDEX([1]Calc!$E:$E, MATCH("D_vessel_m", [1]Calc!$C:$C, 0)) - $F400 + $B400)</f>
        <v>1.9112508231881176</v>
      </c>
      <c r="K400" s="2" t="str">
        <f t="shared" si="20"/>
        <v>Even Keel</v>
      </c>
    </row>
    <row r="401" spans="1:11" x14ac:dyDescent="0.6">
      <c r="A401" s="2" t="str">
        <f>IF('December_Tide_2025 (2)'!A401="","",'December_Tide_2025 (2)'!A401)</f>
        <v>2025-12-17 15:00:00</v>
      </c>
      <c r="B401" s="3">
        <f>IF('December_Tide_2025 (2)'!B401="","",'December_Tide_2025 (2)'!B401)</f>
        <v>2.72</v>
      </c>
      <c r="C401" s="3">
        <f>IF($A401="","", INDEX([1]Calc!$E:$E, MATCH("KminusZ_m", [1]Calc!$C:$C, 0)) + $B401 - INDEX([1]Calc!$E:$E, MATCH("L_ramp_m", [1]Calc!$C:$C, 0)) * TAN(RADIANS(INDEX([1]Calc!$E:$E, MATCH("theta_max_deg", [1]Calc!$C:$C, 0)))))</f>
        <v>4.4587491768118834</v>
      </c>
      <c r="D401" s="3"/>
      <c r="E401" s="3">
        <f t="shared" si="18"/>
        <v>4.4587491768118834</v>
      </c>
      <c r="F401" s="3">
        <f t="shared" si="19"/>
        <v>4.4587491768118834</v>
      </c>
      <c r="G401" s="3">
        <f>IF($E401="","", DEGREES(ATAN((INDEX([1]Calc!$E:$E, MATCH("KminusZ_m", [1]Calc!$C:$C, 0)) - $E401 + $B401) / INDEX([1]Calc!$E:$E, MATCH("L_ramp_m", [1]Calc!$C:$C, 0)))))</f>
        <v>5.9999999999999964</v>
      </c>
      <c r="H401" s="2" t="str">
        <f>IF($E401="","", IF(AND($E401&gt;=INDEX([1]Calc!$E:$E, MATCH("min_fwd_draft_m", [1]Calc!$C:$C, 0)), $E401&lt;=INDEX([1]Calc!$E:$E, MATCH("max_fwd_draft_m", [1]Calc!$C:$C, 0)), $G401&lt;=INDEX([1]Calc!$E:$E, MATCH("theta_max_deg", [1]Calc!$C:$C, 0))), "OK", "CHECK"))</f>
        <v>CHECK</v>
      </c>
      <c r="I401" s="3">
        <f>IF($E401="","", INDEX([1]Calc!$E:$E, MATCH("D_vessel_m", [1]Calc!$C:$C, 0)) - $E401 + $B401)</f>
        <v>1.9112508231881167</v>
      </c>
      <c r="J401" s="3">
        <f>IF($F401="","", INDEX([1]Calc!$E:$E, MATCH("D_vessel_m", [1]Calc!$C:$C, 0)) - $F401 + $B401)</f>
        <v>1.9112508231881167</v>
      </c>
      <c r="K401" s="2" t="str">
        <f t="shared" si="20"/>
        <v>Even Keel</v>
      </c>
    </row>
    <row r="402" spans="1:11" x14ac:dyDescent="0.6">
      <c r="A402" s="2" t="str">
        <f>IF('December_Tide_2025 (2)'!A402="","",'December_Tide_2025 (2)'!A402)</f>
        <v>2025-12-17 16:00:00</v>
      </c>
      <c r="B402" s="3">
        <f>IF('December_Tide_2025 (2)'!B402="","",'December_Tide_2025 (2)'!B402)</f>
        <v>2.69</v>
      </c>
      <c r="C402" s="3">
        <f>IF($A402="","", INDEX([1]Calc!$E:$E, MATCH("KminusZ_m", [1]Calc!$C:$C, 0)) + $B402 - INDEX([1]Calc!$E:$E, MATCH("L_ramp_m", [1]Calc!$C:$C, 0)) * TAN(RADIANS(INDEX([1]Calc!$E:$E, MATCH("theta_max_deg", [1]Calc!$C:$C, 0)))))</f>
        <v>4.4287491768118823</v>
      </c>
      <c r="D402" s="3"/>
      <c r="E402" s="3">
        <f t="shared" si="18"/>
        <v>4.4287491768118823</v>
      </c>
      <c r="F402" s="3">
        <f t="shared" si="19"/>
        <v>4.4287491768118823</v>
      </c>
      <c r="G402" s="3">
        <f>IF($E402="","", DEGREES(ATAN((INDEX([1]Calc!$E:$E, MATCH("KminusZ_m", [1]Calc!$C:$C, 0)) - $E402 + $B402) / INDEX([1]Calc!$E:$E, MATCH("L_ramp_m", [1]Calc!$C:$C, 0)))))</f>
        <v>6.0000000000000009</v>
      </c>
      <c r="H402" s="2" t="str">
        <f>IF($E402="","", IF(AND($E402&gt;=INDEX([1]Calc!$E:$E, MATCH("min_fwd_draft_m", [1]Calc!$C:$C, 0)), $E402&lt;=INDEX([1]Calc!$E:$E, MATCH("max_fwd_draft_m", [1]Calc!$C:$C, 0)), $G402&lt;=INDEX([1]Calc!$E:$E, MATCH("theta_max_deg", [1]Calc!$C:$C, 0))), "OK", "CHECK"))</f>
        <v>CHECK</v>
      </c>
      <c r="I402" s="3">
        <f>IF($E402="","", INDEX([1]Calc!$E:$E, MATCH("D_vessel_m", [1]Calc!$C:$C, 0)) - $E402 + $B402)</f>
        <v>1.9112508231881176</v>
      </c>
      <c r="J402" s="3">
        <f>IF($F402="","", INDEX([1]Calc!$E:$E, MATCH("D_vessel_m", [1]Calc!$C:$C, 0)) - $F402 + $B402)</f>
        <v>1.9112508231881176</v>
      </c>
      <c r="K402" s="2" t="str">
        <f t="shared" si="20"/>
        <v>Even Keel</v>
      </c>
    </row>
    <row r="403" spans="1:11" x14ac:dyDescent="0.6">
      <c r="A403" s="2" t="str">
        <f>IF('December_Tide_2025 (2)'!A403="","",'December_Tide_2025 (2)'!A403)</f>
        <v>2025-12-17 17:00:00</v>
      </c>
      <c r="B403" s="3">
        <f>IF('December_Tide_2025 (2)'!B403="","",'December_Tide_2025 (2)'!B403)</f>
        <v>2.4300000000000002</v>
      </c>
      <c r="C403" s="3">
        <f>IF($A403="","", INDEX([1]Calc!$E:$E, MATCH("KminusZ_m", [1]Calc!$C:$C, 0)) + $B403 - INDEX([1]Calc!$E:$E, MATCH("L_ramp_m", [1]Calc!$C:$C, 0)) * TAN(RADIANS(INDEX([1]Calc!$E:$E, MATCH("theta_max_deg", [1]Calc!$C:$C, 0)))))</f>
        <v>4.1687491768118825</v>
      </c>
      <c r="D403" s="3"/>
      <c r="E403" s="3">
        <f t="shared" si="18"/>
        <v>4.1687491768118825</v>
      </c>
      <c r="F403" s="3">
        <f t="shared" si="19"/>
        <v>4.1687491768118825</v>
      </c>
      <c r="G403" s="3">
        <f>IF($E403="","", DEGREES(ATAN((INDEX([1]Calc!$E:$E, MATCH("KminusZ_m", [1]Calc!$C:$C, 0)) - $E403 + $B403) / INDEX([1]Calc!$E:$E, MATCH("L_ramp_m", [1]Calc!$C:$C, 0)))))</f>
        <v>6.0000000000000009</v>
      </c>
      <c r="H403" s="2" t="str">
        <f>IF($E403="","", IF(AND($E403&gt;=INDEX([1]Calc!$E:$E, MATCH("min_fwd_draft_m", [1]Calc!$C:$C, 0)), $E403&lt;=INDEX([1]Calc!$E:$E, MATCH("max_fwd_draft_m", [1]Calc!$C:$C, 0)), $G403&lt;=INDEX([1]Calc!$E:$E, MATCH("theta_max_deg", [1]Calc!$C:$C, 0))), "OK", "CHECK"))</f>
        <v>CHECK</v>
      </c>
      <c r="I403" s="3">
        <f>IF($E403="","", INDEX([1]Calc!$E:$E, MATCH("D_vessel_m", [1]Calc!$C:$C, 0)) - $E403 + $B403)</f>
        <v>1.9112508231881176</v>
      </c>
      <c r="J403" s="3">
        <f>IF($F403="","", INDEX([1]Calc!$E:$E, MATCH("D_vessel_m", [1]Calc!$C:$C, 0)) - $F403 + $B403)</f>
        <v>1.9112508231881176</v>
      </c>
      <c r="K403" s="2" t="str">
        <f t="shared" si="20"/>
        <v>Even Keel</v>
      </c>
    </row>
    <row r="404" spans="1:11" x14ac:dyDescent="0.6">
      <c r="A404" s="2" t="str">
        <f>IF('December_Tide_2025 (2)'!A404="","",'December_Tide_2025 (2)'!A404)</f>
        <v>2025-12-17 18:00:00</v>
      </c>
      <c r="B404" s="3">
        <f>IF('December_Tide_2025 (2)'!B404="","",'December_Tide_2025 (2)'!B404)</f>
        <v>2.0099999999999998</v>
      </c>
      <c r="C404" s="3">
        <f>IF($A404="","", INDEX([1]Calc!$E:$E, MATCH("KminusZ_m", [1]Calc!$C:$C, 0)) + $B404 - INDEX([1]Calc!$E:$E, MATCH("L_ramp_m", [1]Calc!$C:$C, 0)) * TAN(RADIANS(INDEX([1]Calc!$E:$E, MATCH("theta_max_deg", [1]Calc!$C:$C, 0)))))</f>
        <v>3.7487491768118821</v>
      </c>
      <c r="D404" s="3"/>
      <c r="E404" s="3">
        <f t="shared" si="18"/>
        <v>3.7487491768118821</v>
      </c>
      <c r="F404" s="3">
        <f t="shared" si="19"/>
        <v>3.7487491768118821</v>
      </c>
      <c r="G404" s="3">
        <f>IF($E404="","", DEGREES(ATAN((INDEX([1]Calc!$E:$E, MATCH("KminusZ_m", [1]Calc!$C:$C, 0)) - $E404 + $B404) / INDEX([1]Calc!$E:$E, MATCH("L_ramp_m", [1]Calc!$C:$C, 0)))))</f>
        <v>6.0000000000000009</v>
      </c>
      <c r="H404" s="2" t="str">
        <f>IF($E404="","", IF(AND($E404&gt;=INDEX([1]Calc!$E:$E, MATCH("min_fwd_draft_m", [1]Calc!$C:$C, 0)), $E404&lt;=INDEX([1]Calc!$E:$E, MATCH("max_fwd_draft_m", [1]Calc!$C:$C, 0)), $G404&lt;=INDEX([1]Calc!$E:$E, MATCH("theta_max_deg", [1]Calc!$C:$C, 0))), "OK", "CHECK"))</f>
        <v>CHECK</v>
      </c>
      <c r="I404" s="3">
        <f>IF($E404="","", INDEX([1]Calc!$E:$E, MATCH("D_vessel_m", [1]Calc!$C:$C, 0)) - $E404 + $B404)</f>
        <v>1.9112508231881176</v>
      </c>
      <c r="J404" s="3">
        <f>IF($F404="","", INDEX([1]Calc!$E:$E, MATCH("D_vessel_m", [1]Calc!$C:$C, 0)) - $F404 + $B404)</f>
        <v>1.9112508231881176</v>
      </c>
      <c r="K404" s="2" t="str">
        <f t="shared" si="20"/>
        <v>Even Keel</v>
      </c>
    </row>
    <row r="405" spans="1:11" x14ac:dyDescent="0.6">
      <c r="A405" s="2" t="str">
        <f>IF('December_Tide_2025 (2)'!A405="","",'December_Tide_2025 (2)'!A405)</f>
        <v>2025-12-17 19:00:00</v>
      </c>
      <c r="B405" s="3">
        <f>IF('December_Tide_2025 (2)'!B405="","",'December_Tide_2025 (2)'!B405)</f>
        <v>1.54</v>
      </c>
      <c r="C405" s="3">
        <f>IF($A405="","", INDEX([1]Calc!$E:$E, MATCH("KminusZ_m", [1]Calc!$C:$C, 0)) + $B405 - INDEX([1]Calc!$E:$E, MATCH("L_ramp_m", [1]Calc!$C:$C, 0)) * TAN(RADIANS(INDEX([1]Calc!$E:$E, MATCH("theta_max_deg", [1]Calc!$C:$C, 0)))))</f>
        <v>3.2787491768118824</v>
      </c>
      <c r="D405" s="3"/>
      <c r="E405" s="3">
        <f t="shared" si="18"/>
        <v>3.2787491768118824</v>
      </c>
      <c r="F405" s="3">
        <f t="shared" si="19"/>
        <v>3.2787491768118824</v>
      </c>
      <c r="G405" s="3">
        <f>IF($E405="","", DEGREES(ATAN((INDEX([1]Calc!$E:$E, MATCH("KminusZ_m", [1]Calc!$C:$C, 0)) - $E405 + $B405) / INDEX([1]Calc!$E:$E, MATCH("L_ramp_m", [1]Calc!$C:$C, 0)))))</f>
        <v>6.0000000000000009</v>
      </c>
      <c r="H405" s="2" t="str">
        <f>IF($E405="","", IF(AND($E405&gt;=INDEX([1]Calc!$E:$E, MATCH("min_fwd_draft_m", [1]Calc!$C:$C, 0)), $E405&lt;=INDEX([1]Calc!$E:$E, MATCH("max_fwd_draft_m", [1]Calc!$C:$C, 0)), $G405&lt;=INDEX([1]Calc!$E:$E, MATCH("theta_max_deg", [1]Calc!$C:$C, 0))), "OK", "CHECK"))</f>
        <v>OK</v>
      </c>
      <c r="I405" s="3">
        <f>IF($E405="","", INDEX([1]Calc!$E:$E, MATCH("D_vessel_m", [1]Calc!$C:$C, 0)) - $E405 + $B405)</f>
        <v>1.9112508231881176</v>
      </c>
      <c r="J405" s="3">
        <f>IF($F405="","", INDEX([1]Calc!$E:$E, MATCH("D_vessel_m", [1]Calc!$C:$C, 0)) - $F405 + $B405)</f>
        <v>1.9112508231881176</v>
      </c>
      <c r="K405" s="2" t="str">
        <f t="shared" si="20"/>
        <v>Even Keel</v>
      </c>
    </row>
    <row r="406" spans="1:11" x14ac:dyDescent="0.6">
      <c r="A406" s="2" t="str">
        <f>IF('December_Tide_2025 (2)'!A406="","",'December_Tide_2025 (2)'!A406)</f>
        <v>2025-12-17 20:00:00</v>
      </c>
      <c r="B406" s="3">
        <f>IF('December_Tide_2025 (2)'!B406="","",'December_Tide_2025 (2)'!B406)</f>
        <v>1.1399999999999999</v>
      </c>
      <c r="C406" s="3">
        <f>IF($A406="","", INDEX([1]Calc!$E:$E, MATCH("KminusZ_m", [1]Calc!$C:$C, 0)) + $B406 - INDEX([1]Calc!$E:$E, MATCH("L_ramp_m", [1]Calc!$C:$C, 0)) * TAN(RADIANS(INDEX([1]Calc!$E:$E, MATCH("theta_max_deg", [1]Calc!$C:$C, 0)))))</f>
        <v>2.878749176811882</v>
      </c>
      <c r="D406" s="3"/>
      <c r="E406" s="3">
        <f t="shared" si="18"/>
        <v>2.878749176811882</v>
      </c>
      <c r="F406" s="3">
        <f t="shared" si="19"/>
        <v>2.878749176811882</v>
      </c>
      <c r="G406" s="3">
        <f>IF($E406="","", DEGREES(ATAN((INDEX([1]Calc!$E:$E, MATCH("KminusZ_m", [1]Calc!$C:$C, 0)) - $E406 + $B406) / INDEX([1]Calc!$E:$E, MATCH("L_ramp_m", [1]Calc!$C:$C, 0)))))</f>
        <v>6.0000000000000009</v>
      </c>
      <c r="H406" s="2" t="str">
        <f>IF($E406="","", IF(AND($E406&gt;=INDEX([1]Calc!$E:$E, MATCH("min_fwd_draft_m", [1]Calc!$C:$C, 0)), $E406&lt;=INDEX([1]Calc!$E:$E, MATCH("max_fwd_draft_m", [1]Calc!$C:$C, 0)), $G406&lt;=INDEX([1]Calc!$E:$E, MATCH("theta_max_deg", [1]Calc!$C:$C, 0))), "OK", "CHECK"))</f>
        <v>OK</v>
      </c>
      <c r="I406" s="3">
        <f>IF($E406="","", INDEX([1]Calc!$E:$E, MATCH("D_vessel_m", [1]Calc!$C:$C, 0)) - $E406 + $B406)</f>
        <v>1.9112508231881178</v>
      </c>
      <c r="J406" s="3">
        <f>IF($F406="","", INDEX([1]Calc!$E:$E, MATCH("D_vessel_m", [1]Calc!$C:$C, 0)) - $F406 + $B406)</f>
        <v>1.9112508231881178</v>
      </c>
      <c r="K406" s="2" t="str">
        <f t="shared" si="20"/>
        <v>Even Keel</v>
      </c>
    </row>
    <row r="407" spans="1:11" x14ac:dyDescent="0.6">
      <c r="A407" s="2" t="str">
        <f>IF('December_Tide_2025 (2)'!A407="","",'December_Tide_2025 (2)'!A407)</f>
        <v>2025-12-17 21:00:00</v>
      </c>
      <c r="B407" s="3">
        <f>IF('December_Tide_2025 (2)'!B407="","",'December_Tide_2025 (2)'!B407)</f>
        <v>0.9</v>
      </c>
      <c r="C407" s="3">
        <f>IF($A407="","", INDEX([1]Calc!$E:$E, MATCH("KminusZ_m", [1]Calc!$C:$C, 0)) + $B407 - INDEX([1]Calc!$E:$E, MATCH("L_ramp_m", [1]Calc!$C:$C, 0)) * TAN(RADIANS(INDEX([1]Calc!$E:$E, MATCH("theta_max_deg", [1]Calc!$C:$C, 0)))))</f>
        <v>2.6387491768118823</v>
      </c>
      <c r="D407" s="3"/>
      <c r="E407" s="3">
        <f t="shared" si="18"/>
        <v>2.6387491768118823</v>
      </c>
      <c r="F407" s="3">
        <f t="shared" si="19"/>
        <v>2.6387491768118823</v>
      </c>
      <c r="G407" s="3">
        <f>IF($E407="","", DEGREES(ATAN((INDEX([1]Calc!$E:$E, MATCH("KminusZ_m", [1]Calc!$C:$C, 0)) - $E407 + $B407) / INDEX([1]Calc!$E:$E, MATCH("L_ramp_m", [1]Calc!$C:$C, 0)))))</f>
        <v>6.0000000000000009</v>
      </c>
      <c r="H407" s="2" t="str">
        <f>IF($E407="","", IF(AND($E407&gt;=INDEX([1]Calc!$E:$E, MATCH("min_fwd_draft_m", [1]Calc!$C:$C, 0)), $E407&lt;=INDEX([1]Calc!$E:$E, MATCH("max_fwd_draft_m", [1]Calc!$C:$C, 0)), $G407&lt;=INDEX([1]Calc!$E:$E, MATCH("theta_max_deg", [1]Calc!$C:$C, 0))), "OK", "CHECK"))</f>
        <v>OK</v>
      </c>
      <c r="I407" s="3">
        <f>IF($E407="","", INDEX([1]Calc!$E:$E, MATCH("D_vessel_m", [1]Calc!$C:$C, 0)) - $E407 + $B407)</f>
        <v>1.9112508231881176</v>
      </c>
      <c r="J407" s="3">
        <f>IF($F407="","", INDEX([1]Calc!$E:$E, MATCH("D_vessel_m", [1]Calc!$C:$C, 0)) - $F407 + $B407)</f>
        <v>1.9112508231881176</v>
      </c>
      <c r="K407" s="2" t="str">
        <f t="shared" si="20"/>
        <v>Even Keel</v>
      </c>
    </row>
    <row r="408" spans="1:11" x14ac:dyDescent="0.6">
      <c r="A408" s="2" t="str">
        <f>IF('December_Tide_2025 (2)'!A408="","",'December_Tide_2025 (2)'!A408)</f>
        <v>2025-12-17 22:00:00</v>
      </c>
      <c r="B408" s="3">
        <f>IF('December_Tide_2025 (2)'!B408="","",'December_Tide_2025 (2)'!B408)</f>
        <v>0.89</v>
      </c>
      <c r="C408" s="3">
        <f>IF($A408="","", INDEX([1]Calc!$E:$E, MATCH("KminusZ_m", [1]Calc!$C:$C, 0)) + $B408 - INDEX([1]Calc!$E:$E, MATCH("L_ramp_m", [1]Calc!$C:$C, 0)) * TAN(RADIANS(INDEX([1]Calc!$E:$E, MATCH("theta_max_deg", [1]Calc!$C:$C, 0)))))</f>
        <v>2.6287491768118825</v>
      </c>
      <c r="D408" s="3"/>
      <c r="E408" s="3">
        <f t="shared" si="18"/>
        <v>2.6287491768118825</v>
      </c>
      <c r="F408" s="3">
        <f t="shared" si="19"/>
        <v>2.6287491768118825</v>
      </c>
      <c r="G408" s="3">
        <f>IF($E408="","", DEGREES(ATAN((INDEX([1]Calc!$E:$E, MATCH("KminusZ_m", [1]Calc!$C:$C, 0)) - $E408 + $B408) / INDEX([1]Calc!$E:$E, MATCH("L_ramp_m", [1]Calc!$C:$C, 0)))))</f>
        <v>6.0000000000000009</v>
      </c>
      <c r="H408" s="2" t="str">
        <f>IF($E408="","", IF(AND($E408&gt;=INDEX([1]Calc!$E:$E, MATCH("min_fwd_draft_m", [1]Calc!$C:$C, 0)), $E408&lt;=INDEX([1]Calc!$E:$E, MATCH("max_fwd_draft_m", [1]Calc!$C:$C, 0)), $G408&lt;=INDEX([1]Calc!$E:$E, MATCH("theta_max_deg", [1]Calc!$C:$C, 0))), "OK", "CHECK"))</f>
        <v>OK</v>
      </c>
      <c r="I408" s="3">
        <f>IF($E408="","", INDEX([1]Calc!$E:$E, MATCH("D_vessel_m", [1]Calc!$C:$C, 0)) - $E408 + $B408)</f>
        <v>1.9112508231881176</v>
      </c>
      <c r="J408" s="3">
        <f>IF($F408="","", INDEX([1]Calc!$E:$E, MATCH("D_vessel_m", [1]Calc!$C:$C, 0)) - $F408 + $B408)</f>
        <v>1.9112508231881176</v>
      </c>
      <c r="K408" s="2" t="str">
        <f t="shared" si="20"/>
        <v>Even Keel</v>
      </c>
    </row>
    <row r="409" spans="1:11" x14ac:dyDescent="0.6">
      <c r="A409" s="2" t="str">
        <f>IF('December_Tide_2025 (2)'!A409="","",'December_Tide_2025 (2)'!A409)</f>
        <v>2025-12-17 23:00:00</v>
      </c>
      <c r="B409" s="3">
        <f>IF('December_Tide_2025 (2)'!B409="","",'December_Tide_2025 (2)'!B409)</f>
        <v>1.1100000000000001</v>
      </c>
      <c r="C409" s="3">
        <f>IF($A409="","", INDEX([1]Calc!$E:$E, MATCH("KminusZ_m", [1]Calc!$C:$C, 0)) + $B409 - INDEX([1]Calc!$E:$E, MATCH("L_ramp_m", [1]Calc!$C:$C, 0)) * TAN(RADIANS(INDEX([1]Calc!$E:$E, MATCH("theta_max_deg", [1]Calc!$C:$C, 0)))))</f>
        <v>2.8487491768118827</v>
      </c>
      <c r="D409" s="3"/>
      <c r="E409" s="3">
        <f t="shared" si="18"/>
        <v>2.8487491768118827</v>
      </c>
      <c r="F409" s="3">
        <f t="shared" si="19"/>
        <v>2.8487491768118827</v>
      </c>
      <c r="G409" s="3">
        <f>IF($E409="","", DEGREES(ATAN((INDEX([1]Calc!$E:$E, MATCH("KminusZ_m", [1]Calc!$C:$C, 0)) - $E409 + $B409) / INDEX([1]Calc!$E:$E, MATCH("L_ramp_m", [1]Calc!$C:$C, 0)))))</f>
        <v>6</v>
      </c>
      <c r="H409" s="2" t="str">
        <f>IF($E409="","", IF(AND($E409&gt;=INDEX([1]Calc!$E:$E, MATCH("min_fwd_draft_m", [1]Calc!$C:$C, 0)), $E409&lt;=INDEX([1]Calc!$E:$E, MATCH("max_fwd_draft_m", [1]Calc!$C:$C, 0)), $G409&lt;=INDEX([1]Calc!$E:$E, MATCH("theta_max_deg", [1]Calc!$C:$C, 0))), "OK", "CHECK"))</f>
        <v>OK</v>
      </c>
      <c r="I409" s="3">
        <f>IF($E409="","", INDEX([1]Calc!$E:$E, MATCH("D_vessel_m", [1]Calc!$C:$C, 0)) - $E409 + $B409)</f>
        <v>1.9112508231881173</v>
      </c>
      <c r="J409" s="3">
        <f>IF($F409="","", INDEX([1]Calc!$E:$E, MATCH("D_vessel_m", [1]Calc!$C:$C, 0)) - $F409 + $B409)</f>
        <v>1.9112508231881173</v>
      </c>
      <c r="K409" s="2" t="str">
        <f t="shared" si="20"/>
        <v>Even Keel</v>
      </c>
    </row>
    <row r="410" spans="1:11" x14ac:dyDescent="0.6">
      <c r="A410" s="2" t="str">
        <f>IF('December_Tide_2025 (2)'!A410="","",'December_Tide_2025 (2)'!A410)</f>
        <v>2025-12-18 00:00:00</v>
      </c>
      <c r="B410" s="3">
        <f>IF('December_Tide_2025 (2)'!B410="","",'December_Tide_2025 (2)'!B410)</f>
        <v>1.5</v>
      </c>
      <c r="C410" s="3">
        <f>IF($A410="","", INDEX([1]Calc!$E:$E, MATCH("KminusZ_m", [1]Calc!$C:$C, 0)) + $B410 - INDEX([1]Calc!$E:$E, MATCH("L_ramp_m", [1]Calc!$C:$C, 0)) * TAN(RADIANS(INDEX([1]Calc!$E:$E, MATCH("theta_max_deg", [1]Calc!$C:$C, 0)))))</f>
        <v>3.2387491768118823</v>
      </c>
      <c r="D410" s="3"/>
      <c r="E410" s="3">
        <f t="shared" si="18"/>
        <v>3.2387491768118823</v>
      </c>
      <c r="F410" s="3">
        <f t="shared" si="19"/>
        <v>3.2387491768118823</v>
      </c>
      <c r="G410" s="3">
        <f>IF($E410="","", DEGREES(ATAN((INDEX([1]Calc!$E:$E, MATCH("KminusZ_m", [1]Calc!$C:$C, 0)) - $E410 + $B410) / INDEX([1]Calc!$E:$E, MATCH("L_ramp_m", [1]Calc!$C:$C, 0)))))</f>
        <v>6.0000000000000009</v>
      </c>
      <c r="H410" s="2" t="str">
        <f>IF($E410="","", IF(AND($E410&gt;=INDEX([1]Calc!$E:$E, MATCH("min_fwd_draft_m", [1]Calc!$C:$C, 0)), $E410&lt;=INDEX([1]Calc!$E:$E, MATCH("max_fwd_draft_m", [1]Calc!$C:$C, 0)), $G410&lt;=INDEX([1]Calc!$E:$E, MATCH("theta_max_deg", [1]Calc!$C:$C, 0))), "OK", "CHECK"))</f>
        <v>OK</v>
      </c>
      <c r="I410" s="3">
        <f>IF($E410="","", INDEX([1]Calc!$E:$E, MATCH("D_vessel_m", [1]Calc!$C:$C, 0)) - $E410 + $B410)</f>
        <v>1.9112508231881176</v>
      </c>
      <c r="J410" s="3">
        <f>IF($F410="","", INDEX([1]Calc!$E:$E, MATCH("D_vessel_m", [1]Calc!$C:$C, 0)) - $F410 + $B410)</f>
        <v>1.9112508231881176</v>
      </c>
      <c r="K410" s="2" t="str">
        <f t="shared" si="20"/>
        <v>Even Keel</v>
      </c>
    </row>
    <row r="411" spans="1:11" x14ac:dyDescent="0.6">
      <c r="A411" s="2" t="str">
        <f>IF('December_Tide_2025 (2)'!A411="","",'December_Tide_2025 (2)'!A411)</f>
        <v>2025-12-18 01:00:00</v>
      </c>
      <c r="B411" s="3">
        <f>IF('December_Tide_2025 (2)'!B411="","",'December_Tide_2025 (2)'!B411)</f>
        <v>1.97</v>
      </c>
      <c r="C411" s="3">
        <f>IF($A411="","", INDEX([1]Calc!$E:$E, MATCH("KminusZ_m", [1]Calc!$C:$C, 0)) + $B411 - INDEX([1]Calc!$E:$E, MATCH("L_ramp_m", [1]Calc!$C:$C, 0)) * TAN(RADIANS(INDEX([1]Calc!$E:$E, MATCH("theta_max_deg", [1]Calc!$C:$C, 0)))))</f>
        <v>3.7087491768118821</v>
      </c>
      <c r="D411" s="3"/>
      <c r="E411" s="3">
        <f t="shared" si="18"/>
        <v>3.7087491768118821</v>
      </c>
      <c r="F411" s="3">
        <f t="shared" si="19"/>
        <v>3.7087491768118821</v>
      </c>
      <c r="G411" s="3">
        <f>IF($E411="","", DEGREES(ATAN((INDEX([1]Calc!$E:$E, MATCH("KminusZ_m", [1]Calc!$C:$C, 0)) - $E411 + $B411) / INDEX([1]Calc!$E:$E, MATCH("L_ramp_m", [1]Calc!$C:$C, 0)))))</f>
        <v>6.0000000000000009</v>
      </c>
      <c r="H411" s="2" t="str">
        <f>IF($E411="","", IF(AND($E411&gt;=INDEX([1]Calc!$E:$E, MATCH("min_fwd_draft_m", [1]Calc!$C:$C, 0)), $E411&lt;=INDEX([1]Calc!$E:$E, MATCH("max_fwd_draft_m", [1]Calc!$C:$C, 0)), $G411&lt;=INDEX([1]Calc!$E:$E, MATCH("theta_max_deg", [1]Calc!$C:$C, 0))), "OK", "CHECK"))</f>
        <v>CHECK</v>
      </c>
      <c r="I411" s="3">
        <f>IF($E411="","", INDEX([1]Calc!$E:$E, MATCH("D_vessel_m", [1]Calc!$C:$C, 0)) - $E411 + $B411)</f>
        <v>1.9112508231881178</v>
      </c>
      <c r="J411" s="3">
        <f>IF($F411="","", INDEX([1]Calc!$E:$E, MATCH("D_vessel_m", [1]Calc!$C:$C, 0)) - $F411 + $B411)</f>
        <v>1.9112508231881178</v>
      </c>
      <c r="K411" s="2" t="str">
        <f t="shared" si="20"/>
        <v>Even Keel</v>
      </c>
    </row>
    <row r="412" spans="1:11" x14ac:dyDescent="0.6">
      <c r="A412" s="2" t="str">
        <f>IF('December_Tide_2025 (2)'!A412="","",'December_Tide_2025 (2)'!A412)</f>
        <v>2025-12-18 02:00:00</v>
      </c>
      <c r="B412" s="3">
        <f>IF('December_Tide_2025 (2)'!B412="","",'December_Tide_2025 (2)'!B412)</f>
        <v>2.39</v>
      </c>
      <c r="C412" s="3">
        <f>IF($A412="","", INDEX([1]Calc!$E:$E, MATCH("KminusZ_m", [1]Calc!$C:$C, 0)) + $B412 - INDEX([1]Calc!$E:$E, MATCH("L_ramp_m", [1]Calc!$C:$C, 0)) * TAN(RADIANS(INDEX([1]Calc!$E:$E, MATCH("theta_max_deg", [1]Calc!$C:$C, 0)))))</f>
        <v>4.1287491768118834</v>
      </c>
      <c r="D412" s="3"/>
      <c r="E412" s="3">
        <f t="shared" si="18"/>
        <v>4.1287491768118834</v>
      </c>
      <c r="F412" s="3">
        <f t="shared" si="19"/>
        <v>4.1287491768118834</v>
      </c>
      <c r="G412" s="3">
        <f>IF($E412="","", DEGREES(ATAN((INDEX([1]Calc!$E:$E, MATCH("KminusZ_m", [1]Calc!$C:$C, 0)) - $E412 + $B412) / INDEX([1]Calc!$E:$E, MATCH("L_ramp_m", [1]Calc!$C:$C, 0)))))</f>
        <v>5.9999999999999964</v>
      </c>
      <c r="H412" s="2" t="str">
        <f>IF($E412="","", IF(AND($E412&gt;=INDEX([1]Calc!$E:$E, MATCH("min_fwd_draft_m", [1]Calc!$C:$C, 0)), $E412&lt;=INDEX([1]Calc!$E:$E, MATCH("max_fwd_draft_m", [1]Calc!$C:$C, 0)), $G412&lt;=INDEX([1]Calc!$E:$E, MATCH("theta_max_deg", [1]Calc!$C:$C, 0))), "OK", "CHECK"))</f>
        <v>CHECK</v>
      </c>
      <c r="I412" s="3">
        <f>IF($E412="","", INDEX([1]Calc!$E:$E, MATCH("D_vessel_m", [1]Calc!$C:$C, 0)) - $E412 + $B412)</f>
        <v>1.9112508231881167</v>
      </c>
      <c r="J412" s="3">
        <f>IF($F412="","", INDEX([1]Calc!$E:$E, MATCH("D_vessel_m", [1]Calc!$C:$C, 0)) - $F412 + $B412)</f>
        <v>1.9112508231881167</v>
      </c>
      <c r="K412" s="2" t="str">
        <f t="shared" si="20"/>
        <v>Even Keel</v>
      </c>
    </row>
    <row r="413" spans="1:11" x14ac:dyDescent="0.6">
      <c r="A413" s="2" t="str">
        <f>IF('December_Tide_2025 (2)'!A413="","",'December_Tide_2025 (2)'!A413)</f>
        <v>2025-12-18 03:00:00</v>
      </c>
      <c r="B413" s="3">
        <f>IF('December_Tide_2025 (2)'!B413="","",'December_Tide_2025 (2)'!B413)</f>
        <v>2.67</v>
      </c>
      <c r="C413" s="3">
        <f>IF($A413="","", INDEX([1]Calc!$E:$E, MATCH("KminusZ_m", [1]Calc!$C:$C, 0)) + $B413 - INDEX([1]Calc!$E:$E, MATCH("L_ramp_m", [1]Calc!$C:$C, 0)) * TAN(RADIANS(INDEX([1]Calc!$E:$E, MATCH("theta_max_deg", [1]Calc!$C:$C, 0)))))</f>
        <v>4.4087491768118827</v>
      </c>
      <c r="D413" s="3"/>
      <c r="E413" s="3">
        <f t="shared" si="18"/>
        <v>4.4087491768118827</v>
      </c>
      <c r="F413" s="3">
        <f t="shared" si="19"/>
        <v>4.4087491768118827</v>
      </c>
      <c r="G413" s="3">
        <f>IF($E413="","", DEGREES(ATAN((INDEX([1]Calc!$E:$E, MATCH("KminusZ_m", [1]Calc!$C:$C, 0)) - $E413 + $B413) / INDEX([1]Calc!$E:$E, MATCH("L_ramp_m", [1]Calc!$C:$C, 0)))))</f>
        <v>5.9999999999999982</v>
      </c>
      <c r="H413" s="2" t="str">
        <f>IF($E413="","", IF(AND($E413&gt;=INDEX([1]Calc!$E:$E, MATCH("min_fwd_draft_m", [1]Calc!$C:$C, 0)), $E413&lt;=INDEX([1]Calc!$E:$E, MATCH("max_fwd_draft_m", [1]Calc!$C:$C, 0)), $G413&lt;=INDEX([1]Calc!$E:$E, MATCH("theta_max_deg", [1]Calc!$C:$C, 0))), "OK", "CHECK"))</f>
        <v>CHECK</v>
      </c>
      <c r="I413" s="3">
        <f>IF($E413="","", INDEX([1]Calc!$E:$E, MATCH("D_vessel_m", [1]Calc!$C:$C, 0)) - $E413 + $B413)</f>
        <v>1.9112508231881171</v>
      </c>
      <c r="J413" s="3">
        <f>IF($F413="","", INDEX([1]Calc!$E:$E, MATCH("D_vessel_m", [1]Calc!$C:$C, 0)) - $F413 + $B413)</f>
        <v>1.9112508231881171</v>
      </c>
      <c r="K413" s="2" t="str">
        <f t="shared" si="20"/>
        <v>Even Keel</v>
      </c>
    </row>
    <row r="414" spans="1:11" x14ac:dyDescent="0.6">
      <c r="A414" s="2" t="str">
        <f>IF('December_Tide_2025 (2)'!A414="","",'December_Tide_2025 (2)'!A414)</f>
        <v>2025-12-18 04:00:00</v>
      </c>
      <c r="B414" s="3">
        <f>IF('December_Tide_2025 (2)'!B414="","",'December_Tide_2025 (2)'!B414)</f>
        <v>2.73</v>
      </c>
      <c r="C414" s="3">
        <f>IF($A414="","", INDEX([1]Calc!$E:$E, MATCH("KminusZ_m", [1]Calc!$C:$C, 0)) + $B414 - INDEX([1]Calc!$E:$E, MATCH("L_ramp_m", [1]Calc!$C:$C, 0)) * TAN(RADIANS(INDEX([1]Calc!$E:$E, MATCH("theta_max_deg", [1]Calc!$C:$C, 0)))))</f>
        <v>4.4687491768118832</v>
      </c>
      <c r="D414" s="3"/>
      <c r="E414" s="3">
        <f t="shared" si="18"/>
        <v>4.4687491768118832</v>
      </c>
      <c r="F414" s="3">
        <f t="shared" si="19"/>
        <v>4.4687491768118832</v>
      </c>
      <c r="G414" s="3">
        <f>IF($E414="","", DEGREES(ATAN((INDEX([1]Calc!$E:$E, MATCH("KminusZ_m", [1]Calc!$C:$C, 0)) - $E414 + $B414) / INDEX([1]Calc!$E:$E, MATCH("L_ramp_m", [1]Calc!$C:$C, 0)))))</f>
        <v>5.9999999999999964</v>
      </c>
      <c r="H414" s="2" t="str">
        <f>IF($E414="","", IF(AND($E414&gt;=INDEX([1]Calc!$E:$E, MATCH("min_fwd_draft_m", [1]Calc!$C:$C, 0)), $E414&lt;=INDEX([1]Calc!$E:$E, MATCH("max_fwd_draft_m", [1]Calc!$C:$C, 0)), $G414&lt;=INDEX([1]Calc!$E:$E, MATCH("theta_max_deg", [1]Calc!$C:$C, 0))), "OK", "CHECK"))</f>
        <v>CHECK</v>
      </c>
      <c r="I414" s="3">
        <f>IF($E414="","", INDEX([1]Calc!$E:$E, MATCH("D_vessel_m", [1]Calc!$C:$C, 0)) - $E414 + $B414)</f>
        <v>1.9112508231881167</v>
      </c>
      <c r="J414" s="3">
        <f>IF($F414="","", INDEX([1]Calc!$E:$E, MATCH("D_vessel_m", [1]Calc!$C:$C, 0)) - $F414 + $B414)</f>
        <v>1.9112508231881167</v>
      </c>
      <c r="K414" s="2" t="str">
        <f t="shared" si="20"/>
        <v>Even Keel</v>
      </c>
    </row>
    <row r="415" spans="1:11" x14ac:dyDescent="0.6">
      <c r="A415" s="2" t="str">
        <f>IF('December_Tide_2025 (2)'!A415="","",'December_Tide_2025 (2)'!A415)</f>
        <v>2025-12-18 05:00:00</v>
      </c>
      <c r="B415" s="3">
        <f>IF('December_Tide_2025 (2)'!B415="","",'December_Tide_2025 (2)'!B415)</f>
        <v>2.5499999999999998</v>
      </c>
      <c r="C415" s="3">
        <f>IF($A415="","", INDEX([1]Calc!$E:$E, MATCH("KminusZ_m", [1]Calc!$C:$C, 0)) + $B415 - INDEX([1]Calc!$E:$E, MATCH("L_ramp_m", [1]Calc!$C:$C, 0)) * TAN(RADIANS(INDEX([1]Calc!$E:$E, MATCH("theta_max_deg", [1]Calc!$C:$C, 0)))))</f>
        <v>4.2887491768118817</v>
      </c>
      <c r="D415" s="3"/>
      <c r="E415" s="3">
        <f t="shared" si="18"/>
        <v>4.2887491768118817</v>
      </c>
      <c r="F415" s="3">
        <f t="shared" si="19"/>
        <v>4.2887491768118817</v>
      </c>
      <c r="G415" s="3">
        <f>IF($E415="","", DEGREES(ATAN((INDEX([1]Calc!$E:$E, MATCH("KminusZ_m", [1]Calc!$C:$C, 0)) - $E415 + $B415) / INDEX([1]Calc!$E:$E, MATCH("L_ramp_m", [1]Calc!$C:$C, 0)))))</f>
        <v>6.0000000000000027</v>
      </c>
      <c r="H415" s="2" t="str">
        <f>IF($E415="","", IF(AND($E415&gt;=INDEX([1]Calc!$E:$E, MATCH("min_fwd_draft_m", [1]Calc!$C:$C, 0)), $E415&lt;=INDEX([1]Calc!$E:$E, MATCH("max_fwd_draft_m", [1]Calc!$C:$C, 0)), $G415&lt;=INDEX([1]Calc!$E:$E, MATCH("theta_max_deg", [1]Calc!$C:$C, 0))), "OK", "CHECK"))</f>
        <v>CHECK</v>
      </c>
      <c r="I415" s="3">
        <f>IF($E415="","", INDEX([1]Calc!$E:$E, MATCH("D_vessel_m", [1]Calc!$C:$C, 0)) - $E415 + $B415)</f>
        <v>1.911250823188118</v>
      </c>
      <c r="J415" s="3">
        <f>IF($F415="","", INDEX([1]Calc!$E:$E, MATCH("D_vessel_m", [1]Calc!$C:$C, 0)) - $F415 + $B415)</f>
        <v>1.911250823188118</v>
      </c>
      <c r="K415" s="2" t="str">
        <f t="shared" si="20"/>
        <v>Even Keel</v>
      </c>
    </row>
    <row r="416" spans="1:11" x14ac:dyDescent="0.6">
      <c r="A416" s="2" t="str">
        <f>IF('December_Tide_2025 (2)'!A416="","",'December_Tide_2025 (2)'!A416)</f>
        <v>2025-12-18 06:00:00</v>
      </c>
      <c r="B416" s="3">
        <f>IF('December_Tide_2025 (2)'!B416="","",'December_Tide_2025 (2)'!B416)</f>
        <v>2.19</v>
      </c>
      <c r="C416" s="3">
        <f>IF($A416="","", INDEX([1]Calc!$E:$E, MATCH("KminusZ_m", [1]Calc!$C:$C, 0)) + $B416 - INDEX([1]Calc!$E:$E, MATCH("L_ramp_m", [1]Calc!$C:$C, 0)) * TAN(RADIANS(INDEX([1]Calc!$E:$E, MATCH("theta_max_deg", [1]Calc!$C:$C, 0)))))</f>
        <v>3.9287491768118818</v>
      </c>
      <c r="D416" s="3"/>
      <c r="E416" s="3">
        <f t="shared" si="18"/>
        <v>3.9287491768118818</v>
      </c>
      <c r="F416" s="3">
        <f t="shared" si="19"/>
        <v>3.9287491768118818</v>
      </c>
      <c r="G416" s="3">
        <f>IF($E416="","", DEGREES(ATAN((INDEX([1]Calc!$E:$E, MATCH("KminusZ_m", [1]Calc!$C:$C, 0)) - $E416 + $B416) / INDEX([1]Calc!$E:$E, MATCH("L_ramp_m", [1]Calc!$C:$C, 0)))))</f>
        <v>6.0000000000000027</v>
      </c>
      <c r="H416" s="2" t="str">
        <f>IF($E416="","", IF(AND($E416&gt;=INDEX([1]Calc!$E:$E, MATCH("min_fwd_draft_m", [1]Calc!$C:$C, 0)), $E416&lt;=INDEX([1]Calc!$E:$E, MATCH("max_fwd_draft_m", [1]Calc!$C:$C, 0)), $G416&lt;=INDEX([1]Calc!$E:$E, MATCH("theta_max_deg", [1]Calc!$C:$C, 0))), "OK", "CHECK"))</f>
        <v>CHECK</v>
      </c>
      <c r="I416" s="3">
        <f>IF($E416="","", INDEX([1]Calc!$E:$E, MATCH("D_vessel_m", [1]Calc!$C:$C, 0)) - $E416 + $B416)</f>
        <v>1.911250823188118</v>
      </c>
      <c r="J416" s="3">
        <f>IF($F416="","", INDEX([1]Calc!$E:$E, MATCH("D_vessel_m", [1]Calc!$C:$C, 0)) - $F416 + $B416)</f>
        <v>1.911250823188118</v>
      </c>
      <c r="K416" s="2" t="str">
        <f t="shared" si="20"/>
        <v>Even Keel</v>
      </c>
    </row>
    <row r="417" spans="1:11" x14ac:dyDescent="0.6">
      <c r="A417" s="2" t="str">
        <f>IF('December_Tide_2025 (2)'!A417="","",'December_Tide_2025 (2)'!A417)</f>
        <v>2025-12-18 07:00:00</v>
      </c>
      <c r="B417" s="3">
        <f>IF('December_Tide_2025 (2)'!B417="","",'December_Tide_2025 (2)'!B417)</f>
        <v>1.73</v>
      </c>
      <c r="C417" s="3">
        <f>IF($A417="","", INDEX([1]Calc!$E:$E, MATCH("KminusZ_m", [1]Calc!$C:$C, 0)) + $B417 - INDEX([1]Calc!$E:$E, MATCH("L_ramp_m", [1]Calc!$C:$C, 0)) * TAN(RADIANS(INDEX([1]Calc!$E:$E, MATCH("theta_max_deg", [1]Calc!$C:$C, 0)))))</f>
        <v>3.4687491768118828</v>
      </c>
      <c r="D417" s="3"/>
      <c r="E417" s="3">
        <f t="shared" si="18"/>
        <v>3.4687491768118828</v>
      </c>
      <c r="F417" s="3">
        <f t="shared" si="19"/>
        <v>3.4687491768118828</v>
      </c>
      <c r="G417" s="3">
        <f>IF($E417="","", DEGREES(ATAN((INDEX([1]Calc!$E:$E, MATCH("KminusZ_m", [1]Calc!$C:$C, 0)) - $E417 + $B417) / INDEX([1]Calc!$E:$E, MATCH("L_ramp_m", [1]Calc!$C:$C, 0)))))</f>
        <v>5.9999999999999982</v>
      </c>
      <c r="H417" s="2" t="str">
        <f>IF($E417="","", IF(AND($E417&gt;=INDEX([1]Calc!$E:$E, MATCH("min_fwd_draft_m", [1]Calc!$C:$C, 0)), $E417&lt;=INDEX([1]Calc!$E:$E, MATCH("max_fwd_draft_m", [1]Calc!$C:$C, 0)), $G417&lt;=INDEX([1]Calc!$E:$E, MATCH("theta_max_deg", [1]Calc!$C:$C, 0))), "OK", "CHECK"))</f>
        <v>OK</v>
      </c>
      <c r="I417" s="3">
        <f>IF($E417="","", INDEX([1]Calc!$E:$E, MATCH("D_vessel_m", [1]Calc!$C:$C, 0)) - $E417 + $B417)</f>
        <v>1.9112508231881171</v>
      </c>
      <c r="J417" s="3">
        <f>IF($F417="","", INDEX([1]Calc!$E:$E, MATCH("D_vessel_m", [1]Calc!$C:$C, 0)) - $F417 + $B417)</f>
        <v>1.9112508231881171</v>
      </c>
      <c r="K417" s="2" t="str">
        <f t="shared" si="20"/>
        <v>Even Keel</v>
      </c>
    </row>
    <row r="418" spans="1:11" x14ac:dyDescent="0.6">
      <c r="A418" s="2" t="str">
        <f>IF('December_Tide_2025 (2)'!A418="","",'December_Tide_2025 (2)'!A418)</f>
        <v>2025-12-18 08:00:00</v>
      </c>
      <c r="B418" s="3">
        <f>IF('December_Tide_2025 (2)'!B418="","",'December_Tide_2025 (2)'!B418)</f>
        <v>1.28</v>
      </c>
      <c r="C418" s="3">
        <f>IF($A418="","", INDEX([1]Calc!$E:$E, MATCH("KminusZ_m", [1]Calc!$C:$C, 0)) + $B418 - INDEX([1]Calc!$E:$E, MATCH("L_ramp_m", [1]Calc!$C:$C, 0)) * TAN(RADIANS(INDEX([1]Calc!$E:$E, MATCH("theta_max_deg", [1]Calc!$C:$C, 0)))))</f>
        <v>3.0187491768118826</v>
      </c>
      <c r="D418" s="3"/>
      <c r="E418" s="3">
        <f t="shared" si="18"/>
        <v>3.0187491768118826</v>
      </c>
      <c r="F418" s="3">
        <f t="shared" si="19"/>
        <v>3.0187491768118826</v>
      </c>
      <c r="G418" s="3">
        <f>IF($E418="","", DEGREES(ATAN((INDEX([1]Calc!$E:$E, MATCH("KminusZ_m", [1]Calc!$C:$C, 0)) - $E418 + $B418) / INDEX([1]Calc!$E:$E, MATCH("L_ramp_m", [1]Calc!$C:$C, 0)))))</f>
        <v>6</v>
      </c>
      <c r="H418" s="2" t="str">
        <f>IF($E418="","", IF(AND($E418&gt;=INDEX([1]Calc!$E:$E, MATCH("min_fwd_draft_m", [1]Calc!$C:$C, 0)), $E418&lt;=INDEX([1]Calc!$E:$E, MATCH("max_fwd_draft_m", [1]Calc!$C:$C, 0)), $G418&lt;=INDEX([1]Calc!$E:$E, MATCH("theta_max_deg", [1]Calc!$C:$C, 0))), "OK", "CHECK"))</f>
        <v>OK</v>
      </c>
      <c r="I418" s="3">
        <f>IF($E418="","", INDEX([1]Calc!$E:$E, MATCH("D_vessel_m", [1]Calc!$C:$C, 0)) - $E418 + $B418)</f>
        <v>1.9112508231881173</v>
      </c>
      <c r="J418" s="3">
        <f>IF($F418="","", INDEX([1]Calc!$E:$E, MATCH("D_vessel_m", [1]Calc!$C:$C, 0)) - $F418 + $B418)</f>
        <v>1.9112508231881173</v>
      </c>
      <c r="K418" s="2" t="str">
        <f t="shared" si="20"/>
        <v>Even Keel</v>
      </c>
    </row>
    <row r="419" spans="1:11" x14ac:dyDescent="0.6">
      <c r="A419" s="2" t="str">
        <f>IF('December_Tide_2025 (2)'!A419="","",'December_Tide_2025 (2)'!A419)</f>
        <v>2025-12-18 09:00:00</v>
      </c>
      <c r="B419" s="3">
        <f>IF('December_Tide_2025 (2)'!B419="","",'December_Tide_2025 (2)'!B419)</f>
        <v>0.97</v>
      </c>
      <c r="C419" s="3">
        <f>IF($A419="","", INDEX([1]Calc!$E:$E, MATCH("KminusZ_m", [1]Calc!$C:$C, 0)) + $B419 - INDEX([1]Calc!$E:$E, MATCH("L_ramp_m", [1]Calc!$C:$C, 0)) * TAN(RADIANS(INDEX([1]Calc!$E:$E, MATCH("theta_max_deg", [1]Calc!$C:$C, 0)))))</f>
        <v>2.7087491768118821</v>
      </c>
      <c r="D419" s="3"/>
      <c r="E419" s="3">
        <f t="shared" si="18"/>
        <v>2.7087491768118821</v>
      </c>
      <c r="F419" s="3">
        <f t="shared" si="19"/>
        <v>2.7087491768118821</v>
      </c>
      <c r="G419" s="3">
        <f>IF($E419="","", DEGREES(ATAN((INDEX([1]Calc!$E:$E, MATCH("KminusZ_m", [1]Calc!$C:$C, 0)) - $E419 + $B419) / INDEX([1]Calc!$E:$E, MATCH("L_ramp_m", [1]Calc!$C:$C, 0)))))</f>
        <v>6.0000000000000009</v>
      </c>
      <c r="H419" s="2" t="str">
        <f>IF($E419="","", IF(AND($E419&gt;=INDEX([1]Calc!$E:$E, MATCH("min_fwd_draft_m", [1]Calc!$C:$C, 0)), $E419&lt;=INDEX([1]Calc!$E:$E, MATCH("max_fwd_draft_m", [1]Calc!$C:$C, 0)), $G419&lt;=INDEX([1]Calc!$E:$E, MATCH("theta_max_deg", [1]Calc!$C:$C, 0))), "OK", "CHECK"))</f>
        <v>OK</v>
      </c>
      <c r="I419" s="3">
        <f>IF($E419="","", INDEX([1]Calc!$E:$E, MATCH("D_vessel_m", [1]Calc!$C:$C, 0)) - $E419 + $B419)</f>
        <v>1.9112508231881178</v>
      </c>
      <c r="J419" s="3">
        <f>IF($F419="","", INDEX([1]Calc!$E:$E, MATCH("D_vessel_m", [1]Calc!$C:$C, 0)) - $F419 + $B419)</f>
        <v>1.9112508231881178</v>
      </c>
      <c r="K419" s="2" t="str">
        <f t="shared" si="20"/>
        <v>Even Keel</v>
      </c>
    </row>
    <row r="420" spans="1:11" x14ac:dyDescent="0.6">
      <c r="A420" s="2" t="str">
        <f>IF('December_Tide_2025 (2)'!A420="","",'December_Tide_2025 (2)'!A420)</f>
        <v>2025-12-18 10:00:00</v>
      </c>
      <c r="B420" s="3">
        <f>IF('December_Tide_2025 (2)'!B420="","",'December_Tide_2025 (2)'!B420)</f>
        <v>0.86</v>
      </c>
      <c r="C420" s="3">
        <f>IF($A420="","", INDEX([1]Calc!$E:$E, MATCH("KminusZ_m", [1]Calc!$C:$C, 0)) + $B420 - INDEX([1]Calc!$E:$E, MATCH("L_ramp_m", [1]Calc!$C:$C, 0)) * TAN(RADIANS(INDEX([1]Calc!$E:$E, MATCH("theta_max_deg", [1]Calc!$C:$C, 0)))))</f>
        <v>2.5987491768118822</v>
      </c>
      <c r="D420" s="3"/>
      <c r="E420" s="3">
        <f t="shared" si="18"/>
        <v>2.5987491768118822</v>
      </c>
      <c r="F420" s="3">
        <f t="shared" si="19"/>
        <v>2.5987491768118822</v>
      </c>
      <c r="G420" s="3">
        <f>IF($E420="","", DEGREES(ATAN((INDEX([1]Calc!$E:$E, MATCH("KminusZ_m", [1]Calc!$C:$C, 0)) - $E420 + $B420) / INDEX([1]Calc!$E:$E, MATCH("L_ramp_m", [1]Calc!$C:$C, 0)))))</f>
        <v>6.0000000000000009</v>
      </c>
      <c r="H420" s="2" t="str">
        <f>IF($E420="","", IF(AND($E420&gt;=INDEX([1]Calc!$E:$E, MATCH("min_fwd_draft_m", [1]Calc!$C:$C, 0)), $E420&lt;=INDEX([1]Calc!$E:$E, MATCH("max_fwd_draft_m", [1]Calc!$C:$C, 0)), $G420&lt;=INDEX([1]Calc!$E:$E, MATCH("theta_max_deg", [1]Calc!$C:$C, 0))), "OK", "CHECK"))</f>
        <v>OK</v>
      </c>
      <c r="I420" s="3">
        <f>IF($E420="","", INDEX([1]Calc!$E:$E, MATCH("D_vessel_m", [1]Calc!$C:$C, 0)) - $E420 + $B420)</f>
        <v>1.9112508231881176</v>
      </c>
      <c r="J420" s="3">
        <f>IF($F420="","", INDEX([1]Calc!$E:$E, MATCH("D_vessel_m", [1]Calc!$C:$C, 0)) - $F420 + $B420)</f>
        <v>1.9112508231881176</v>
      </c>
      <c r="K420" s="2" t="str">
        <f t="shared" si="20"/>
        <v>Even Keel</v>
      </c>
    </row>
    <row r="421" spans="1:11" x14ac:dyDescent="0.6">
      <c r="A421" s="2" t="str">
        <f>IF('December_Tide_2025 (2)'!A421="","",'December_Tide_2025 (2)'!A421)</f>
        <v>2025-12-18 11:00:00</v>
      </c>
      <c r="B421" s="3">
        <f>IF('December_Tide_2025 (2)'!B421="","",'December_Tide_2025 (2)'!B421)</f>
        <v>0.99</v>
      </c>
      <c r="C421" s="3">
        <f>IF($A421="","", INDEX([1]Calc!$E:$E, MATCH("KminusZ_m", [1]Calc!$C:$C, 0)) + $B421 - INDEX([1]Calc!$E:$E, MATCH("L_ramp_m", [1]Calc!$C:$C, 0)) * TAN(RADIANS(INDEX([1]Calc!$E:$E, MATCH("theta_max_deg", [1]Calc!$C:$C, 0)))))</f>
        <v>2.7287491768118826</v>
      </c>
      <c r="D421" s="3"/>
      <c r="E421" s="3">
        <f t="shared" si="18"/>
        <v>2.7287491768118826</v>
      </c>
      <c r="F421" s="3">
        <f t="shared" si="19"/>
        <v>2.7287491768118826</v>
      </c>
      <c r="G421" s="3">
        <f>IF($E421="","", DEGREES(ATAN((INDEX([1]Calc!$E:$E, MATCH("KminusZ_m", [1]Calc!$C:$C, 0)) - $E421 + $B421) / INDEX([1]Calc!$E:$E, MATCH("L_ramp_m", [1]Calc!$C:$C, 0)))))</f>
        <v>6</v>
      </c>
      <c r="H421" s="2" t="str">
        <f>IF($E421="","", IF(AND($E421&gt;=INDEX([1]Calc!$E:$E, MATCH("min_fwd_draft_m", [1]Calc!$C:$C, 0)), $E421&lt;=INDEX([1]Calc!$E:$E, MATCH("max_fwd_draft_m", [1]Calc!$C:$C, 0)), $G421&lt;=INDEX([1]Calc!$E:$E, MATCH("theta_max_deg", [1]Calc!$C:$C, 0))), "OK", "CHECK"))</f>
        <v>OK</v>
      </c>
      <c r="I421" s="3">
        <f>IF($E421="","", INDEX([1]Calc!$E:$E, MATCH("D_vessel_m", [1]Calc!$C:$C, 0)) - $E421 + $B421)</f>
        <v>1.9112508231881173</v>
      </c>
      <c r="J421" s="3">
        <f>IF($F421="","", INDEX([1]Calc!$E:$E, MATCH("D_vessel_m", [1]Calc!$C:$C, 0)) - $F421 + $B421)</f>
        <v>1.9112508231881173</v>
      </c>
      <c r="K421" s="2" t="str">
        <f t="shared" si="20"/>
        <v>Even Keel</v>
      </c>
    </row>
    <row r="422" spans="1:11" x14ac:dyDescent="0.6">
      <c r="A422" s="2" t="str">
        <f>IF('December_Tide_2025 (2)'!A422="","",'December_Tide_2025 (2)'!A422)</f>
        <v>2025-12-18 12:00:00</v>
      </c>
      <c r="B422" s="3">
        <f>IF('December_Tide_2025 (2)'!B422="","",'December_Tide_2025 (2)'!B422)</f>
        <v>1.33</v>
      </c>
      <c r="C422" s="3">
        <f>IF($A422="","", INDEX([1]Calc!$E:$E, MATCH("KminusZ_m", [1]Calc!$C:$C, 0)) + $B422 - INDEX([1]Calc!$E:$E, MATCH("L_ramp_m", [1]Calc!$C:$C, 0)) * TAN(RADIANS(INDEX([1]Calc!$E:$E, MATCH("theta_max_deg", [1]Calc!$C:$C, 0)))))</f>
        <v>3.0687491768118824</v>
      </c>
      <c r="D422" s="3"/>
      <c r="E422" s="3">
        <f t="shared" si="18"/>
        <v>3.0687491768118824</v>
      </c>
      <c r="F422" s="3">
        <f t="shared" si="19"/>
        <v>3.0687491768118824</v>
      </c>
      <c r="G422" s="3">
        <f>IF($E422="","", DEGREES(ATAN((INDEX([1]Calc!$E:$E, MATCH("KminusZ_m", [1]Calc!$C:$C, 0)) - $E422 + $B422) / INDEX([1]Calc!$E:$E, MATCH("L_ramp_m", [1]Calc!$C:$C, 0)))))</f>
        <v>6.0000000000000009</v>
      </c>
      <c r="H422" s="2" t="str">
        <f>IF($E422="","", IF(AND($E422&gt;=INDEX([1]Calc!$E:$E, MATCH("min_fwd_draft_m", [1]Calc!$C:$C, 0)), $E422&lt;=INDEX([1]Calc!$E:$E, MATCH("max_fwd_draft_m", [1]Calc!$C:$C, 0)), $G422&lt;=INDEX([1]Calc!$E:$E, MATCH("theta_max_deg", [1]Calc!$C:$C, 0))), "OK", "CHECK"))</f>
        <v>OK</v>
      </c>
      <c r="I422" s="3">
        <f>IF($E422="","", INDEX([1]Calc!$E:$E, MATCH("D_vessel_m", [1]Calc!$C:$C, 0)) - $E422 + $B422)</f>
        <v>1.9112508231881176</v>
      </c>
      <c r="J422" s="3">
        <f>IF($F422="","", INDEX([1]Calc!$E:$E, MATCH("D_vessel_m", [1]Calc!$C:$C, 0)) - $F422 + $B422)</f>
        <v>1.9112508231881176</v>
      </c>
      <c r="K422" s="2" t="str">
        <f t="shared" si="20"/>
        <v>Even Keel</v>
      </c>
    </row>
    <row r="423" spans="1:11" x14ac:dyDescent="0.6">
      <c r="A423" s="2" t="str">
        <f>IF('December_Tide_2025 (2)'!A423="","",'December_Tide_2025 (2)'!A423)</f>
        <v>2025-12-18 13:00:00</v>
      </c>
      <c r="B423" s="3">
        <f>IF('December_Tide_2025 (2)'!B423="","",'December_Tide_2025 (2)'!B423)</f>
        <v>1.78</v>
      </c>
      <c r="C423" s="3">
        <f>IF($A423="","", INDEX([1]Calc!$E:$E, MATCH("KminusZ_m", [1]Calc!$C:$C, 0)) + $B423 - INDEX([1]Calc!$E:$E, MATCH("L_ramp_m", [1]Calc!$C:$C, 0)) * TAN(RADIANS(INDEX([1]Calc!$E:$E, MATCH("theta_max_deg", [1]Calc!$C:$C, 0)))))</f>
        <v>3.5187491768118826</v>
      </c>
      <c r="D423" s="3"/>
      <c r="E423" s="3">
        <f t="shared" si="18"/>
        <v>3.5187491768118826</v>
      </c>
      <c r="F423" s="3">
        <f t="shared" si="19"/>
        <v>3.5187491768118826</v>
      </c>
      <c r="G423" s="3">
        <f>IF($E423="","", DEGREES(ATAN((INDEX([1]Calc!$E:$E, MATCH("KminusZ_m", [1]Calc!$C:$C, 0)) - $E423 + $B423) / INDEX([1]Calc!$E:$E, MATCH("L_ramp_m", [1]Calc!$C:$C, 0)))))</f>
        <v>6</v>
      </c>
      <c r="H423" s="2" t="str">
        <f>IF($E423="","", IF(AND($E423&gt;=INDEX([1]Calc!$E:$E, MATCH("min_fwd_draft_m", [1]Calc!$C:$C, 0)), $E423&lt;=INDEX([1]Calc!$E:$E, MATCH("max_fwd_draft_m", [1]Calc!$C:$C, 0)), $G423&lt;=INDEX([1]Calc!$E:$E, MATCH("theta_max_deg", [1]Calc!$C:$C, 0))), "OK", "CHECK"))</f>
        <v>CHECK</v>
      </c>
      <c r="I423" s="3">
        <f>IF($E423="","", INDEX([1]Calc!$E:$E, MATCH("D_vessel_m", [1]Calc!$C:$C, 0)) - $E423 + $B423)</f>
        <v>1.9112508231881173</v>
      </c>
      <c r="J423" s="3">
        <f>IF($F423="","", INDEX([1]Calc!$E:$E, MATCH("D_vessel_m", [1]Calc!$C:$C, 0)) - $F423 + $B423)</f>
        <v>1.9112508231881173</v>
      </c>
      <c r="K423" s="2" t="str">
        <f t="shared" si="20"/>
        <v>Even Keel</v>
      </c>
    </row>
    <row r="424" spans="1:11" x14ac:dyDescent="0.6">
      <c r="A424" s="2" t="str">
        <f>IF('December_Tide_2025 (2)'!A424="","",'December_Tide_2025 (2)'!A424)</f>
        <v>2025-12-18 14:00:00</v>
      </c>
      <c r="B424" s="3">
        <f>IF('December_Tide_2025 (2)'!B424="","",'December_Tide_2025 (2)'!B424)</f>
        <v>2.2400000000000002</v>
      </c>
      <c r="C424" s="3">
        <f>IF($A424="","", INDEX([1]Calc!$E:$E, MATCH("KminusZ_m", [1]Calc!$C:$C, 0)) + $B424 - INDEX([1]Calc!$E:$E, MATCH("L_ramp_m", [1]Calc!$C:$C, 0)) * TAN(RADIANS(INDEX([1]Calc!$E:$E, MATCH("theta_max_deg", [1]Calc!$C:$C, 0)))))</f>
        <v>3.9787491768118826</v>
      </c>
      <c r="D424" s="3"/>
      <c r="E424" s="3">
        <f t="shared" si="18"/>
        <v>3.9787491768118826</v>
      </c>
      <c r="F424" s="3">
        <f t="shared" si="19"/>
        <v>3.9787491768118826</v>
      </c>
      <c r="G424" s="3">
        <f>IF($E424="","", DEGREES(ATAN((INDEX([1]Calc!$E:$E, MATCH("KminusZ_m", [1]Calc!$C:$C, 0)) - $E424 + $B424) / INDEX([1]Calc!$E:$E, MATCH("L_ramp_m", [1]Calc!$C:$C, 0)))))</f>
        <v>6.0000000000000009</v>
      </c>
      <c r="H424" s="2" t="str">
        <f>IF($E424="","", IF(AND($E424&gt;=INDEX([1]Calc!$E:$E, MATCH("min_fwd_draft_m", [1]Calc!$C:$C, 0)), $E424&lt;=INDEX([1]Calc!$E:$E, MATCH("max_fwd_draft_m", [1]Calc!$C:$C, 0)), $G424&lt;=INDEX([1]Calc!$E:$E, MATCH("theta_max_deg", [1]Calc!$C:$C, 0))), "OK", "CHECK"))</f>
        <v>CHECK</v>
      </c>
      <c r="I424" s="3">
        <f>IF($E424="","", INDEX([1]Calc!$E:$E, MATCH("D_vessel_m", [1]Calc!$C:$C, 0)) - $E424 + $B424)</f>
        <v>1.9112508231881176</v>
      </c>
      <c r="J424" s="3">
        <f>IF($F424="","", INDEX([1]Calc!$E:$E, MATCH("D_vessel_m", [1]Calc!$C:$C, 0)) - $F424 + $B424)</f>
        <v>1.9112508231881176</v>
      </c>
      <c r="K424" s="2" t="str">
        <f t="shared" si="20"/>
        <v>Even Keel</v>
      </c>
    </row>
    <row r="425" spans="1:11" x14ac:dyDescent="0.6">
      <c r="A425" s="2" t="str">
        <f>IF('December_Tide_2025 (2)'!A425="","",'December_Tide_2025 (2)'!A425)</f>
        <v>2025-12-18 15:00:00</v>
      </c>
      <c r="B425" s="3">
        <f>IF('December_Tide_2025 (2)'!B425="","",'December_Tide_2025 (2)'!B425)</f>
        <v>2.58</v>
      </c>
      <c r="C425" s="3">
        <f>IF($A425="","", INDEX([1]Calc!$E:$E, MATCH("KminusZ_m", [1]Calc!$C:$C, 0)) + $B425 - INDEX([1]Calc!$E:$E, MATCH("L_ramp_m", [1]Calc!$C:$C, 0)) * TAN(RADIANS(INDEX([1]Calc!$E:$E, MATCH("theta_max_deg", [1]Calc!$C:$C, 0)))))</f>
        <v>4.3187491768118829</v>
      </c>
      <c r="D425" s="3"/>
      <c r="E425" s="3">
        <f t="shared" si="18"/>
        <v>4.3187491768118829</v>
      </c>
      <c r="F425" s="3">
        <f t="shared" si="19"/>
        <v>4.3187491768118829</v>
      </c>
      <c r="G425" s="3">
        <f>IF($E425="","", DEGREES(ATAN((INDEX([1]Calc!$E:$E, MATCH("KminusZ_m", [1]Calc!$C:$C, 0)) - $E425 + $B425) / INDEX([1]Calc!$E:$E, MATCH("L_ramp_m", [1]Calc!$C:$C, 0)))))</f>
        <v>5.9999999999999982</v>
      </c>
      <c r="H425" s="2" t="str">
        <f>IF($E425="","", IF(AND($E425&gt;=INDEX([1]Calc!$E:$E, MATCH("min_fwd_draft_m", [1]Calc!$C:$C, 0)), $E425&lt;=INDEX([1]Calc!$E:$E, MATCH("max_fwd_draft_m", [1]Calc!$C:$C, 0)), $G425&lt;=INDEX([1]Calc!$E:$E, MATCH("theta_max_deg", [1]Calc!$C:$C, 0))), "OK", "CHECK"))</f>
        <v>CHECK</v>
      </c>
      <c r="I425" s="3">
        <f>IF($E425="","", INDEX([1]Calc!$E:$E, MATCH("D_vessel_m", [1]Calc!$C:$C, 0)) - $E425 + $B425)</f>
        <v>1.9112508231881171</v>
      </c>
      <c r="J425" s="3">
        <f>IF($F425="","", INDEX([1]Calc!$E:$E, MATCH("D_vessel_m", [1]Calc!$C:$C, 0)) - $F425 + $B425)</f>
        <v>1.9112508231881171</v>
      </c>
      <c r="K425" s="2" t="str">
        <f t="shared" si="20"/>
        <v>Even Keel</v>
      </c>
    </row>
    <row r="426" spans="1:11" x14ac:dyDescent="0.6">
      <c r="A426" s="2" t="str">
        <f>IF('December_Tide_2025 (2)'!A426="","",'December_Tide_2025 (2)'!A426)</f>
        <v>2025-12-18 16:00:00</v>
      </c>
      <c r="B426" s="3">
        <f>IF('December_Tide_2025 (2)'!B426="","",'December_Tide_2025 (2)'!B426)</f>
        <v>2.73</v>
      </c>
      <c r="C426" s="3">
        <f>IF($A426="","", INDEX([1]Calc!$E:$E, MATCH("KminusZ_m", [1]Calc!$C:$C, 0)) + $B426 - INDEX([1]Calc!$E:$E, MATCH("L_ramp_m", [1]Calc!$C:$C, 0)) * TAN(RADIANS(INDEX([1]Calc!$E:$E, MATCH("theta_max_deg", [1]Calc!$C:$C, 0)))))</f>
        <v>4.4687491768118832</v>
      </c>
      <c r="D426" s="3"/>
      <c r="E426" s="3">
        <f t="shared" si="18"/>
        <v>4.4687491768118832</v>
      </c>
      <c r="F426" s="3">
        <f t="shared" si="19"/>
        <v>4.4687491768118832</v>
      </c>
      <c r="G426" s="3">
        <f>IF($E426="","", DEGREES(ATAN((INDEX([1]Calc!$E:$E, MATCH("KminusZ_m", [1]Calc!$C:$C, 0)) - $E426 + $B426) / INDEX([1]Calc!$E:$E, MATCH("L_ramp_m", [1]Calc!$C:$C, 0)))))</f>
        <v>5.9999999999999964</v>
      </c>
      <c r="H426" s="2" t="str">
        <f>IF($E426="","", IF(AND($E426&gt;=INDEX([1]Calc!$E:$E, MATCH("min_fwd_draft_m", [1]Calc!$C:$C, 0)), $E426&lt;=INDEX([1]Calc!$E:$E, MATCH("max_fwd_draft_m", [1]Calc!$C:$C, 0)), $G426&lt;=INDEX([1]Calc!$E:$E, MATCH("theta_max_deg", [1]Calc!$C:$C, 0))), "OK", "CHECK"))</f>
        <v>CHECK</v>
      </c>
      <c r="I426" s="3">
        <f>IF($E426="","", INDEX([1]Calc!$E:$E, MATCH("D_vessel_m", [1]Calc!$C:$C, 0)) - $E426 + $B426)</f>
        <v>1.9112508231881167</v>
      </c>
      <c r="J426" s="3">
        <f>IF($F426="","", INDEX([1]Calc!$E:$E, MATCH("D_vessel_m", [1]Calc!$C:$C, 0)) - $F426 + $B426)</f>
        <v>1.9112508231881167</v>
      </c>
      <c r="K426" s="2" t="str">
        <f t="shared" si="20"/>
        <v>Even Keel</v>
      </c>
    </row>
    <row r="427" spans="1:11" x14ac:dyDescent="0.6">
      <c r="A427" s="2" t="str">
        <f>IF('December_Tide_2025 (2)'!A427="","",'December_Tide_2025 (2)'!A427)</f>
        <v>2025-12-18 17:00:00</v>
      </c>
      <c r="B427" s="3">
        <f>IF('December_Tide_2025 (2)'!B427="","",'December_Tide_2025 (2)'!B427)</f>
        <v>2.65</v>
      </c>
      <c r="C427" s="3">
        <f>IF($A427="","", INDEX([1]Calc!$E:$E, MATCH("KminusZ_m", [1]Calc!$C:$C, 0)) + $B427 - INDEX([1]Calc!$E:$E, MATCH("L_ramp_m", [1]Calc!$C:$C, 0)) * TAN(RADIANS(INDEX([1]Calc!$E:$E, MATCH("theta_max_deg", [1]Calc!$C:$C, 0)))))</f>
        <v>4.3887491768118831</v>
      </c>
      <c r="D427" s="3"/>
      <c r="E427" s="3">
        <f t="shared" si="18"/>
        <v>4.3887491768118831</v>
      </c>
      <c r="F427" s="3">
        <f t="shared" si="19"/>
        <v>4.3887491768118831</v>
      </c>
      <c r="G427" s="3">
        <f>IF($E427="","", DEGREES(ATAN((INDEX([1]Calc!$E:$E, MATCH("KminusZ_m", [1]Calc!$C:$C, 0)) - $E427 + $B427) / INDEX([1]Calc!$E:$E, MATCH("L_ramp_m", [1]Calc!$C:$C, 0)))))</f>
        <v>5.9999999999999964</v>
      </c>
      <c r="H427" s="2" t="str">
        <f>IF($E427="","", IF(AND($E427&gt;=INDEX([1]Calc!$E:$E, MATCH("min_fwd_draft_m", [1]Calc!$C:$C, 0)), $E427&lt;=INDEX([1]Calc!$E:$E, MATCH("max_fwd_draft_m", [1]Calc!$C:$C, 0)), $G427&lt;=INDEX([1]Calc!$E:$E, MATCH("theta_max_deg", [1]Calc!$C:$C, 0))), "OK", "CHECK"))</f>
        <v>CHECK</v>
      </c>
      <c r="I427" s="3">
        <f>IF($E427="","", INDEX([1]Calc!$E:$E, MATCH("D_vessel_m", [1]Calc!$C:$C, 0)) - $E427 + $B427)</f>
        <v>1.9112508231881167</v>
      </c>
      <c r="J427" s="3">
        <f>IF($F427="","", INDEX([1]Calc!$E:$E, MATCH("D_vessel_m", [1]Calc!$C:$C, 0)) - $F427 + $B427)</f>
        <v>1.9112508231881167</v>
      </c>
      <c r="K427" s="2" t="str">
        <f t="shared" si="20"/>
        <v>Even Keel</v>
      </c>
    </row>
    <row r="428" spans="1:11" x14ac:dyDescent="0.6">
      <c r="A428" s="2" t="str">
        <f>IF('December_Tide_2025 (2)'!A428="","",'December_Tide_2025 (2)'!A428)</f>
        <v>2025-12-18 18:00:00</v>
      </c>
      <c r="B428" s="3">
        <f>IF('December_Tide_2025 (2)'!B428="","",'December_Tide_2025 (2)'!B428)</f>
        <v>2.35</v>
      </c>
      <c r="C428" s="3">
        <f>IF($A428="","", INDEX([1]Calc!$E:$E, MATCH("KminusZ_m", [1]Calc!$C:$C, 0)) + $B428 - INDEX([1]Calc!$E:$E, MATCH("L_ramp_m", [1]Calc!$C:$C, 0)) * TAN(RADIANS(INDEX([1]Calc!$E:$E, MATCH("theta_max_deg", [1]Calc!$C:$C, 0)))))</f>
        <v>4.0887491768118824</v>
      </c>
      <c r="D428" s="3"/>
      <c r="E428" s="3">
        <f t="shared" si="18"/>
        <v>4.0887491768118824</v>
      </c>
      <c r="F428" s="3">
        <f t="shared" si="19"/>
        <v>4.0887491768118824</v>
      </c>
      <c r="G428" s="3">
        <f>IF($E428="","", DEGREES(ATAN((INDEX([1]Calc!$E:$E, MATCH("KminusZ_m", [1]Calc!$C:$C, 0)) - $E428 + $B428) / INDEX([1]Calc!$E:$E, MATCH("L_ramp_m", [1]Calc!$C:$C, 0)))))</f>
        <v>6.0000000000000009</v>
      </c>
      <c r="H428" s="2" t="str">
        <f>IF($E428="","", IF(AND($E428&gt;=INDEX([1]Calc!$E:$E, MATCH("min_fwd_draft_m", [1]Calc!$C:$C, 0)), $E428&lt;=INDEX([1]Calc!$E:$E, MATCH("max_fwd_draft_m", [1]Calc!$C:$C, 0)), $G428&lt;=INDEX([1]Calc!$E:$E, MATCH("theta_max_deg", [1]Calc!$C:$C, 0))), "OK", "CHECK"))</f>
        <v>CHECK</v>
      </c>
      <c r="I428" s="3">
        <f>IF($E428="","", INDEX([1]Calc!$E:$E, MATCH("D_vessel_m", [1]Calc!$C:$C, 0)) - $E428 + $B428)</f>
        <v>1.9112508231881176</v>
      </c>
      <c r="J428" s="3">
        <f>IF($F428="","", INDEX([1]Calc!$E:$E, MATCH("D_vessel_m", [1]Calc!$C:$C, 0)) - $F428 + $B428)</f>
        <v>1.9112508231881176</v>
      </c>
      <c r="K428" s="2" t="str">
        <f t="shared" si="20"/>
        <v>Even Keel</v>
      </c>
    </row>
    <row r="429" spans="1:11" x14ac:dyDescent="0.6">
      <c r="A429" s="2" t="str">
        <f>IF('December_Tide_2025 (2)'!A429="","",'December_Tide_2025 (2)'!A429)</f>
        <v>2025-12-18 19:00:00</v>
      </c>
      <c r="B429" s="3">
        <f>IF('December_Tide_2025 (2)'!B429="","",'December_Tide_2025 (2)'!B429)</f>
        <v>1.92</v>
      </c>
      <c r="C429" s="3">
        <f>IF($A429="","", INDEX([1]Calc!$E:$E, MATCH("KminusZ_m", [1]Calc!$C:$C, 0)) + $B429 - INDEX([1]Calc!$E:$E, MATCH("L_ramp_m", [1]Calc!$C:$C, 0)) * TAN(RADIANS(INDEX([1]Calc!$E:$E, MATCH("theta_max_deg", [1]Calc!$C:$C, 0)))))</f>
        <v>3.6587491768118823</v>
      </c>
      <c r="D429" s="3"/>
      <c r="E429" s="3">
        <f t="shared" si="18"/>
        <v>3.6587491768118823</v>
      </c>
      <c r="F429" s="3">
        <f t="shared" si="19"/>
        <v>3.6587491768118823</v>
      </c>
      <c r="G429" s="3">
        <f>IF($E429="","", DEGREES(ATAN((INDEX([1]Calc!$E:$E, MATCH("KminusZ_m", [1]Calc!$C:$C, 0)) - $E429 + $B429) / INDEX([1]Calc!$E:$E, MATCH("L_ramp_m", [1]Calc!$C:$C, 0)))))</f>
        <v>6.0000000000000009</v>
      </c>
      <c r="H429" s="2" t="str">
        <f>IF($E429="","", IF(AND($E429&gt;=INDEX([1]Calc!$E:$E, MATCH("min_fwd_draft_m", [1]Calc!$C:$C, 0)), $E429&lt;=INDEX([1]Calc!$E:$E, MATCH("max_fwd_draft_m", [1]Calc!$C:$C, 0)), $G429&lt;=INDEX([1]Calc!$E:$E, MATCH("theta_max_deg", [1]Calc!$C:$C, 0))), "OK", "CHECK"))</f>
        <v>CHECK</v>
      </c>
      <c r="I429" s="3">
        <f>IF($E429="","", INDEX([1]Calc!$E:$E, MATCH("D_vessel_m", [1]Calc!$C:$C, 0)) - $E429 + $B429)</f>
        <v>1.9112508231881176</v>
      </c>
      <c r="J429" s="3">
        <f>IF($F429="","", INDEX([1]Calc!$E:$E, MATCH("D_vessel_m", [1]Calc!$C:$C, 0)) - $F429 + $B429)</f>
        <v>1.9112508231881176</v>
      </c>
      <c r="K429" s="2" t="str">
        <f t="shared" si="20"/>
        <v>Even Keel</v>
      </c>
    </row>
    <row r="430" spans="1:11" x14ac:dyDescent="0.6">
      <c r="A430" s="2" t="str">
        <f>IF('December_Tide_2025 (2)'!A430="","",'December_Tide_2025 (2)'!A430)</f>
        <v>2025-12-18 20:00:00</v>
      </c>
      <c r="B430" s="3">
        <f>IF('December_Tide_2025 (2)'!B430="","",'December_Tide_2025 (2)'!B430)</f>
        <v>1.45</v>
      </c>
      <c r="C430" s="3">
        <f>IF($A430="","", INDEX([1]Calc!$E:$E, MATCH("KminusZ_m", [1]Calc!$C:$C, 0)) + $B430 - INDEX([1]Calc!$E:$E, MATCH("L_ramp_m", [1]Calc!$C:$C, 0)) * TAN(RADIANS(INDEX([1]Calc!$E:$E, MATCH("theta_max_deg", [1]Calc!$C:$C, 0)))))</f>
        <v>3.1887491768118825</v>
      </c>
      <c r="D430" s="3"/>
      <c r="E430" s="3">
        <f t="shared" si="18"/>
        <v>3.1887491768118825</v>
      </c>
      <c r="F430" s="3">
        <f t="shared" si="19"/>
        <v>3.1887491768118825</v>
      </c>
      <c r="G430" s="3">
        <f>IF($E430="","", DEGREES(ATAN((INDEX([1]Calc!$E:$E, MATCH("KminusZ_m", [1]Calc!$C:$C, 0)) - $E430 + $B430) / INDEX([1]Calc!$E:$E, MATCH("L_ramp_m", [1]Calc!$C:$C, 0)))))</f>
        <v>6</v>
      </c>
      <c r="H430" s="2" t="str">
        <f>IF($E430="","", IF(AND($E430&gt;=INDEX([1]Calc!$E:$E, MATCH("min_fwd_draft_m", [1]Calc!$C:$C, 0)), $E430&lt;=INDEX([1]Calc!$E:$E, MATCH("max_fwd_draft_m", [1]Calc!$C:$C, 0)), $G430&lt;=INDEX([1]Calc!$E:$E, MATCH("theta_max_deg", [1]Calc!$C:$C, 0))), "OK", "CHECK"))</f>
        <v>OK</v>
      </c>
      <c r="I430" s="3">
        <f>IF($E430="","", INDEX([1]Calc!$E:$E, MATCH("D_vessel_m", [1]Calc!$C:$C, 0)) - $E430 + $B430)</f>
        <v>1.9112508231881173</v>
      </c>
      <c r="J430" s="3">
        <f>IF($F430="","", INDEX([1]Calc!$E:$E, MATCH("D_vessel_m", [1]Calc!$C:$C, 0)) - $F430 + $B430)</f>
        <v>1.9112508231881173</v>
      </c>
      <c r="K430" s="2" t="str">
        <f t="shared" si="20"/>
        <v>Even Keel</v>
      </c>
    </row>
    <row r="431" spans="1:11" x14ac:dyDescent="0.6">
      <c r="A431" s="2" t="str">
        <f>IF('December_Tide_2025 (2)'!A431="","",'December_Tide_2025 (2)'!A431)</f>
        <v>2025-12-18 21:00:00</v>
      </c>
      <c r="B431" s="3">
        <f>IF('December_Tide_2025 (2)'!B431="","",'December_Tide_2025 (2)'!B431)</f>
        <v>1.07</v>
      </c>
      <c r="C431" s="3">
        <f>IF($A431="","", INDEX([1]Calc!$E:$E, MATCH("KminusZ_m", [1]Calc!$C:$C, 0)) + $B431 - INDEX([1]Calc!$E:$E, MATCH("L_ramp_m", [1]Calc!$C:$C, 0)) * TAN(RADIANS(INDEX([1]Calc!$E:$E, MATCH("theta_max_deg", [1]Calc!$C:$C, 0)))))</f>
        <v>2.8087491768118826</v>
      </c>
      <c r="D431" s="3"/>
      <c r="E431" s="3">
        <f t="shared" si="18"/>
        <v>2.8087491768118826</v>
      </c>
      <c r="F431" s="3">
        <f t="shared" si="19"/>
        <v>2.8087491768118826</v>
      </c>
      <c r="G431" s="3">
        <f>IF($E431="","", DEGREES(ATAN((INDEX([1]Calc!$E:$E, MATCH("KminusZ_m", [1]Calc!$C:$C, 0)) - $E431 + $B431) / INDEX([1]Calc!$E:$E, MATCH("L_ramp_m", [1]Calc!$C:$C, 0)))))</f>
        <v>6</v>
      </c>
      <c r="H431" s="2" t="str">
        <f>IF($E431="","", IF(AND($E431&gt;=INDEX([1]Calc!$E:$E, MATCH("min_fwd_draft_m", [1]Calc!$C:$C, 0)), $E431&lt;=INDEX([1]Calc!$E:$E, MATCH("max_fwd_draft_m", [1]Calc!$C:$C, 0)), $G431&lt;=INDEX([1]Calc!$E:$E, MATCH("theta_max_deg", [1]Calc!$C:$C, 0))), "OK", "CHECK"))</f>
        <v>OK</v>
      </c>
      <c r="I431" s="3">
        <f>IF($E431="","", INDEX([1]Calc!$E:$E, MATCH("D_vessel_m", [1]Calc!$C:$C, 0)) - $E431 + $B431)</f>
        <v>1.9112508231881173</v>
      </c>
      <c r="J431" s="3">
        <f>IF($F431="","", INDEX([1]Calc!$E:$E, MATCH("D_vessel_m", [1]Calc!$C:$C, 0)) - $F431 + $B431)</f>
        <v>1.9112508231881173</v>
      </c>
      <c r="K431" s="2" t="str">
        <f t="shared" si="20"/>
        <v>Even Keel</v>
      </c>
    </row>
    <row r="432" spans="1:11" x14ac:dyDescent="0.6">
      <c r="A432" s="2" t="str">
        <f>IF('December_Tide_2025 (2)'!A432="","",'December_Tide_2025 (2)'!A432)</f>
        <v>2025-12-18 22:00:00</v>
      </c>
      <c r="B432" s="3">
        <f>IF('December_Tide_2025 (2)'!B432="","",'December_Tide_2025 (2)'!B432)</f>
        <v>0.88</v>
      </c>
      <c r="C432" s="3">
        <f>IF($A432="","", INDEX([1]Calc!$E:$E, MATCH("KminusZ_m", [1]Calc!$C:$C, 0)) + $B432 - INDEX([1]Calc!$E:$E, MATCH("L_ramp_m", [1]Calc!$C:$C, 0)) * TAN(RADIANS(INDEX([1]Calc!$E:$E, MATCH("theta_max_deg", [1]Calc!$C:$C, 0)))))</f>
        <v>2.6187491768118822</v>
      </c>
      <c r="D432" s="3"/>
      <c r="E432" s="3">
        <f t="shared" si="18"/>
        <v>2.6187491768118822</v>
      </c>
      <c r="F432" s="3">
        <f t="shared" si="19"/>
        <v>2.6187491768118822</v>
      </c>
      <c r="G432" s="3">
        <f>IF($E432="","", DEGREES(ATAN((INDEX([1]Calc!$E:$E, MATCH("KminusZ_m", [1]Calc!$C:$C, 0)) - $E432 + $B432) / INDEX([1]Calc!$E:$E, MATCH("L_ramp_m", [1]Calc!$C:$C, 0)))))</f>
        <v>6.0000000000000009</v>
      </c>
      <c r="H432" s="2" t="str">
        <f>IF($E432="","", IF(AND($E432&gt;=INDEX([1]Calc!$E:$E, MATCH("min_fwd_draft_m", [1]Calc!$C:$C, 0)), $E432&lt;=INDEX([1]Calc!$E:$E, MATCH("max_fwd_draft_m", [1]Calc!$C:$C, 0)), $G432&lt;=INDEX([1]Calc!$E:$E, MATCH("theta_max_deg", [1]Calc!$C:$C, 0))), "OK", "CHECK"))</f>
        <v>OK</v>
      </c>
      <c r="I432" s="3">
        <f>IF($E432="","", INDEX([1]Calc!$E:$E, MATCH("D_vessel_m", [1]Calc!$C:$C, 0)) - $E432 + $B432)</f>
        <v>1.9112508231881176</v>
      </c>
      <c r="J432" s="3">
        <f>IF($F432="","", INDEX([1]Calc!$E:$E, MATCH("D_vessel_m", [1]Calc!$C:$C, 0)) - $F432 + $B432)</f>
        <v>1.9112508231881176</v>
      </c>
      <c r="K432" s="2" t="str">
        <f t="shared" si="20"/>
        <v>Even Keel</v>
      </c>
    </row>
    <row r="433" spans="1:11" x14ac:dyDescent="0.6">
      <c r="A433" s="2" t="str">
        <f>IF('December_Tide_2025 (2)'!A433="","",'December_Tide_2025 (2)'!A433)</f>
        <v>2025-12-18 23:00:00</v>
      </c>
      <c r="B433" s="3">
        <f>IF('December_Tide_2025 (2)'!B433="","",'December_Tide_2025 (2)'!B433)</f>
        <v>0.91</v>
      </c>
      <c r="C433" s="3">
        <f>IF($A433="","", INDEX([1]Calc!$E:$E, MATCH("KminusZ_m", [1]Calc!$C:$C, 0)) + $B433 - INDEX([1]Calc!$E:$E, MATCH("L_ramp_m", [1]Calc!$C:$C, 0)) * TAN(RADIANS(INDEX([1]Calc!$E:$E, MATCH("theta_max_deg", [1]Calc!$C:$C, 0)))))</f>
        <v>2.6487491768118825</v>
      </c>
      <c r="D433" s="3"/>
      <c r="E433" s="3">
        <f t="shared" si="18"/>
        <v>2.6487491768118825</v>
      </c>
      <c r="F433" s="3">
        <f t="shared" si="19"/>
        <v>2.6487491768118825</v>
      </c>
      <c r="G433" s="3">
        <f>IF($E433="","", DEGREES(ATAN((INDEX([1]Calc!$E:$E, MATCH("KminusZ_m", [1]Calc!$C:$C, 0)) - $E433 + $B433) / INDEX([1]Calc!$E:$E, MATCH("L_ramp_m", [1]Calc!$C:$C, 0)))))</f>
        <v>6.0000000000000009</v>
      </c>
      <c r="H433" s="2" t="str">
        <f>IF($E433="","", IF(AND($E433&gt;=INDEX([1]Calc!$E:$E, MATCH("min_fwd_draft_m", [1]Calc!$C:$C, 0)), $E433&lt;=INDEX([1]Calc!$E:$E, MATCH("max_fwd_draft_m", [1]Calc!$C:$C, 0)), $G433&lt;=INDEX([1]Calc!$E:$E, MATCH("theta_max_deg", [1]Calc!$C:$C, 0))), "OK", "CHECK"))</f>
        <v>OK</v>
      </c>
      <c r="I433" s="3">
        <f>IF($E433="","", INDEX([1]Calc!$E:$E, MATCH("D_vessel_m", [1]Calc!$C:$C, 0)) - $E433 + $B433)</f>
        <v>1.9112508231881176</v>
      </c>
      <c r="J433" s="3">
        <f>IF($F433="","", INDEX([1]Calc!$E:$E, MATCH("D_vessel_m", [1]Calc!$C:$C, 0)) - $F433 + $B433)</f>
        <v>1.9112508231881176</v>
      </c>
      <c r="K433" s="2" t="str">
        <f t="shared" si="20"/>
        <v>Even Keel</v>
      </c>
    </row>
    <row r="434" spans="1:11" x14ac:dyDescent="0.6">
      <c r="A434" s="2" t="str">
        <f>IF('December_Tide_2025 (2)'!A434="","",'December_Tide_2025 (2)'!A434)</f>
        <v>2025-12-19 00:00:00</v>
      </c>
      <c r="B434" s="3">
        <f>IF('December_Tide_2025 (2)'!B434="","",'December_Tide_2025 (2)'!B434)</f>
        <v>1.17</v>
      </c>
      <c r="C434" s="3">
        <f>IF($A434="","", INDEX([1]Calc!$E:$E, MATCH("KminusZ_m", [1]Calc!$C:$C, 0)) + $B434 - INDEX([1]Calc!$E:$E, MATCH("L_ramp_m", [1]Calc!$C:$C, 0)) * TAN(RADIANS(INDEX([1]Calc!$E:$E, MATCH("theta_max_deg", [1]Calc!$C:$C, 0)))))</f>
        <v>2.9087491768118823</v>
      </c>
      <c r="D434" s="3"/>
      <c r="E434" s="3">
        <f t="shared" si="18"/>
        <v>2.9087491768118823</v>
      </c>
      <c r="F434" s="3">
        <f t="shared" si="19"/>
        <v>2.9087491768118823</v>
      </c>
      <c r="G434" s="3">
        <f>IF($E434="","", DEGREES(ATAN((INDEX([1]Calc!$E:$E, MATCH("KminusZ_m", [1]Calc!$C:$C, 0)) - $E434 + $B434) / INDEX([1]Calc!$E:$E, MATCH("L_ramp_m", [1]Calc!$C:$C, 0)))))</f>
        <v>6.0000000000000009</v>
      </c>
      <c r="H434" s="2" t="str">
        <f>IF($E434="","", IF(AND($E434&gt;=INDEX([1]Calc!$E:$E, MATCH("min_fwd_draft_m", [1]Calc!$C:$C, 0)), $E434&lt;=INDEX([1]Calc!$E:$E, MATCH("max_fwd_draft_m", [1]Calc!$C:$C, 0)), $G434&lt;=INDEX([1]Calc!$E:$E, MATCH("theta_max_deg", [1]Calc!$C:$C, 0))), "OK", "CHECK"))</f>
        <v>OK</v>
      </c>
      <c r="I434" s="3">
        <f>IF($E434="","", INDEX([1]Calc!$E:$E, MATCH("D_vessel_m", [1]Calc!$C:$C, 0)) - $E434 + $B434)</f>
        <v>1.9112508231881176</v>
      </c>
      <c r="J434" s="3">
        <f>IF($F434="","", INDEX([1]Calc!$E:$E, MATCH("D_vessel_m", [1]Calc!$C:$C, 0)) - $F434 + $B434)</f>
        <v>1.9112508231881176</v>
      </c>
      <c r="K434" s="2" t="str">
        <f t="shared" si="20"/>
        <v>Even Keel</v>
      </c>
    </row>
    <row r="435" spans="1:11" x14ac:dyDescent="0.6">
      <c r="A435" s="2" t="str">
        <f>IF('December_Tide_2025 (2)'!A435="","",'December_Tide_2025 (2)'!A435)</f>
        <v>2025-12-19 01:00:00</v>
      </c>
      <c r="B435" s="3">
        <f>IF('December_Tide_2025 (2)'!B435="","",'December_Tide_2025 (2)'!B435)</f>
        <v>1.59</v>
      </c>
      <c r="C435" s="3">
        <f>IF($A435="","", INDEX([1]Calc!$E:$E, MATCH("KminusZ_m", [1]Calc!$C:$C, 0)) + $B435 - INDEX([1]Calc!$E:$E, MATCH("L_ramp_m", [1]Calc!$C:$C, 0)) * TAN(RADIANS(INDEX([1]Calc!$E:$E, MATCH("theta_max_deg", [1]Calc!$C:$C, 0)))))</f>
        <v>3.3287491768118822</v>
      </c>
      <c r="D435" s="3"/>
      <c r="E435" s="3">
        <f t="shared" si="18"/>
        <v>3.3287491768118822</v>
      </c>
      <c r="F435" s="3">
        <f t="shared" si="19"/>
        <v>3.3287491768118822</v>
      </c>
      <c r="G435" s="3">
        <f>IF($E435="","", DEGREES(ATAN((INDEX([1]Calc!$E:$E, MATCH("KminusZ_m", [1]Calc!$C:$C, 0)) - $E435 + $B435) / INDEX([1]Calc!$E:$E, MATCH("L_ramp_m", [1]Calc!$C:$C, 0)))))</f>
        <v>6.0000000000000009</v>
      </c>
      <c r="H435" s="2" t="str">
        <f>IF($E435="","", IF(AND($E435&gt;=INDEX([1]Calc!$E:$E, MATCH("min_fwd_draft_m", [1]Calc!$C:$C, 0)), $E435&lt;=INDEX([1]Calc!$E:$E, MATCH("max_fwd_draft_m", [1]Calc!$C:$C, 0)), $G435&lt;=INDEX([1]Calc!$E:$E, MATCH("theta_max_deg", [1]Calc!$C:$C, 0))), "OK", "CHECK"))</f>
        <v>OK</v>
      </c>
      <c r="I435" s="3">
        <f>IF($E435="","", INDEX([1]Calc!$E:$E, MATCH("D_vessel_m", [1]Calc!$C:$C, 0)) - $E435 + $B435)</f>
        <v>1.9112508231881178</v>
      </c>
      <c r="J435" s="3">
        <f>IF($F435="","", INDEX([1]Calc!$E:$E, MATCH("D_vessel_m", [1]Calc!$C:$C, 0)) - $F435 + $B435)</f>
        <v>1.9112508231881178</v>
      </c>
      <c r="K435" s="2" t="str">
        <f t="shared" si="20"/>
        <v>Even Keel</v>
      </c>
    </row>
    <row r="436" spans="1:11" x14ac:dyDescent="0.6">
      <c r="A436" s="2" t="str">
        <f>IF('December_Tide_2025 (2)'!A436="","",'December_Tide_2025 (2)'!A436)</f>
        <v>2025-12-19 02:00:00</v>
      </c>
      <c r="B436" s="3">
        <f>IF('December_Tide_2025 (2)'!B436="","",'December_Tide_2025 (2)'!B436)</f>
        <v>2.06</v>
      </c>
      <c r="C436" s="3">
        <f>IF($A436="","", INDEX([1]Calc!$E:$E, MATCH("KminusZ_m", [1]Calc!$C:$C, 0)) + $B436 - INDEX([1]Calc!$E:$E, MATCH("L_ramp_m", [1]Calc!$C:$C, 0)) * TAN(RADIANS(INDEX([1]Calc!$E:$E, MATCH("theta_max_deg", [1]Calc!$C:$C, 0)))))</f>
        <v>3.7987491768118828</v>
      </c>
      <c r="D436" s="3"/>
      <c r="E436" s="3">
        <f t="shared" si="18"/>
        <v>3.7987491768118828</v>
      </c>
      <c r="F436" s="3">
        <f t="shared" si="19"/>
        <v>3.7987491768118828</v>
      </c>
      <c r="G436" s="3">
        <f>IF($E436="","", DEGREES(ATAN((INDEX([1]Calc!$E:$E, MATCH("KminusZ_m", [1]Calc!$C:$C, 0)) - $E436 + $B436) / INDEX([1]Calc!$E:$E, MATCH("L_ramp_m", [1]Calc!$C:$C, 0)))))</f>
        <v>5.9999999999999982</v>
      </c>
      <c r="H436" s="2" t="str">
        <f>IF($E436="","", IF(AND($E436&gt;=INDEX([1]Calc!$E:$E, MATCH("min_fwd_draft_m", [1]Calc!$C:$C, 0)), $E436&lt;=INDEX([1]Calc!$E:$E, MATCH("max_fwd_draft_m", [1]Calc!$C:$C, 0)), $G436&lt;=INDEX([1]Calc!$E:$E, MATCH("theta_max_deg", [1]Calc!$C:$C, 0))), "OK", "CHECK"))</f>
        <v>CHECK</v>
      </c>
      <c r="I436" s="3">
        <f>IF($E436="","", INDEX([1]Calc!$E:$E, MATCH("D_vessel_m", [1]Calc!$C:$C, 0)) - $E436 + $B436)</f>
        <v>1.9112508231881171</v>
      </c>
      <c r="J436" s="3">
        <f>IF($F436="","", INDEX([1]Calc!$E:$E, MATCH("D_vessel_m", [1]Calc!$C:$C, 0)) - $F436 + $B436)</f>
        <v>1.9112508231881171</v>
      </c>
      <c r="K436" s="2" t="str">
        <f t="shared" si="20"/>
        <v>Even Keel</v>
      </c>
    </row>
    <row r="437" spans="1:11" x14ac:dyDescent="0.6">
      <c r="A437" s="2" t="str">
        <f>IF('December_Tide_2025 (2)'!A437="","",'December_Tide_2025 (2)'!A437)</f>
        <v>2025-12-19 03:00:00</v>
      </c>
      <c r="B437" s="3">
        <f>IF('December_Tide_2025 (2)'!B437="","",'December_Tide_2025 (2)'!B437)</f>
        <v>2.46</v>
      </c>
      <c r="C437" s="3">
        <f>IF($A437="","", INDEX([1]Calc!$E:$E, MATCH("KminusZ_m", [1]Calc!$C:$C, 0)) + $B437 - INDEX([1]Calc!$E:$E, MATCH("L_ramp_m", [1]Calc!$C:$C, 0)) * TAN(RADIANS(INDEX([1]Calc!$E:$E, MATCH("theta_max_deg", [1]Calc!$C:$C, 0)))))</f>
        <v>4.1987491768118819</v>
      </c>
      <c r="D437" s="3"/>
      <c r="E437" s="3">
        <f t="shared" si="18"/>
        <v>4.1987491768118819</v>
      </c>
      <c r="F437" s="3">
        <f t="shared" si="19"/>
        <v>4.1987491768118819</v>
      </c>
      <c r="G437" s="3">
        <f>IF($E437="","", DEGREES(ATAN((INDEX([1]Calc!$E:$E, MATCH("KminusZ_m", [1]Calc!$C:$C, 0)) - $E437 + $B437) / INDEX([1]Calc!$E:$E, MATCH("L_ramp_m", [1]Calc!$C:$C, 0)))))</f>
        <v>6.0000000000000027</v>
      </c>
      <c r="H437" s="2" t="str">
        <f>IF($E437="","", IF(AND($E437&gt;=INDEX([1]Calc!$E:$E, MATCH("min_fwd_draft_m", [1]Calc!$C:$C, 0)), $E437&lt;=INDEX([1]Calc!$E:$E, MATCH("max_fwd_draft_m", [1]Calc!$C:$C, 0)), $G437&lt;=INDEX([1]Calc!$E:$E, MATCH("theta_max_deg", [1]Calc!$C:$C, 0))), "OK", "CHECK"))</f>
        <v>CHECK</v>
      </c>
      <c r="I437" s="3">
        <f>IF($E437="","", INDEX([1]Calc!$E:$E, MATCH("D_vessel_m", [1]Calc!$C:$C, 0)) - $E437 + $B437)</f>
        <v>1.911250823188118</v>
      </c>
      <c r="J437" s="3">
        <f>IF($F437="","", INDEX([1]Calc!$E:$E, MATCH("D_vessel_m", [1]Calc!$C:$C, 0)) - $F437 + $B437)</f>
        <v>1.911250823188118</v>
      </c>
      <c r="K437" s="2" t="str">
        <f t="shared" si="20"/>
        <v>Even Keel</v>
      </c>
    </row>
    <row r="438" spans="1:11" x14ac:dyDescent="0.6">
      <c r="A438" s="2" t="str">
        <f>IF('December_Tide_2025 (2)'!A438="","",'December_Tide_2025 (2)'!A438)</f>
        <v>2025-12-19 04:00:00</v>
      </c>
      <c r="B438" s="3">
        <f>IF('December_Tide_2025 (2)'!B438="","",'December_Tide_2025 (2)'!B438)</f>
        <v>2.7</v>
      </c>
      <c r="C438" s="3">
        <f>IF($A438="","", INDEX([1]Calc!$E:$E, MATCH("KminusZ_m", [1]Calc!$C:$C, 0)) + $B438 - INDEX([1]Calc!$E:$E, MATCH("L_ramp_m", [1]Calc!$C:$C, 0)) * TAN(RADIANS(INDEX([1]Calc!$E:$E, MATCH("theta_max_deg", [1]Calc!$C:$C, 0)))))</f>
        <v>4.4387491768118821</v>
      </c>
      <c r="D438" s="3"/>
      <c r="E438" s="3">
        <f t="shared" si="18"/>
        <v>4.4387491768118821</v>
      </c>
      <c r="F438" s="3">
        <f t="shared" si="19"/>
        <v>4.4387491768118821</v>
      </c>
      <c r="G438" s="3">
        <f>IF($E438="","", DEGREES(ATAN((INDEX([1]Calc!$E:$E, MATCH("KminusZ_m", [1]Calc!$C:$C, 0)) - $E438 + $B438) / INDEX([1]Calc!$E:$E, MATCH("L_ramp_m", [1]Calc!$C:$C, 0)))))</f>
        <v>6.0000000000000027</v>
      </c>
      <c r="H438" s="2" t="str">
        <f>IF($E438="","", IF(AND($E438&gt;=INDEX([1]Calc!$E:$E, MATCH("min_fwd_draft_m", [1]Calc!$C:$C, 0)), $E438&lt;=INDEX([1]Calc!$E:$E, MATCH("max_fwd_draft_m", [1]Calc!$C:$C, 0)), $G438&lt;=INDEX([1]Calc!$E:$E, MATCH("theta_max_deg", [1]Calc!$C:$C, 0))), "OK", "CHECK"))</f>
        <v>CHECK</v>
      </c>
      <c r="I438" s="3">
        <f>IF($E438="","", INDEX([1]Calc!$E:$E, MATCH("D_vessel_m", [1]Calc!$C:$C, 0)) - $E438 + $B438)</f>
        <v>1.911250823188118</v>
      </c>
      <c r="J438" s="3">
        <f>IF($F438="","", INDEX([1]Calc!$E:$E, MATCH("D_vessel_m", [1]Calc!$C:$C, 0)) - $F438 + $B438)</f>
        <v>1.911250823188118</v>
      </c>
      <c r="K438" s="2" t="str">
        <f t="shared" si="20"/>
        <v>Even Keel</v>
      </c>
    </row>
    <row r="439" spans="1:11" x14ac:dyDescent="0.6">
      <c r="A439" s="2" t="str">
        <f>IF('December_Tide_2025 (2)'!A439="","",'December_Tide_2025 (2)'!A439)</f>
        <v>2025-12-19 05:00:00</v>
      </c>
      <c r="B439" s="3">
        <f>IF('December_Tide_2025 (2)'!B439="","",'December_Tide_2025 (2)'!B439)</f>
        <v>2.71</v>
      </c>
      <c r="C439" s="3">
        <f>IF($A439="","", INDEX([1]Calc!$E:$E, MATCH("KminusZ_m", [1]Calc!$C:$C, 0)) + $B439 - INDEX([1]Calc!$E:$E, MATCH("L_ramp_m", [1]Calc!$C:$C, 0)) * TAN(RADIANS(INDEX([1]Calc!$E:$E, MATCH("theta_max_deg", [1]Calc!$C:$C, 0)))))</f>
        <v>4.4487491768118819</v>
      </c>
      <c r="D439" s="3"/>
      <c r="E439" s="3">
        <f t="shared" si="18"/>
        <v>4.4487491768118819</v>
      </c>
      <c r="F439" s="3">
        <f t="shared" si="19"/>
        <v>4.4487491768118819</v>
      </c>
      <c r="G439" s="3">
        <f>IF($E439="","", DEGREES(ATAN((INDEX([1]Calc!$E:$E, MATCH("KminusZ_m", [1]Calc!$C:$C, 0)) - $E439 + $B439) / INDEX([1]Calc!$E:$E, MATCH("L_ramp_m", [1]Calc!$C:$C, 0)))))</f>
        <v>6.0000000000000027</v>
      </c>
      <c r="H439" s="2" t="str">
        <f>IF($E439="","", IF(AND($E439&gt;=INDEX([1]Calc!$E:$E, MATCH("min_fwd_draft_m", [1]Calc!$C:$C, 0)), $E439&lt;=INDEX([1]Calc!$E:$E, MATCH("max_fwd_draft_m", [1]Calc!$C:$C, 0)), $G439&lt;=INDEX([1]Calc!$E:$E, MATCH("theta_max_deg", [1]Calc!$C:$C, 0))), "OK", "CHECK"))</f>
        <v>CHECK</v>
      </c>
      <c r="I439" s="3">
        <f>IF($E439="","", INDEX([1]Calc!$E:$E, MATCH("D_vessel_m", [1]Calc!$C:$C, 0)) - $E439 + $B439)</f>
        <v>1.911250823188118</v>
      </c>
      <c r="J439" s="3">
        <f>IF($F439="","", INDEX([1]Calc!$E:$E, MATCH("D_vessel_m", [1]Calc!$C:$C, 0)) - $F439 + $B439)</f>
        <v>1.911250823188118</v>
      </c>
      <c r="K439" s="2" t="str">
        <f t="shared" si="20"/>
        <v>Even Keel</v>
      </c>
    </row>
    <row r="440" spans="1:11" x14ac:dyDescent="0.6">
      <c r="A440" s="2" t="str">
        <f>IF('December_Tide_2025 (2)'!A440="","",'December_Tide_2025 (2)'!A440)</f>
        <v>2025-12-19 06:00:00</v>
      </c>
      <c r="B440" s="3">
        <f>IF('December_Tide_2025 (2)'!B440="","",'December_Tide_2025 (2)'!B440)</f>
        <v>2.4900000000000002</v>
      </c>
      <c r="C440" s="3">
        <f>IF($A440="","", INDEX([1]Calc!$E:$E, MATCH("KminusZ_m", [1]Calc!$C:$C, 0)) + $B440 - INDEX([1]Calc!$E:$E, MATCH("L_ramp_m", [1]Calc!$C:$C, 0)) * TAN(RADIANS(INDEX([1]Calc!$E:$E, MATCH("theta_max_deg", [1]Calc!$C:$C, 0)))))</f>
        <v>4.228749176811883</v>
      </c>
      <c r="D440" s="3"/>
      <c r="E440" s="3">
        <f t="shared" si="18"/>
        <v>4.228749176811883</v>
      </c>
      <c r="F440" s="3">
        <f t="shared" si="19"/>
        <v>4.228749176811883</v>
      </c>
      <c r="G440" s="3">
        <f>IF($E440="","", DEGREES(ATAN((INDEX([1]Calc!$E:$E, MATCH("KminusZ_m", [1]Calc!$C:$C, 0)) - $E440 + $B440) / INDEX([1]Calc!$E:$E, MATCH("L_ramp_m", [1]Calc!$C:$C, 0)))))</f>
        <v>5.9999999999999982</v>
      </c>
      <c r="H440" s="2" t="str">
        <f>IF($E440="","", IF(AND($E440&gt;=INDEX([1]Calc!$E:$E, MATCH("min_fwd_draft_m", [1]Calc!$C:$C, 0)), $E440&lt;=INDEX([1]Calc!$E:$E, MATCH("max_fwd_draft_m", [1]Calc!$C:$C, 0)), $G440&lt;=INDEX([1]Calc!$E:$E, MATCH("theta_max_deg", [1]Calc!$C:$C, 0))), "OK", "CHECK"))</f>
        <v>CHECK</v>
      </c>
      <c r="I440" s="3">
        <f>IF($E440="","", INDEX([1]Calc!$E:$E, MATCH("D_vessel_m", [1]Calc!$C:$C, 0)) - $E440 + $B440)</f>
        <v>1.9112508231881171</v>
      </c>
      <c r="J440" s="3">
        <f>IF($F440="","", INDEX([1]Calc!$E:$E, MATCH("D_vessel_m", [1]Calc!$C:$C, 0)) - $F440 + $B440)</f>
        <v>1.9112508231881171</v>
      </c>
      <c r="K440" s="2" t="str">
        <f t="shared" si="20"/>
        <v>Even Keel</v>
      </c>
    </row>
    <row r="441" spans="1:11" x14ac:dyDescent="0.6">
      <c r="A441" s="2" t="str">
        <f>IF('December_Tide_2025 (2)'!A441="","",'December_Tide_2025 (2)'!A441)</f>
        <v>2025-12-19 07:00:00</v>
      </c>
      <c r="B441" s="3">
        <f>IF('December_Tide_2025 (2)'!B441="","",'December_Tide_2025 (2)'!B441)</f>
        <v>2.1</v>
      </c>
      <c r="C441" s="3">
        <f>IF($A441="","", INDEX([1]Calc!$E:$E, MATCH("KminusZ_m", [1]Calc!$C:$C, 0)) + $B441 - INDEX([1]Calc!$E:$E, MATCH("L_ramp_m", [1]Calc!$C:$C, 0)) * TAN(RADIANS(INDEX([1]Calc!$E:$E, MATCH("theta_max_deg", [1]Calc!$C:$C, 0)))))</f>
        <v>3.838749176811882</v>
      </c>
      <c r="D441" s="3"/>
      <c r="E441" s="3">
        <f t="shared" si="18"/>
        <v>3.838749176811882</v>
      </c>
      <c r="F441" s="3">
        <f t="shared" si="19"/>
        <v>3.838749176811882</v>
      </c>
      <c r="G441" s="3">
        <f>IF($E441="","", DEGREES(ATAN((INDEX([1]Calc!$E:$E, MATCH("KminusZ_m", [1]Calc!$C:$C, 0)) - $E441 + $B441) / INDEX([1]Calc!$E:$E, MATCH("L_ramp_m", [1]Calc!$C:$C, 0)))))</f>
        <v>6.0000000000000027</v>
      </c>
      <c r="H441" s="2" t="str">
        <f>IF($E441="","", IF(AND($E441&gt;=INDEX([1]Calc!$E:$E, MATCH("min_fwd_draft_m", [1]Calc!$C:$C, 0)), $E441&lt;=INDEX([1]Calc!$E:$E, MATCH("max_fwd_draft_m", [1]Calc!$C:$C, 0)), $G441&lt;=INDEX([1]Calc!$E:$E, MATCH("theta_max_deg", [1]Calc!$C:$C, 0))), "OK", "CHECK"))</f>
        <v>CHECK</v>
      </c>
      <c r="I441" s="3">
        <f>IF($E441="","", INDEX([1]Calc!$E:$E, MATCH("D_vessel_m", [1]Calc!$C:$C, 0)) - $E441 + $B441)</f>
        <v>1.911250823188118</v>
      </c>
      <c r="J441" s="3">
        <f>IF($F441="","", INDEX([1]Calc!$E:$E, MATCH("D_vessel_m", [1]Calc!$C:$C, 0)) - $F441 + $B441)</f>
        <v>1.911250823188118</v>
      </c>
      <c r="K441" s="2" t="str">
        <f t="shared" si="20"/>
        <v>Even Keel</v>
      </c>
    </row>
    <row r="442" spans="1:11" x14ac:dyDescent="0.6">
      <c r="A442" s="2" t="str">
        <f>IF('December_Tide_2025 (2)'!A442="","",'December_Tide_2025 (2)'!A442)</f>
        <v>2025-12-19 08:00:00</v>
      </c>
      <c r="B442" s="3">
        <f>IF('December_Tide_2025 (2)'!B442="","",'December_Tide_2025 (2)'!B442)</f>
        <v>1.63</v>
      </c>
      <c r="C442" s="3">
        <f>IF($A442="","", INDEX([1]Calc!$E:$E, MATCH("KminusZ_m", [1]Calc!$C:$C, 0)) + $B442 - INDEX([1]Calc!$E:$E, MATCH("L_ramp_m", [1]Calc!$C:$C, 0)) * TAN(RADIANS(INDEX([1]Calc!$E:$E, MATCH("theta_max_deg", [1]Calc!$C:$C, 0)))))</f>
        <v>3.3687491768118822</v>
      </c>
      <c r="D442" s="3"/>
      <c r="E442" s="3">
        <f t="shared" si="18"/>
        <v>3.3687491768118822</v>
      </c>
      <c r="F442" s="3">
        <f t="shared" si="19"/>
        <v>3.3687491768118822</v>
      </c>
      <c r="G442" s="3">
        <f>IF($E442="","", DEGREES(ATAN((INDEX([1]Calc!$E:$E, MATCH("KminusZ_m", [1]Calc!$C:$C, 0)) - $E442 + $B442) / INDEX([1]Calc!$E:$E, MATCH("L_ramp_m", [1]Calc!$C:$C, 0)))))</f>
        <v>6.0000000000000009</v>
      </c>
      <c r="H442" s="2" t="str">
        <f>IF($E442="","", IF(AND($E442&gt;=INDEX([1]Calc!$E:$E, MATCH("min_fwd_draft_m", [1]Calc!$C:$C, 0)), $E442&lt;=INDEX([1]Calc!$E:$E, MATCH("max_fwd_draft_m", [1]Calc!$C:$C, 0)), $G442&lt;=INDEX([1]Calc!$E:$E, MATCH("theta_max_deg", [1]Calc!$C:$C, 0))), "OK", "CHECK"))</f>
        <v>OK</v>
      </c>
      <c r="I442" s="3">
        <f>IF($E442="","", INDEX([1]Calc!$E:$E, MATCH("D_vessel_m", [1]Calc!$C:$C, 0)) - $E442 + $B442)</f>
        <v>1.9112508231881176</v>
      </c>
      <c r="J442" s="3">
        <f>IF($F442="","", INDEX([1]Calc!$E:$E, MATCH("D_vessel_m", [1]Calc!$C:$C, 0)) - $F442 + $B442)</f>
        <v>1.9112508231881176</v>
      </c>
      <c r="K442" s="2" t="str">
        <f t="shared" si="20"/>
        <v>Even Keel</v>
      </c>
    </row>
    <row r="443" spans="1:11" x14ac:dyDescent="0.6">
      <c r="A443" s="2" t="str">
        <f>IF('December_Tide_2025 (2)'!A443="","",'December_Tide_2025 (2)'!A443)</f>
        <v>2025-12-19 09:00:00</v>
      </c>
      <c r="B443" s="3">
        <f>IF('December_Tide_2025 (2)'!B443="","",'December_Tide_2025 (2)'!B443)</f>
        <v>1.21</v>
      </c>
      <c r="C443" s="3">
        <f>IF($A443="","", INDEX([1]Calc!$E:$E, MATCH("KminusZ_m", [1]Calc!$C:$C, 0)) + $B443 - INDEX([1]Calc!$E:$E, MATCH("L_ramp_m", [1]Calc!$C:$C, 0)) * TAN(RADIANS(INDEX([1]Calc!$E:$E, MATCH("theta_max_deg", [1]Calc!$C:$C, 0)))))</f>
        <v>2.9487491768118823</v>
      </c>
      <c r="D443" s="3"/>
      <c r="E443" s="3">
        <f t="shared" si="18"/>
        <v>2.9487491768118823</v>
      </c>
      <c r="F443" s="3">
        <f t="shared" si="19"/>
        <v>2.9487491768118823</v>
      </c>
      <c r="G443" s="3">
        <f>IF($E443="","", DEGREES(ATAN((INDEX([1]Calc!$E:$E, MATCH("KminusZ_m", [1]Calc!$C:$C, 0)) - $E443 + $B443) / INDEX([1]Calc!$E:$E, MATCH("L_ramp_m", [1]Calc!$C:$C, 0)))))</f>
        <v>6.0000000000000009</v>
      </c>
      <c r="H443" s="2" t="str">
        <f>IF($E443="","", IF(AND($E443&gt;=INDEX([1]Calc!$E:$E, MATCH("min_fwd_draft_m", [1]Calc!$C:$C, 0)), $E443&lt;=INDEX([1]Calc!$E:$E, MATCH("max_fwd_draft_m", [1]Calc!$C:$C, 0)), $G443&lt;=INDEX([1]Calc!$E:$E, MATCH("theta_max_deg", [1]Calc!$C:$C, 0))), "OK", "CHECK"))</f>
        <v>OK</v>
      </c>
      <c r="I443" s="3">
        <f>IF($E443="","", INDEX([1]Calc!$E:$E, MATCH("D_vessel_m", [1]Calc!$C:$C, 0)) - $E443 + $B443)</f>
        <v>1.9112508231881176</v>
      </c>
      <c r="J443" s="3">
        <f>IF($F443="","", INDEX([1]Calc!$E:$E, MATCH("D_vessel_m", [1]Calc!$C:$C, 0)) - $F443 + $B443)</f>
        <v>1.9112508231881176</v>
      </c>
      <c r="K443" s="2" t="str">
        <f t="shared" si="20"/>
        <v>Even Keel</v>
      </c>
    </row>
    <row r="444" spans="1:11" x14ac:dyDescent="0.6">
      <c r="A444" s="2" t="str">
        <f>IF('December_Tide_2025 (2)'!A444="","",'December_Tide_2025 (2)'!A444)</f>
        <v>2025-12-19 10:00:00</v>
      </c>
      <c r="B444" s="3">
        <f>IF('December_Tide_2025 (2)'!B444="","",'December_Tide_2025 (2)'!B444)</f>
        <v>0.93</v>
      </c>
      <c r="C444" s="3">
        <f>IF($A444="","", INDEX([1]Calc!$E:$E, MATCH("KminusZ_m", [1]Calc!$C:$C, 0)) + $B444 - INDEX([1]Calc!$E:$E, MATCH("L_ramp_m", [1]Calc!$C:$C, 0)) * TAN(RADIANS(INDEX([1]Calc!$E:$E, MATCH("theta_max_deg", [1]Calc!$C:$C, 0)))))</f>
        <v>2.6687491768118825</v>
      </c>
      <c r="D444" s="3"/>
      <c r="E444" s="3">
        <f t="shared" si="18"/>
        <v>2.6687491768118825</v>
      </c>
      <c r="F444" s="3">
        <f t="shared" si="19"/>
        <v>2.6687491768118825</v>
      </c>
      <c r="G444" s="3">
        <f>IF($E444="","", DEGREES(ATAN((INDEX([1]Calc!$E:$E, MATCH("KminusZ_m", [1]Calc!$C:$C, 0)) - $E444 + $B444) / INDEX([1]Calc!$E:$E, MATCH("L_ramp_m", [1]Calc!$C:$C, 0)))))</f>
        <v>6.0000000000000009</v>
      </c>
      <c r="H444" s="2" t="str">
        <f>IF($E444="","", IF(AND($E444&gt;=INDEX([1]Calc!$E:$E, MATCH("min_fwd_draft_m", [1]Calc!$C:$C, 0)), $E444&lt;=INDEX([1]Calc!$E:$E, MATCH("max_fwd_draft_m", [1]Calc!$C:$C, 0)), $G444&lt;=INDEX([1]Calc!$E:$E, MATCH("theta_max_deg", [1]Calc!$C:$C, 0))), "OK", "CHECK"))</f>
        <v>OK</v>
      </c>
      <c r="I444" s="3">
        <f>IF($E444="","", INDEX([1]Calc!$E:$E, MATCH("D_vessel_m", [1]Calc!$C:$C, 0)) - $E444 + $B444)</f>
        <v>1.9112508231881176</v>
      </c>
      <c r="J444" s="3">
        <f>IF($F444="","", INDEX([1]Calc!$E:$E, MATCH("D_vessel_m", [1]Calc!$C:$C, 0)) - $F444 + $B444)</f>
        <v>1.9112508231881176</v>
      </c>
      <c r="K444" s="2" t="str">
        <f t="shared" si="20"/>
        <v>Even Keel</v>
      </c>
    </row>
    <row r="445" spans="1:11" x14ac:dyDescent="0.6">
      <c r="A445" s="2" t="str">
        <f>IF('December_Tide_2025 (2)'!A445="","",'December_Tide_2025 (2)'!A445)</f>
        <v>2025-12-19 11:00:00</v>
      </c>
      <c r="B445" s="3">
        <f>IF('December_Tide_2025 (2)'!B445="","",'December_Tide_2025 (2)'!B445)</f>
        <v>0.87</v>
      </c>
      <c r="C445" s="3">
        <f>IF($A445="","", INDEX([1]Calc!$E:$E, MATCH("KminusZ_m", [1]Calc!$C:$C, 0)) + $B445 - INDEX([1]Calc!$E:$E, MATCH("L_ramp_m", [1]Calc!$C:$C, 0)) * TAN(RADIANS(INDEX([1]Calc!$E:$E, MATCH("theta_max_deg", [1]Calc!$C:$C, 0)))))</f>
        <v>2.6087491768118825</v>
      </c>
      <c r="D445" s="3"/>
      <c r="E445" s="3">
        <f t="shared" si="18"/>
        <v>2.6087491768118825</v>
      </c>
      <c r="F445" s="3">
        <f t="shared" si="19"/>
        <v>2.6087491768118825</v>
      </c>
      <c r="G445" s="3">
        <f>IF($E445="","", DEGREES(ATAN((INDEX([1]Calc!$E:$E, MATCH("KminusZ_m", [1]Calc!$C:$C, 0)) - $E445 + $B445) / INDEX([1]Calc!$E:$E, MATCH("L_ramp_m", [1]Calc!$C:$C, 0)))))</f>
        <v>6.0000000000000009</v>
      </c>
      <c r="H445" s="2" t="str">
        <f>IF($E445="","", IF(AND($E445&gt;=INDEX([1]Calc!$E:$E, MATCH("min_fwd_draft_m", [1]Calc!$C:$C, 0)), $E445&lt;=INDEX([1]Calc!$E:$E, MATCH("max_fwd_draft_m", [1]Calc!$C:$C, 0)), $G445&lt;=INDEX([1]Calc!$E:$E, MATCH("theta_max_deg", [1]Calc!$C:$C, 0))), "OK", "CHECK"))</f>
        <v>OK</v>
      </c>
      <c r="I445" s="3">
        <f>IF($E445="","", INDEX([1]Calc!$E:$E, MATCH("D_vessel_m", [1]Calc!$C:$C, 0)) - $E445 + $B445)</f>
        <v>1.9112508231881176</v>
      </c>
      <c r="J445" s="3">
        <f>IF($F445="","", INDEX([1]Calc!$E:$E, MATCH("D_vessel_m", [1]Calc!$C:$C, 0)) - $F445 + $B445)</f>
        <v>1.9112508231881176</v>
      </c>
      <c r="K445" s="2" t="str">
        <f t="shared" si="20"/>
        <v>Even Keel</v>
      </c>
    </row>
    <row r="446" spans="1:11" x14ac:dyDescent="0.6">
      <c r="A446" s="2" t="str">
        <f>IF('December_Tide_2025 (2)'!A446="","",'December_Tide_2025 (2)'!A446)</f>
        <v>2025-12-19 12:00:00</v>
      </c>
      <c r="B446" s="3">
        <f>IF('December_Tide_2025 (2)'!B446="","",'December_Tide_2025 (2)'!B446)</f>
        <v>1.05</v>
      </c>
      <c r="C446" s="3">
        <f>IF($A446="","", INDEX([1]Calc!$E:$E, MATCH("KminusZ_m", [1]Calc!$C:$C, 0)) + $B446 - INDEX([1]Calc!$E:$E, MATCH("L_ramp_m", [1]Calc!$C:$C, 0)) * TAN(RADIANS(INDEX([1]Calc!$E:$E, MATCH("theta_max_deg", [1]Calc!$C:$C, 0)))))</f>
        <v>2.7887491768118822</v>
      </c>
      <c r="D446" s="3"/>
      <c r="E446" s="3">
        <f t="shared" si="18"/>
        <v>2.7887491768118822</v>
      </c>
      <c r="F446" s="3">
        <f t="shared" si="19"/>
        <v>2.7887491768118822</v>
      </c>
      <c r="G446" s="3">
        <f>IF($E446="","", DEGREES(ATAN((INDEX([1]Calc!$E:$E, MATCH("KminusZ_m", [1]Calc!$C:$C, 0)) - $E446 + $B446) / INDEX([1]Calc!$E:$E, MATCH("L_ramp_m", [1]Calc!$C:$C, 0)))))</f>
        <v>6.0000000000000009</v>
      </c>
      <c r="H446" s="2" t="str">
        <f>IF($E446="","", IF(AND($E446&gt;=INDEX([1]Calc!$E:$E, MATCH("min_fwd_draft_m", [1]Calc!$C:$C, 0)), $E446&lt;=INDEX([1]Calc!$E:$E, MATCH("max_fwd_draft_m", [1]Calc!$C:$C, 0)), $G446&lt;=INDEX([1]Calc!$E:$E, MATCH("theta_max_deg", [1]Calc!$C:$C, 0))), "OK", "CHECK"))</f>
        <v>OK</v>
      </c>
      <c r="I446" s="3">
        <f>IF($E446="","", INDEX([1]Calc!$E:$E, MATCH("D_vessel_m", [1]Calc!$C:$C, 0)) - $E446 + $B446)</f>
        <v>1.9112508231881178</v>
      </c>
      <c r="J446" s="3">
        <f>IF($F446="","", INDEX([1]Calc!$E:$E, MATCH("D_vessel_m", [1]Calc!$C:$C, 0)) - $F446 + $B446)</f>
        <v>1.9112508231881178</v>
      </c>
      <c r="K446" s="2" t="str">
        <f t="shared" si="20"/>
        <v>Even Keel</v>
      </c>
    </row>
    <row r="447" spans="1:11" x14ac:dyDescent="0.6">
      <c r="A447" s="2" t="str">
        <f>IF('December_Tide_2025 (2)'!A447="","",'December_Tide_2025 (2)'!A447)</f>
        <v>2025-12-19 13:00:00</v>
      </c>
      <c r="B447" s="3">
        <f>IF('December_Tide_2025 (2)'!B447="","",'December_Tide_2025 (2)'!B447)</f>
        <v>1.41</v>
      </c>
      <c r="C447" s="3">
        <f>IF($A447="","", INDEX([1]Calc!$E:$E, MATCH("KminusZ_m", [1]Calc!$C:$C, 0)) + $B447 - INDEX([1]Calc!$E:$E, MATCH("L_ramp_m", [1]Calc!$C:$C, 0)) * TAN(RADIANS(INDEX([1]Calc!$E:$E, MATCH("theta_max_deg", [1]Calc!$C:$C, 0)))))</f>
        <v>3.1487491768118825</v>
      </c>
      <c r="D447" s="3"/>
      <c r="E447" s="3">
        <f t="shared" si="18"/>
        <v>3.1487491768118825</v>
      </c>
      <c r="F447" s="3">
        <f t="shared" si="19"/>
        <v>3.1487491768118825</v>
      </c>
      <c r="G447" s="3">
        <f>IF($E447="","", DEGREES(ATAN((INDEX([1]Calc!$E:$E, MATCH("KminusZ_m", [1]Calc!$C:$C, 0)) - $E447 + $B447) / INDEX([1]Calc!$E:$E, MATCH("L_ramp_m", [1]Calc!$C:$C, 0)))))</f>
        <v>6</v>
      </c>
      <c r="H447" s="2" t="str">
        <f>IF($E447="","", IF(AND($E447&gt;=INDEX([1]Calc!$E:$E, MATCH("min_fwd_draft_m", [1]Calc!$C:$C, 0)), $E447&lt;=INDEX([1]Calc!$E:$E, MATCH("max_fwd_draft_m", [1]Calc!$C:$C, 0)), $G447&lt;=INDEX([1]Calc!$E:$E, MATCH("theta_max_deg", [1]Calc!$C:$C, 0))), "OK", "CHECK"))</f>
        <v>OK</v>
      </c>
      <c r="I447" s="3">
        <f>IF($E447="","", INDEX([1]Calc!$E:$E, MATCH("D_vessel_m", [1]Calc!$C:$C, 0)) - $E447 + $B447)</f>
        <v>1.9112508231881173</v>
      </c>
      <c r="J447" s="3">
        <f>IF($F447="","", INDEX([1]Calc!$E:$E, MATCH("D_vessel_m", [1]Calc!$C:$C, 0)) - $F447 + $B447)</f>
        <v>1.9112508231881173</v>
      </c>
      <c r="K447" s="2" t="str">
        <f t="shared" si="20"/>
        <v>Even Keel</v>
      </c>
    </row>
    <row r="448" spans="1:11" x14ac:dyDescent="0.6">
      <c r="A448" s="2" t="str">
        <f>IF('December_Tide_2025 (2)'!A448="","",'December_Tide_2025 (2)'!A448)</f>
        <v>2025-12-19 14:00:00</v>
      </c>
      <c r="B448" s="3">
        <f>IF('December_Tide_2025 (2)'!B448="","",'December_Tide_2025 (2)'!B448)</f>
        <v>1.87</v>
      </c>
      <c r="C448" s="3">
        <f>IF($A448="","", INDEX([1]Calc!$E:$E, MATCH("KminusZ_m", [1]Calc!$C:$C, 0)) + $B448 - INDEX([1]Calc!$E:$E, MATCH("L_ramp_m", [1]Calc!$C:$C, 0)) * TAN(RADIANS(INDEX([1]Calc!$E:$E, MATCH("theta_max_deg", [1]Calc!$C:$C, 0)))))</f>
        <v>3.6087491768118825</v>
      </c>
      <c r="D448" s="3"/>
      <c r="E448" s="3">
        <f t="shared" si="18"/>
        <v>3.6087491768118825</v>
      </c>
      <c r="F448" s="3">
        <f t="shared" si="19"/>
        <v>3.6087491768118825</v>
      </c>
      <c r="G448" s="3">
        <f>IF($E448="","", DEGREES(ATAN((INDEX([1]Calc!$E:$E, MATCH("KminusZ_m", [1]Calc!$C:$C, 0)) - $E448 + $B448) / INDEX([1]Calc!$E:$E, MATCH("L_ramp_m", [1]Calc!$C:$C, 0)))))</f>
        <v>6.0000000000000009</v>
      </c>
      <c r="H448" s="2" t="str">
        <f>IF($E448="","", IF(AND($E448&gt;=INDEX([1]Calc!$E:$E, MATCH("min_fwd_draft_m", [1]Calc!$C:$C, 0)), $E448&lt;=INDEX([1]Calc!$E:$E, MATCH("max_fwd_draft_m", [1]Calc!$C:$C, 0)), $G448&lt;=INDEX([1]Calc!$E:$E, MATCH("theta_max_deg", [1]Calc!$C:$C, 0))), "OK", "CHECK"))</f>
        <v>CHECK</v>
      </c>
      <c r="I448" s="3">
        <f>IF($E448="","", INDEX([1]Calc!$E:$E, MATCH("D_vessel_m", [1]Calc!$C:$C, 0)) - $E448 + $B448)</f>
        <v>1.9112508231881176</v>
      </c>
      <c r="J448" s="3">
        <f>IF($F448="","", INDEX([1]Calc!$E:$E, MATCH("D_vessel_m", [1]Calc!$C:$C, 0)) - $F448 + $B448)</f>
        <v>1.9112508231881176</v>
      </c>
      <c r="K448" s="2" t="str">
        <f t="shared" si="20"/>
        <v>Even Keel</v>
      </c>
    </row>
    <row r="449" spans="1:11" x14ac:dyDescent="0.6">
      <c r="A449" s="2" t="str">
        <f>IF('December_Tide_2025 (2)'!A449="","",'December_Tide_2025 (2)'!A449)</f>
        <v>2025-12-19 15:00:00</v>
      </c>
      <c r="B449" s="3">
        <f>IF('December_Tide_2025 (2)'!B449="","",'December_Tide_2025 (2)'!B449)</f>
        <v>2.3199999999999998</v>
      </c>
      <c r="C449" s="3">
        <f>IF($A449="","", INDEX([1]Calc!$E:$E, MATCH("KminusZ_m", [1]Calc!$C:$C, 0)) + $B449 - INDEX([1]Calc!$E:$E, MATCH("L_ramp_m", [1]Calc!$C:$C, 0)) * TAN(RADIANS(INDEX([1]Calc!$E:$E, MATCH("theta_max_deg", [1]Calc!$C:$C, 0)))))</f>
        <v>4.0587491768118831</v>
      </c>
      <c r="D449" s="3"/>
      <c r="E449" s="3">
        <f t="shared" si="18"/>
        <v>4.0587491768118831</v>
      </c>
      <c r="F449" s="3">
        <f t="shared" si="19"/>
        <v>4.0587491768118831</v>
      </c>
      <c r="G449" s="3">
        <f>IF($E449="","", DEGREES(ATAN((INDEX([1]Calc!$E:$E, MATCH("KminusZ_m", [1]Calc!$C:$C, 0)) - $E449 + $B449) / INDEX([1]Calc!$E:$E, MATCH("L_ramp_m", [1]Calc!$C:$C, 0)))))</f>
        <v>5.9999999999999964</v>
      </c>
      <c r="H449" s="2" t="str">
        <f>IF($E449="","", IF(AND($E449&gt;=INDEX([1]Calc!$E:$E, MATCH("min_fwd_draft_m", [1]Calc!$C:$C, 0)), $E449&lt;=INDEX([1]Calc!$E:$E, MATCH("max_fwd_draft_m", [1]Calc!$C:$C, 0)), $G449&lt;=INDEX([1]Calc!$E:$E, MATCH("theta_max_deg", [1]Calc!$C:$C, 0))), "OK", "CHECK"))</f>
        <v>CHECK</v>
      </c>
      <c r="I449" s="3">
        <f>IF($E449="","", INDEX([1]Calc!$E:$E, MATCH("D_vessel_m", [1]Calc!$C:$C, 0)) - $E449 + $B449)</f>
        <v>1.9112508231881167</v>
      </c>
      <c r="J449" s="3">
        <f>IF($F449="","", INDEX([1]Calc!$E:$E, MATCH("D_vessel_m", [1]Calc!$C:$C, 0)) - $F449 + $B449)</f>
        <v>1.9112508231881167</v>
      </c>
      <c r="K449" s="2" t="str">
        <f t="shared" si="20"/>
        <v>Even Keel</v>
      </c>
    </row>
    <row r="450" spans="1:11" x14ac:dyDescent="0.6">
      <c r="A450" s="2" t="str">
        <f>IF('December_Tide_2025 (2)'!A450="","",'December_Tide_2025 (2)'!A450)</f>
        <v>2025-12-19 16:00:00</v>
      </c>
      <c r="B450" s="3">
        <f>IF('December_Tide_2025 (2)'!B450="","",'December_Tide_2025 (2)'!B450)</f>
        <v>2.63</v>
      </c>
      <c r="C450" s="3">
        <f>IF($A450="","", INDEX([1]Calc!$E:$E, MATCH("KminusZ_m", [1]Calc!$C:$C, 0)) + $B450 - INDEX([1]Calc!$E:$E, MATCH("L_ramp_m", [1]Calc!$C:$C, 0)) * TAN(RADIANS(INDEX([1]Calc!$E:$E, MATCH("theta_max_deg", [1]Calc!$C:$C, 0)))))</f>
        <v>4.3687491768118818</v>
      </c>
      <c r="D450" s="3"/>
      <c r="E450" s="3">
        <f t="shared" ref="E450:E513" si="21">IF($C450="","", IF($D450="", $C450, $C450 - $D450/2))</f>
        <v>4.3687491768118818</v>
      </c>
      <c r="F450" s="3">
        <f t="shared" ref="F450:F513" si="22">IF($C450="","", IF($D450="", $C450, $C450 + $D450/2))</f>
        <v>4.3687491768118818</v>
      </c>
      <c r="G450" s="3">
        <f>IF($E450="","", DEGREES(ATAN((INDEX([1]Calc!$E:$E, MATCH("KminusZ_m", [1]Calc!$C:$C, 0)) - $E450 + $B450) / INDEX([1]Calc!$E:$E, MATCH("L_ramp_m", [1]Calc!$C:$C, 0)))))</f>
        <v>6.0000000000000027</v>
      </c>
      <c r="H450" s="2" t="str">
        <f>IF($E450="","", IF(AND($E450&gt;=INDEX([1]Calc!$E:$E, MATCH("min_fwd_draft_m", [1]Calc!$C:$C, 0)), $E450&lt;=INDEX([1]Calc!$E:$E, MATCH("max_fwd_draft_m", [1]Calc!$C:$C, 0)), $G450&lt;=INDEX([1]Calc!$E:$E, MATCH("theta_max_deg", [1]Calc!$C:$C, 0))), "OK", "CHECK"))</f>
        <v>CHECK</v>
      </c>
      <c r="I450" s="3">
        <f>IF($E450="","", INDEX([1]Calc!$E:$E, MATCH("D_vessel_m", [1]Calc!$C:$C, 0)) - $E450 + $B450)</f>
        <v>1.911250823188118</v>
      </c>
      <c r="J450" s="3">
        <f>IF($F450="","", INDEX([1]Calc!$E:$E, MATCH("D_vessel_m", [1]Calc!$C:$C, 0)) - $F450 + $B450)</f>
        <v>1.911250823188118</v>
      </c>
      <c r="K450" s="2" t="str">
        <f t="shared" ref="K450:K513" si="23">IF(D450=0, "Even Keel", "")</f>
        <v>Even Keel</v>
      </c>
    </row>
    <row r="451" spans="1:11" x14ac:dyDescent="0.6">
      <c r="A451" s="2" t="str">
        <f>IF('December_Tide_2025 (2)'!A451="","",'December_Tide_2025 (2)'!A451)</f>
        <v>2025-12-19 17:00:00</v>
      </c>
      <c r="B451" s="3">
        <f>IF('December_Tide_2025 (2)'!B451="","",'December_Tide_2025 (2)'!B451)</f>
        <v>2.74</v>
      </c>
      <c r="C451" s="3">
        <f>IF($A451="","", INDEX([1]Calc!$E:$E, MATCH("KminusZ_m", [1]Calc!$C:$C, 0)) + $B451 - INDEX([1]Calc!$E:$E, MATCH("L_ramp_m", [1]Calc!$C:$C, 0)) * TAN(RADIANS(INDEX([1]Calc!$E:$E, MATCH("theta_max_deg", [1]Calc!$C:$C, 0)))))</f>
        <v>4.478749176811883</v>
      </c>
      <c r="D451" s="3"/>
      <c r="E451" s="3">
        <f t="shared" si="21"/>
        <v>4.478749176811883</v>
      </c>
      <c r="F451" s="3">
        <f t="shared" si="22"/>
        <v>4.478749176811883</v>
      </c>
      <c r="G451" s="3">
        <f>IF($E451="","", DEGREES(ATAN((INDEX([1]Calc!$E:$E, MATCH("KminusZ_m", [1]Calc!$C:$C, 0)) - $E451 + $B451) / INDEX([1]Calc!$E:$E, MATCH("L_ramp_m", [1]Calc!$C:$C, 0)))))</f>
        <v>5.9999999999999982</v>
      </c>
      <c r="H451" s="2" t="str">
        <f>IF($E451="","", IF(AND($E451&gt;=INDEX([1]Calc!$E:$E, MATCH("min_fwd_draft_m", [1]Calc!$C:$C, 0)), $E451&lt;=INDEX([1]Calc!$E:$E, MATCH("max_fwd_draft_m", [1]Calc!$C:$C, 0)), $G451&lt;=INDEX([1]Calc!$E:$E, MATCH("theta_max_deg", [1]Calc!$C:$C, 0))), "OK", "CHECK"))</f>
        <v>CHECK</v>
      </c>
      <c r="I451" s="3">
        <f>IF($E451="","", INDEX([1]Calc!$E:$E, MATCH("D_vessel_m", [1]Calc!$C:$C, 0)) - $E451 + $B451)</f>
        <v>1.9112508231881171</v>
      </c>
      <c r="J451" s="3">
        <f>IF($F451="","", INDEX([1]Calc!$E:$E, MATCH("D_vessel_m", [1]Calc!$C:$C, 0)) - $F451 + $B451)</f>
        <v>1.9112508231881171</v>
      </c>
      <c r="K451" s="2" t="str">
        <f t="shared" si="23"/>
        <v>Even Keel</v>
      </c>
    </row>
    <row r="452" spans="1:11" x14ac:dyDescent="0.6">
      <c r="A452" s="2" t="str">
        <f>IF('December_Tide_2025 (2)'!A452="","",'December_Tide_2025 (2)'!A452)</f>
        <v>2025-12-19 18:00:00</v>
      </c>
      <c r="B452" s="3">
        <f>IF('December_Tide_2025 (2)'!B452="","",'December_Tide_2025 (2)'!B452)</f>
        <v>2.61</v>
      </c>
      <c r="C452" s="3">
        <f>IF($A452="","", INDEX([1]Calc!$E:$E, MATCH("KminusZ_m", [1]Calc!$C:$C, 0)) + $B452 - INDEX([1]Calc!$E:$E, MATCH("L_ramp_m", [1]Calc!$C:$C, 0)) * TAN(RADIANS(INDEX([1]Calc!$E:$E, MATCH("theta_max_deg", [1]Calc!$C:$C, 0)))))</f>
        <v>4.3487491768118822</v>
      </c>
      <c r="D452" s="3"/>
      <c r="E452" s="3">
        <f t="shared" si="21"/>
        <v>4.3487491768118822</v>
      </c>
      <c r="F452" s="3">
        <f t="shared" si="22"/>
        <v>4.3487491768118822</v>
      </c>
      <c r="G452" s="3">
        <f>IF($E452="","", DEGREES(ATAN((INDEX([1]Calc!$E:$E, MATCH("KminusZ_m", [1]Calc!$C:$C, 0)) - $E452 + $B452) / INDEX([1]Calc!$E:$E, MATCH("L_ramp_m", [1]Calc!$C:$C, 0)))))</f>
        <v>6.0000000000000009</v>
      </c>
      <c r="H452" s="2" t="str">
        <f>IF($E452="","", IF(AND($E452&gt;=INDEX([1]Calc!$E:$E, MATCH("min_fwd_draft_m", [1]Calc!$C:$C, 0)), $E452&lt;=INDEX([1]Calc!$E:$E, MATCH("max_fwd_draft_m", [1]Calc!$C:$C, 0)), $G452&lt;=INDEX([1]Calc!$E:$E, MATCH("theta_max_deg", [1]Calc!$C:$C, 0))), "OK", "CHECK"))</f>
        <v>CHECK</v>
      </c>
      <c r="I452" s="3">
        <f>IF($E452="","", INDEX([1]Calc!$E:$E, MATCH("D_vessel_m", [1]Calc!$C:$C, 0)) - $E452 + $B452)</f>
        <v>1.9112508231881176</v>
      </c>
      <c r="J452" s="3">
        <f>IF($F452="","", INDEX([1]Calc!$E:$E, MATCH("D_vessel_m", [1]Calc!$C:$C, 0)) - $F452 + $B452)</f>
        <v>1.9112508231881176</v>
      </c>
      <c r="K452" s="2" t="str">
        <f t="shared" si="23"/>
        <v>Even Keel</v>
      </c>
    </row>
    <row r="453" spans="1:11" x14ac:dyDescent="0.6">
      <c r="A453" s="2" t="str">
        <f>IF('December_Tide_2025 (2)'!A453="","",'December_Tide_2025 (2)'!A453)</f>
        <v>2025-12-19 19:00:00</v>
      </c>
      <c r="B453" s="3">
        <f>IF('December_Tide_2025 (2)'!B453="","",'December_Tide_2025 (2)'!B453)</f>
        <v>2.27</v>
      </c>
      <c r="C453" s="3">
        <f>IF($A453="","", INDEX([1]Calc!$E:$E, MATCH("KminusZ_m", [1]Calc!$C:$C, 0)) + $B453 - INDEX([1]Calc!$E:$E, MATCH("L_ramp_m", [1]Calc!$C:$C, 0)) * TAN(RADIANS(INDEX([1]Calc!$E:$E, MATCH("theta_max_deg", [1]Calc!$C:$C, 0)))))</f>
        <v>4.0087491768118824</v>
      </c>
      <c r="D453" s="3"/>
      <c r="E453" s="3">
        <f t="shared" si="21"/>
        <v>4.0087491768118824</v>
      </c>
      <c r="F453" s="3">
        <f t="shared" si="22"/>
        <v>4.0087491768118824</v>
      </c>
      <c r="G453" s="3">
        <f>IF($E453="","", DEGREES(ATAN((INDEX([1]Calc!$E:$E, MATCH("KminusZ_m", [1]Calc!$C:$C, 0)) - $E453 + $B453) / INDEX([1]Calc!$E:$E, MATCH("L_ramp_m", [1]Calc!$C:$C, 0)))))</f>
        <v>6.0000000000000009</v>
      </c>
      <c r="H453" s="2" t="str">
        <f>IF($E453="","", IF(AND($E453&gt;=INDEX([1]Calc!$E:$E, MATCH("min_fwd_draft_m", [1]Calc!$C:$C, 0)), $E453&lt;=INDEX([1]Calc!$E:$E, MATCH("max_fwd_draft_m", [1]Calc!$C:$C, 0)), $G453&lt;=INDEX([1]Calc!$E:$E, MATCH("theta_max_deg", [1]Calc!$C:$C, 0))), "OK", "CHECK"))</f>
        <v>CHECK</v>
      </c>
      <c r="I453" s="3">
        <f>IF($E453="","", INDEX([1]Calc!$E:$E, MATCH("D_vessel_m", [1]Calc!$C:$C, 0)) - $E453 + $B453)</f>
        <v>1.9112508231881176</v>
      </c>
      <c r="J453" s="3">
        <f>IF($F453="","", INDEX([1]Calc!$E:$E, MATCH("D_vessel_m", [1]Calc!$C:$C, 0)) - $F453 + $B453)</f>
        <v>1.9112508231881176</v>
      </c>
      <c r="K453" s="2" t="str">
        <f t="shared" si="23"/>
        <v>Even Keel</v>
      </c>
    </row>
    <row r="454" spans="1:11" x14ac:dyDescent="0.6">
      <c r="A454" s="2" t="str">
        <f>IF('December_Tide_2025 (2)'!A454="","",'December_Tide_2025 (2)'!A454)</f>
        <v>2025-12-19 20:00:00</v>
      </c>
      <c r="B454" s="3">
        <f>IF('December_Tide_2025 (2)'!B454="","",'December_Tide_2025 (2)'!B454)</f>
        <v>1.82</v>
      </c>
      <c r="C454" s="3">
        <f>IF($A454="","", INDEX([1]Calc!$E:$E, MATCH("KminusZ_m", [1]Calc!$C:$C, 0)) + $B454 - INDEX([1]Calc!$E:$E, MATCH("L_ramp_m", [1]Calc!$C:$C, 0)) * TAN(RADIANS(INDEX([1]Calc!$E:$E, MATCH("theta_max_deg", [1]Calc!$C:$C, 0)))))</f>
        <v>3.5587491768118826</v>
      </c>
      <c r="D454" s="3"/>
      <c r="E454" s="3">
        <f t="shared" si="21"/>
        <v>3.5587491768118826</v>
      </c>
      <c r="F454" s="3">
        <f t="shared" si="22"/>
        <v>3.5587491768118826</v>
      </c>
      <c r="G454" s="3">
        <f>IF($E454="","", DEGREES(ATAN((INDEX([1]Calc!$E:$E, MATCH("KminusZ_m", [1]Calc!$C:$C, 0)) - $E454 + $B454) / INDEX([1]Calc!$E:$E, MATCH("L_ramp_m", [1]Calc!$C:$C, 0)))))</f>
        <v>6</v>
      </c>
      <c r="H454" s="2" t="str">
        <f>IF($E454="","", IF(AND($E454&gt;=INDEX([1]Calc!$E:$E, MATCH("min_fwd_draft_m", [1]Calc!$C:$C, 0)), $E454&lt;=INDEX([1]Calc!$E:$E, MATCH("max_fwd_draft_m", [1]Calc!$C:$C, 0)), $G454&lt;=INDEX([1]Calc!$E:$E, MATCH("theta_max_deg", [1]Calc!$C:$C, 0))), "OK", "CHECK"))</f>
        <v>CHECK</v>
      </c>
      <c r="I454" s="3">
        <f>IF($E454="","", INDEX([1]Calc!$E:$E, MATCH("D_vessel_m", [1]Calc!$C:$C, 0)) - $E454 + $B454)</f>
        <v>1.9112508231881173</v>
      </c>
      <c r="J454" s="3">
        <f>IF($F454="","", INDEX([1]Calc!$E:$E, MATCH("D_vessel_m", [1]Calc!$C:$C, 0)) - $F454 + $B454)</f>
        <v>1.9112508231881173</v>
      </c>
      <c r="K454" s="2" t="str">
        <f t="shared" si="23"/>
        <v>Even Keel</v>
      </c>
    </row>
    <row r="455" spans="1:11" x14ac:dyDescent="0.6">
      <c r="A455" s="2" t="str">
        <f>IF('December_Tide_2025 (2)'!A455="","",'December_Tide_2025 (2)'!A455)</f>
        <v>2025-12-19 21:00:00</v>
      </c>
      <c r="B455" s="3">
        <f>IF('December_Tide_2025 (2)'!B455="","",'December_Tide_2025 (2)'!B455)</f>
        <v>1.36</v>
      </c>
      <c r="C455" s="3">
        <f>IF($A455="","", INDEX([1]Calc!$E:$E, MATCH("KminusZ_m", [1]Calc!$C:$C, 0)) + $B455 - INDEX([1]Calc!$E:$E, MATCH("L_ramp_m", [1]Calc!$C:$C, 0)) * TAN(RADIANS(INDEX([1]Calc!$E:$E, MATCH("theta_max_deg", [1]Calc!$C:$C, 0)))))</f>
        <v>3.0987491768118827</v>
      </c>
      <c r="D455" s="3"/>
      <c r="E455" s="3">
        <f t="shared" si="21"/>
        <v>3.0987491768118827</v>
      </c>
      <c r="F455" s="3">
        <f t="shared" si="22"/>
        <v>3.0987491768118827</v>
      </c>
      <c r="G455" s="3">
        <f>IF($E455="","", DEGREES(ATAN((INDEX([1]Calc!$E:$E, MATCH("KminusZ_m", [1]Calc!$C:$C, 0)) - $E455 + $B455) / INDEX([1]Calc!$E:$E, MATCH("L_ramp_m", [1]Calc!$C:$C, 0)))))</f>
        <v>6</v>
      </c>
      <c r="H455" s="2" t="str">
        <f>IF($E455="","", IF(AND($E455&gt;=INDEX([1]Calc!$E:$E, MATCH("min_fwd_draft_m", [1]Calc!$C:$C, 0)), $E455&lt;=INDEX([1]Calc!$E:$E, MATCH("max_fwd_draft_m", [1]Calc!$C:$C, 0)), $G455&lt;=INDEX([1]Calc!$E:$E, MATCH("theta_max_deg", [1]Calc!$C:$C, 0))), "OK", "CHECK"))</f>
        <v>OK</v>
      </c>
      <c r="I455" s="3">
        <f>IF($E455="","", INDEX([1]Calc!$E:$E, MATCH("D_vessel_m", [1]Calc!$C:$C, 0)) - $E455 + $B455)</f>
        <v>1.9112508231881173</v>
      </c>
      <c r="J455" s="3">
        <f>IF($F455="","", INDEX([1]Calc!$E:$E, MATCH("D_vessel_m", [1]Calc!$C:$C, 0)) - $F455 + $B455)</f>
        <v>1.9112508231881173</v>
      </c>
      <c r="K455" s="2" t="str">
        <f t="shared" si="23"/>
        <v>Even Keel</v>
      </c>
    </row>
    <row r="456" spans="1:11" x14ac:dyDescent="0.6">
      <c r="A456" s="2" t="str">
        <f>IF('December_Tide_2025 (2)'!A456="","",'December_Tide_2025 (2)'!A456)</f>
        <v>2025-12-19 22:00:00</v>
      </c>
      <c r="B456" s="3">
        <f>IF('December_Tide_2025 (2)'!B456="","",'December_Tide_2025 (2)'!B456)</f>
        <v>1.02</v>
      </c>
      <c r="C456" s="3">
        <f>IF($A456="","", INDEX([1]Calc!$E:$E, MATCH("KminusZ_m", [1]Calc!$C:$C, 0)) + $B456 - INDEX([1]Calc!$E:$E, MATCH("L_ramp_m", [1]Calc!$C:$C, 0)) * TAN(RADIANS(INDEX([1]Calc!$E:$E, MATCH("theta_max_deg", [1]Calc!$C:$C, 0)))))</f>
        <v>2.7587491768118819</v>
      </c>
      <c r="D456" s="3"/>
      <c r="E456" s="3">
        <f t="shared" si="21"/>
        <v>2.7587491768118819</v>
      </c>
      <c r="F456" s="3">
        <f t="shared" si="22"/>
        <v>2.7587491768118819</v>
      </c>
      <c r="G456" s="3">
        <f>IF($E456="","", DEGREES(ATAN((INDEX([1]Calc!$E:$E, MATCH("KminusZ_m", [1]Calc!$C:$C, 0)) - $E456 + $B456) / INDEX([1]Calc!$E:$E, MATCH("L_ramp_m", [1]Calc!$C:$C, 0)))))</f>
        <v>6.0000000000000027</v>
      </c>
      <c r="H456" s="2" t="str">
        <f>IF($E456="","", IF(AND($E456&gt;=INDEX([1]Calc!$E:$E, MATCH("min_fwd_draft_m", [1]Calc!$C:$C, 0)), $E456&lt;=INDEX([1]Calc!$E:$E, MATCH("max_fwd_draft_m", [1]Calc!$C:$C, 0)), $G456&lt;=INDEX([1]Calc!$E:$E, MATCH("theta_max_deg", [1]Calc!$C:$C, 0))), "OK", "CHECK"))</f>
        <v>OK</v>
      </c>
      <c r="I456" s="3">
        <f>IF($E456="","", INDEX([1]Calc!$E:$E, MATCH("D_vessel_m", [1]Calc!$C:$C, 0)) - $E456 + $B456)</f>
        <v>1.911250823188118</v>
      </c>
      <c r="J456" s="3">
        <f>IF($F456="","", INDEX([1]Calc!$E:$E, MATCH("D_vessel_m", [1]Calc!$C:$C, 0)) - $F456 + $B456)</f>
        <v>1.911250823188118</v>
      </c>
      <c r="K456" s="2" t="str">
        <f t="shared" si="23"/>
        <v>Even Keel</v>
      </c>
    </row>
    <row r="457" spans="1:11" x14ac:dyDescent="0.6">
      <c r="A457" s="2" t="str">
        <f>IF('December_Tide_2025 (2)'!A457="","",'December_Tide_2025 (2)'!A457)</f>
        <v>2025-12-19 23:00:00</v>
      </c>
      <c r="B457" s="3">
        <f>IF('December_Tide_2025 (2)'!B457="","",'December_Tide_2025 (2)'!B457)</f>
        <v>0.87</v>
      </c>
      <c r="C457" s="3">
        <f>IF($A457="","", INDEX([1]Calc!$E:$E, MATCH("KminusZ_m", [1]Calc!$C:$C, 0)) + $B457 - INDEX([1]Calc!$E:$E, MATCH("L_ramp_m", [1]Calc!$C:$C, 0)) * TAN(RADIANS(INDEX([1]Calc!$E:$E, MATCH("theta_max_deg", [1]Calc!$C:$C, 0)))))</f>
        <v>2.6087491768118825</v>
      </c>
      <c r="D457" s="3"/>
      <c r="E457" s="3">
        <f t="shared" si="21"/>
        <v>2.6087491768118825</v>
      </c>
      <c r="F457" s="3">
        <f t="shared" si="22"/>
        <v>2.6087491768118825</v>
      </c>
      <c r="G457" s="3">
        <f>IF($E457="","", DEGREES(ATAN((INDEX([1]Calc!$E:$E, MATCH("KminusZ_m", [1]Calc!$C:$C, 0)) - $E457 + $B457) / INDEX([1]Calc!$E:$E, MATCH("L_ramp_m", [1]Calc!$C:$C, 0)))))</f>
        <v>6.0000000000000009</v>
      </c>
      <c r="H457" s="2" t="str">
        <f>IF($E457="","", IF(AND($E457&gt;=INDEX([1]Calc!$E:$E, MATCH("min_fwd_draft_m", [1]Calc!$C:$C, 0)), $E457&lt;=INDEX([1]Calc!$E:$E, MATCH("max_fwd_draft_m", [1]Calc!$C:$C, 0)), $G457&lt;=INDEX([1]Calc!$E:$E, MATCH("theta_max_deg", [1]Calc!$C:$C, 0))), "OK", "CHECK"))</f>
        <v>OK</v>
      </c>
      <c r="I457" s="3">
        <f>IF($E457="","", INDEX([1]Calc!$E:$E, MATCH("D_vessel_m", [1]Calc!$C:$C, 0)) - $E457 + $B457)</f>
        <v>1.9112508231881176</v>
      </c>
      <c r="J457" s="3">
        <f>IF($F457="","", INDEX([1]Calc!$E:$E, MATCH("D_vessel_m", [1]Calc!$C:$C, 0)) - $F457 + $B457)</f>
        <v>1.9112508231881176</v>
      </c>
      <c r="K457" s="2" t="str">
        <f t="shared" si="23"/>
        <v>Even Keel</v>
      </c>
    </row>
    <row r="458" spans="1:11" x14ac:dyDescent="0.6">
      <c r="A458" s="2" t="str">
        <f>IF('December_Tide_2025 (2)'!A458="","",'December_Tide_2025 (2)'!A458)</f>
        <v>2025-12-20 00:00:00</v>
      </c>
      <c r="B458" s="3">
        <f>IF('December_Tide_2025 (2)'!B458="","",'December_Tide_2025 (2)'!B458)</f>
        <v>0.95</v>
      </c>
      <c r="C458" s="3">
        <f>IF($A458="","", INDEX([1]Calc!$E:$E, MATCH("KminusZ_m", [1]Calc!$C:$C, 0)) + $B458 - INDEX([1]Calc!$E:$E, MATCH("L_ramp_m", [1]Calc!$C:$C, 0)) * TAN(RADIANS(INDEX([1]Calc!$E:$E, MATCH("theta_max_deg", [1]Calc!$C:$C, 0)))))</f>
        <v>2.6887491768118825</v>
      </c>
      <c r="D458" s="3"/>
      <c r="E458" s="3">
        <f t="shared" si="21"/>
        <v>2.6887491768118825</v>
      </c>
      <c r="F458" s="3">
        <f t="shared" si="22"/>
        <v>2.6887491768118825</v>
      </c>
      <c r="G458" s="3">
        <f>IF($E458="","", DEGREES(ATAN((INDEX([1]Calc!$E:$E, MATCH("KminusZ_m", [1]Calc!$C:$C, 0)) - $E458 + $B458) / INDEX([1]Calc!$E:$E, MATCH("L_ramp_m", [1]Calc!$C:$C, 0)))))</f>
        <v>6</v>
      </c>
      <c r="H458" s="2" t="str">
        <f>IF($E458="","", IF(AND($E458&gt;=INDEX([1]Calc!$E:$E, MATCH("min_fwd_draft_m", [1]Calc!$C:$C, 0)), $E458&lt;=INDEX([1]Calc!$E:$E, MATCH("max_fwd_draft_m", [1]Calc!$C:$C, 0)), $G458&lt;=INDEX([1]Calc!$E:$E, MATCH("theta_max_deg", [1]Calc!$C:$C, 0))), "OK", "CHECK"))</f>
        <v>OK</v>
      </c>
      <c r="I458" s="3">
        <f>IF($E458="","", INDEX([1]Calc!$E:$E, MATCH("D_vessel_m", [1]Calc!$C:$C, 0)) - $E458 + $B458)</f>
        <v>1.9112508231881173</v>
      </c>
      <c r="J458" s="3">
        <f>IF($F458="","", INDEX([1]Calc!$E:$E, MATCH("D_vessel_m", [1]Calc!$C:$C, 0)) - $F458 + $B458)</f>
        <v>1.9112508231881173</v>
      </c>
      <c r="K458" s="2" t="str">
        <f t="shared" si="23"/>
        <v>Even Keel</v>
      </c>
    </row>
    <row r="459" spans="1:11" x14ac:dyDescent="0.6">
      <c r="A459" s="2" t="str">
        <f>IF('December_Tide_2025 (2)'!A459="","",'December_Tide_2025 (2)'!A459)</f>
        <v>2025-12-20 01:00:00</v>
      </c>
      <c r="B459" s="3">
        <f>IF('December_Tide_2025 (2)'!B459="","",'December_Tide_2025 (2)'!B459)</f>
        <v>1.25</v>
      </c>
      <c r="C459" s="3">
        <f>IF($A459="","", INDEX([1]Calc!$E:$E, MATCH("KminusZ_m", [1]Calc!$C:$C, 0)) + $B459 - INDEX([1]Calc!$E:$E, MATCH("L_ramp_m", [1]Calc!$C:$C, 0)) * TAN(RADIANS(INDEX([1]Calc!$E:$E, MATCH("theta_max_deg", [1]Calc!$C:$C, 0)))))</f>
        <v>2.9887491768118823</v>
      </c>
      <c r="D459" s="3"/>
      <c r="E459" s="3">
        <f t="shared" si="21"/>
        <v>2.9887491768118823</v>
      </c>
      <c r="F459" s="3">
        <f t="shared" si="22"/>
        <v>2.9887491768118823</v>
      </c>
      <c r="G459" s="3">
        <f>IF($E459="","", DEGREES(ATAN((INDEX([1]Calc!$E:$E, MATCH("KminusZ_m", [1]Calc!$C:$C, 0)) - $E459 + $B459) / INDEX([1]Calc!$E:$E, MATCH("L_ramp_m", [1]Calc!$C:$C, 0)))))</f>
        <v>6.0000000000000009</v>
      </c>
      <c r="H459" s="2" t="str">
        <f>IF($E459="","", IF(AND($E459&gt;=INDEX([1]Calc!$E:$E, MATCH("min_fwd_draft_m", [1]Calc!$C:$C, 0)), $E459&lt;=INDEX([1]Calc!$E:$E, MATCH("max_fwd_draft_m", [1]Calc!$C:$C, 0)), $G459&lt;=INDEX([1]Calc!$E:$E, MATCH("theta_max_deg", [1]Calc!$C:$C, 0))), "OK", "CHECK"))</f>
        <v>OK</v>
      </c>
      <c r="I459" s="3">
        <f>IF($E459="","", INDEX([1]Calc!$E:$E, MATCH("D_vessel_m", [1]Calc!$C:$C, 0)) - $E459 + $B459)</f>
        <v>1.9112508231881176</v>
      </c>
      <c r="J459" s="3">
        <f>IF($F459="","", INDEX([1]Calc!$E:$E, MATCH("D_vessel_m", [1]Calc!$C:$C, 0)) - $F459 + $B459)</f>
        <v>1.9112508231881176</v>
      </c>
      <c r="K459" s="2" t="str">
        <f t="shared" si="23"/>
        <v>Even Keel</v>
      </c>
    </row>
    <row r="460" spans="1:11" x14ac:dyDescent="0.6">
      <c r="A460" s="2" t="str">
        <f>IF('December_Tide_2025 (2)'!A460="","",'December_Tide_2025 (2)'!A460)</f>
        <v>2025-12-20 02:00:00</v>
      </c>
      <c r="B460" s="3">
        <f>IF('December_Tide_2025 (2)'!B460="","",'December_Tide_2025 (2)'!B460)</f>
        <v>1.68</v>
      </c>
      <c r="C460" s="3">
        <f>IF($A460="","", INDEX([1]Calc!$E:$E, MATCH("KminusZ_m", [1]Calc!$C:$C, 0)) + $B460 - INDEX([1]Calc!$E:$E, MATCH("L_ramp_m", [1]Calc!$C:$C, 0)) * TAN(RADIANS(INDEX([1]Calc!$E:$E, MATCH("theta_max_deg", [1]Calc!$C:$C, 0)))))</f>
        <v>3.4187491768118821</v>
      </c>
      <c r="D460" s="3"/>
      <c r="E460" s="3">
        <f t="shared" si="21"/>
        <v>3.4187491768118821</v>
      </c>
      <c r="F460" s="3">
        <f t="shared" si="22"/>
        <v>3.4187491768118821</v>
      </c>
      <c r="G460" s="3">
        <f>IF($E460="","", DEGREES(ATAN((INDEX([1]Calc!$E:$E, MATCH("KminusZ_m", [1]Calc!$C:$C, 0)) - $E460 + $B460) / INDEX([1]Calc!$E:$E, MATCH("L_ramp_m", [1]Calc!$C:$C, 0)))))</f>
        <v>6.0000000000000009</v>
      </c>
      <c r="H460" s="2" t="str">
        <f>IF($E460="","", IF(AND($E460&gt;=INDEX([1]Calc!$E:$E, MATCH("min_fwd_draft_m", [1]Calc!$C:$C, 0)), $E460&lt;=INDEX([1]Calc!$E:$E, MATCH("max_fwd_draft_m", [1]Calc!$C:$C, 0)), $G460&lt;=INDEX([1]Calc!$E:$E, MATCH("theta_max_deg", [1]Calc!$C:$C, 0))), "OK", "CHECK"))</f>
        <v>OK</v>
      </c>
      <c r="I460" s="3">
        <f>IF($E460="","", INDEX([1]Calc!$E:$E, MATCH("D_vessel_m", [1]Calc!$C:$C, 0)) - $E460 + $B460)</f>
        <v>1.9112508231881178</v>
      </c>
      <c r="J460" s="3">
        <f>IF($F460="","", INDEX([1]Calc!$E:$E, MATCH("D_vessel_m", [1]Calc!$C:$C, 0)) - $F460 + $B460)</f>
        <v>1.9112508231881178</v>
      </c>
      <c r="K460" s="2" t="str">
        <f t="shared" si="23"/>
        <v>Even Keel</v>
      </c>
    </row>
    <row r="461" spans="1:11" x14ac:dyDescent="0.6">
      <c r="A461" s="2" t="str">
        <f>IF('December_Tide_2025 (2)'!A461="","",'December_Tide_2025 (2)'!A461)</f>
        <v>2025-12-20 03:00:00</v>
      </c>
      <c r="B461" s="3">
        <f>IF('December_Tide_2025 (2)'!B461="","",'December_Tide_2025 (2)'!B461)</f>
        <v>2.15</v>
      </c>
      <c r="C461" s="3">
        <f>IF($A461="","", INDEX([1]Calc!$E:$E, MATCH("KminusZ_m", [1]Calc!$C:$C, 0)) + $B461 - INDEX([1]Calc!$E:$E, MATCH("L_ramp_m", [1]Calc!$C:$C, 0)) * TAN(RADIANS(INDEX([1]Calc!$E:$E, MATCH("theta_max_deg", [1]Calc!$C:$C, 0)))))</f>
        <v>3.8887491768118827</v>
      </c>
      <c r="D461" s="3"/>
      <c r="E461" s="3">
        <f t="shared" si="21"/>
        <v>3.8887491768118827</v>
      </c>
      <c r="F461" s="3">
        <f t="shared" si="22"/>
        <v>3.8887491768118827</v>
      </c>
      <c r="G461" s="3">
        <f>IF($E461="","", DEGREES(ATAN((INDEX([1]Calc!$E:$E, MATCH("KminusZ_m", [1]Calc!$C:$C, 0)) - $E461 + $B461) / INDEX([1]Calc!$E:$E, MATCH("L_ramp_m", [1]Calc!$C:$C, 0)))))</f>
        <v>5.9999999999999982</v>
      </c>
      <c r="H461" s="2" t="str">
        <f>IF($E461="","", IF(AND($E461&gt;=INDEX([1]Calc!$E:$E, MATCH("min_fwd_draft_m", [1]Calc!$C:$C, 0)), $E461&lt;=INDEX([1]Calc!$E:$E, MATCH("max_fwd_draft_m", [1]Calc!$C:$C, 0)), $G461&lt;=INDEX([1]Calc!$E:$E, MATCH("theta_max_deg", [1]Calc!$C:$C, 0))), "OK", "CHECK"))</f>
        <v>CHECK</v>
      </c>
      <c r="I461" s="3">
        <f>IF($E461="","", INDEX([1]Calc!$E:$E, MATCH("D_vessel_m", [1]Calc!$C:$C, 0)) - $E461 + $B461)</f>
        <v>1.9112508231881171</v>
      </c>
      <c r="J461" s="3">
        <f>IF($F461="","", INDEX([1]Calc!$E:$E, MATCH("D_vessel_m", [1]Calc!$C:$C, 0)) - $F461 + $B461)</f>
        <v>1.9112508231881171</v>
      </c>
      <c r="K461" s="2" t="str">
        <f t="shared" si="23"/>
        <v>Even Keel</v>
      </c>
    </row>
    <row r="462" spans="1:11" x14ac:dyDescent="0.6">
      <c r="A462" s="2" t="str">
        <f>IF('December_Tide_2025 (2)'!A462="","",'December_Tide_2025 (2)'!A462)</f>
        <v>2025-12-20 04:00:00</v>
      </c>
      <c r="B462" s="3">
        <f>IF('December_Tide_2025 (2)'!B462="","",'December_Tide_2025 (2)'!B462)</f>
        <v>2.5299999999999998</v>
      </c>
      <c r="C462" s="3">
        <f>IF($A462="","", INDEX([1]Calc!$E:$E, MATCH("KminusZ_m", [1]Calc!$C:$C, 0)) + $B462 - INDEX([1]Calc!$E:$E, MATCH("L_ramp_m", [1]Calc!$C:$C, 0)) * TAN(RADIANS(INDEX([1]Calc!$E:$E, MATCH("theta_max_deg", [1]Calc!$C:$C, 0)))))</f>
        <v>4.2687491768118822</v>
      </c>
      <c r="D462" s="3"/>
      <c r="E462" s="3">
        <f t="shared" si="21"/>
        <v>4.2687491768118822</v>
      </c>
      <c r="F462" s="3">
        <f t="shared" si="22"/>
        <v>4.2687491768118822</v>
      </c>
      <c r="G462" s="3">
        <f>IF($E462="","", DEGREES(ATAN((INDEX([1]Calc!$E:$E, MATCH("KminusZ_m", [1]Calc!$C:$C, 0)) - $E462 + $B462) / INDEX([1]Calc!$E:$E, MATCH("L_ramp_m", [1]Calc!$C:$C, 0)))))</f>
        <v>6.0000000000000009</v>
      </c>
      <c r="H462" s="2" t="str">
        <f>IF($E462="","", IF(AND($E462&gt;=INDEX([1]Calc!$E:$E, MATCH("min_fwd_draft_m", [1]Calc!$C:$C, 0)), $E462&lt;=INDEX([1]Calc!$E:$E, MATCH("max_fwd_draft_m", [1]Calc!$C:$C, 0)), $G462&lt;=INDEX([1]Calc!$E:$E, MATCH("theta_max_deg", [1]Calc!$C:$C, 0))), "OK", "CHECK"))</f>
        <v>CHECK</v>
      </c>
      <c r="I462" s="3">
        <f>IF($E462="","", INDEX([1]Calc!$E:$E, MATCH("D_vessel_m", [1]Calc!$C:$C, 0)) - $E462 + $B462)</f>
        <v>1.9112508231881176</v>
      </c>
      <c r="J462" s="3">
        <f>IF($F462="","", INDEX([1]Calc!$E:$E, MATCH("D_vessel_m", [1]Calc!$C:$C, 0)) - $F462 + $B462)</f>
        <v>1.9112508231881176</v>
      </c>
      <c r="K462" s="2" t="str">
        <f t="shared" si="23"/>
        <v>Even Keel</v>
      </c>
    </row>
    <row r="463" spans="1:11" x14ac:dyDescent="0.6">
      <c r="A463" s="2" t="str">
        <f>IF('December_Tide_2025 (2)'!A463="","",'December_Tide_2025 (2)'!A463)</f>
        <v>2025-12-20 05:00:00</v>
      </c>
      <c r="B463" s="3">
        <f>IF('December_Tide_2025 (2)'!B463="","",'December_Tide_2025 (2)'!B463)</f>
        <v>2.72</v>
      </c>
      <c r="C463" s="3">
        <f>IF($A463="","", INDEX([1]Calc!$E:$E, MATCH("KminusZ_m", [1]Calc!$C:$C, 0)) + $B463 - INDEX([1]Calc!$E:$E, MATCH("L_ramp_m", [1]Calc!$C:$C, 0)) * TAN(RADIANS(INDEX([1]Calc!$E:$E, MATCH("theta_max_deg", [1]Calc!$C:$C, 0)))))</f>
        <v>4.4587491768118834</v>
      </c>
      <c r="D463" s="3"/>
      <c r="E463" s="3">
        <f t="shared" si="21"/>
        <v>4.4587491768118834</v>
      </c>
      <c r="F463" s="3">
        <f t="shared" si="22"/>
        <v>4.4587491768118834</v>
      </c>
      <c r="G463" s="3">
        <f>IF($E463="","", DEGREES(ATAN((INDEX([1]Calc!$E:$E, MATCH("KminusZ_m", [1]Calc!$C:$C, 0)) - $E463 + $B463) / INDEX([1]Calc!$E:$E, MATCH("L_ramp_m", [1]Calc!$C:$C, 0)))))</f>
        <v>5.9999999999999964</v>
      </c>
      <c r="H463" s="2" t="str">
        <f>IF($E463="","", IF(AND($E463&gt;=INDEX([1]Calc!$E:$E, MATCH("min_fwd_draft_m", [1]Calc!$C:$C, 0)), $E463&lt;=INDEX([1]Calc!$E:$E, MATCH("max_fwd_draft_m", [1]Calc!$C:$C, 0)), $G463&lt;=INDEX([1]Calc!$E:$E, MATCH("theta_max_deg", [1]Calc!$C:$C, 0))), "OK", "CHECK"))</f>
        <v>CHECK</v>
      </c>
      <c r="I463" s="3">
        <f>IF($E463="","", INDEX([1]Calc!$E:$E, MATCH("D_vessel_m", [1]Calc!$C:$C, 0)) - $E463 + $B463)</f>
        <v>1.9112508231881167</v>
      </c>
      <c r="J463" s="3">
        <f>IF($F463="","", INDEX([1]Calc!$E:$E, MATCH("D_vessel_m", [1]Calc!$C:$C, 0)) - $F463 + $B463)</f>
        <v>1.9112508231881167</v>
      </c>
      <c r="K463" s="2" t="str">
        <f t="shared" si="23"/>
        <v>Even Keel</v>
      </c>
    </row>
    <row r="464" spans="1:11" x14ac:dyDescent="0.6">
      <c r="A464" s="2" t="str">
        <f>IF('December_Tide_2025 (2)'!A464="","",'December_Tide_2025 (2)'!A464)</f>
        <v>2025-12-20 06:00:00</v>
      </c>
      <c r="B464" s="3">
        <f>IF('December_Tide_2025 (2)'!B464="","",'December_Tide_2025 (2)'!B464)</f>
        <v>2.69</v>
      </c>
      <c r="C464" s="3">
        <f>IF($A464="","", INDEX([1]Calc!$E:$E, MATCH("KminusZ_m", [1]Calc!$C:$C, 0)) + $B464 - INDEX([1]Calc!$E:$E, MATCH("L_ramp_m", [1]Calc!$C:$C, 0)) * TAN(RADIANS(INDEX([1]Calc!$E:$E, MATCH("theta_max_deg", [1]Calc!$C:$C, 0)))))</f>
        <v>4.4287491768118823</v>
      </c>
      <c r="D464" s="3"/>
      <c r="E464" s="3">
        <f t="shared" si="21"/>
        <v>4.4287491768118823</v>
      </c>
      <c r="F464" s="3">
        <f t="shared" si="22"/>
        <v>4.4287491768118823</v>
      </c>
      <c r="G464" s="3">
        <f>IF($E464="","", DEGREES(ATAN((INDEX([1]Calc!$E:$E, MATCH("KminusZ_m", [1]Calc!$C:$C, 0)) - $E464 + $B464) / INDEX([1]Calc!$E:$E, MATCH("L_ramp_m", [1]Calc!$C:$C, 0)))))</f>
        <v>6.0000000000000009</v>
      </c>
      <c r="H464" s="2" t="str">
        <f>IF($E464="","", IF(AND($E464&gt;=INDEX([1]Calc!$E:$E, MATCH("min_fwd_draft_m", [1]Calc!$C:$C, 0)), $E464&lt;=INDEX([1]Calc!$E:$E, MATCH("max_fwd_draft_m", [1]Calc!$C:$C, 0)), $G464&lt;=INDEX([1]Calc!$E:$E, MATCH("theta_max_deg", [1]Calc!$C:$C, 0))), "OK", "CHECK"))</f>
        <v>CHECK</v>
      </c>
      <c r="I464" s="3">
        <f>IF($E464="","", INDEX([1]Calc!$E:$E, MATCH("D_vessel_m", [1]Calc!$C:$C, 0)) - $E464 + $B464)</f>
        <v>1.9112508231881176</v>
      </c>
      <c r="J464" s="3">
        <f>IF($F464="","", INDEX([1]Calc!$E:$E, MATCH("D_vessel_m", [1]Calc!$C:$C, 0)) - $F464 + $B464)</f>
        <v>1.9112508231881176</v>
      </c>
      <c r="K464" s="2" t="str">
        <f t="shared" si="23"/>
        <v>Even Keel</v>
      </c>
    </row>
    <row r="465" spans="1:11" x14ac:dyDescent="0.6">
      <c r="A465" s="2" t="str">
        <f>IF('December_Tide_2025 (2)'!A465="","",'December_Tide_2025 (2)'!A465)</f>
        <v>2025-12-20 07:00:00</v>
      </c>
      <c r="B465" s="3">
        <f>IF('December_Tide_2025 (2)'!B465="","",'December_Tide_2025 (2)'!B465)</f>
        <v>2.4300000000000002</v>
      </c>
      <c r="C465" s="3">
        <f>IF($A465="","", INDEX([1]Calc!$E:$E, MATCH("KminusZ_m", [1]Calc!$C:$C, 0)) + $B465 - INDEX([1]Calc!$E:$E, MATCH("L_ramp_m", [1]Calc!$C:$C, 0)) * TAN(RADIANS(INDEX([1]Calc!$E:$E, MATCH("theta_max_deg", [1]Calc!$C:$C, 0)))))</f>
        <v>4.1687491768118825</v>
      </c>
      <c r="D465" s="3"/>
      <c r="E465" s="3">
        <f t="shared" si="21"/>
        <v>4.1687491768118825</v>
      </c>
      <c r="F465" s="3">
        <f t="shared" si="22"/>
        <v>4.1687491768118825</v>
      </c>
      <c r="G465" s="3">
        <f>IF($E465="","", DEGREES(ATAN((INDEX([1]Calc!$E:$E, MATCH("KminusZ_m", [1]Calc!$C:$C, 0)) - $E465 + $B465) / INDEX([1]Calc!$E:$E, MATCH("L_ramp_m", [1]Calc!$C:$C, 0)))))</f>
        <v>6.0000000000000009</v>
      </c>
      <c r="H465" s="2" t="str">
        <f>IF($E465="","", IF(AND($E465&gt;=INDEX([1]Calc!$E:$E, MATCH("min_fwd_draft_m", [1]Calc!$C:$C, 0)), $E465&lt;=INDEX([1]Calc!$E:$E, MATCH("max_fwd_draft_m", [1]Calc!$C:$C, 0)), $G465&lt;=INDEX([1]Calc!$E:$E, MATCH("theta_max_deg", [1]Calc!$C:$C, 0))), "OK", "CHECK"))</f>
        <v>CHECK</v>
      </c>
      <c r="I465" s="3">
        <f>IF($E465="","", INDEX([1]Calc!$E:$E, MATCH("D_vessel_m", [1]Calc!$C:$C, 0)) - $E465 + $B465)</f>
        <v>1.9112508231881176</v>
      </c>
      <c r="J465" s="3">
        <f>IF($F465="","", INDEX([1]Calc!$E:$E, MATCH("D_vessel_m", [1]Calc!$C:$C, 0)) - $F465 + $B465)</f>
        <v>1.9112508231881176</v>
      </c>
      <c r="K465" s="2" t="str">
        <f t="shared" si="23"/>
        <v>Even Keel</v>
      </c>
    </row>
    <row r="466" spans="1:11" x14ac:dyDescent="0.6">
      <c r="A466" s="2" t="str">
        <f>IF('December_Tide_2025 (2)'!A466="","",'December_Tide_2025 (2)'!A466)</f>
        <v>2025-12-20 08:00:00</v>
      </c>
      <c r="B466" s="3">
        <f>IF('December_Tide_2025 (2)'!B466="","",'December_Tide_2025 (2)'!B466)</f>
        <v>2.0099999999999998</v>
      </c>
      <c r="C466" s="3">
        <f>IF($A466="","", INDEX([1]Calc!$E:$E, MATCH("KminusZ_m", [1]Calc!$C:$C, 0)) + $B466 - INDEX([1]Calc!$E:$E, MATCH("L_ramp_m", [1]Calc!$C:$C, 0)) * TAN(RADIANS(INDEX([1]Calc!$E:$E, MATCH("theta_max_deg", [1]Calc!$C:$C, 0)))))</f>
        <v>3.7487491768118821</v>
      </c>
      <c r="D466" s="3"/>
      <c r="E466" s="3">
        <f t="shared" si="21"/>
        <v>3.7487491768118821</v>
      </c>
      <c r="F466" s="3">
        <f t="shared" si="22"/>
        <v>3.7487491768118821</v>
      </c>
      <c r="G466" s="3">
        <f>IF($E466="","", DEGREES(ATAN((INDEX([1]Calc!$E:$E, MATCH("KminusZ_m", [1]Calc!$C:$C, 0)) - $E466 + $B466) / INDEX([1]Calc!$E:$E, MATCH("L_ramp_m", [1]Calc!$C:$C, 0)))))</f>
        <v>6.0000000000000009</v>
      </c>
      <c r="H466" s="2" t="str">
        <f>IF($E466="","", IF(AND($E466&gt;=INDEX([1]Calc!$E:$E, MATCH("min_fwd_draft_m", [1]Calc!$C:$C, 0)), $E466&lt;=INDEX([1]Calc!$E:$E, MATCH("max_fwd_draft_m", [1]Calc!$C:$C, 0)), $G466&lt;=INDEX([1]Calc!$E:$E, MATCH("theta_max_deg", [1]Calc!$C:$C, 0))), "OK", "CHECK"))</f>
        <v>CHECK</v>
      </c>
      <c r="I466" s="3">
        <f>IF($E466="","", INDEX([1]Calc!$E:$E, MATCH("D_vessel_m", [1]Calc!$C:$C, 0)) - $E466 + $B466)</f>
        <v>1.9112508231881176</v>
      </c>
      <c r="J466" s="3">
        <f>IF($F466="","", INDEX([1]Calc!$E:$E, MATCH("D_vessel_m", [1]Calc!$C:$C, 0)) - $F466 + $B466)</f>
        <v>1.9112508231881176</v>
      </c>
      <c r="K466" s="2" t="str">
        <f t="shared" si="23"/>
        <v>Even Keel</v>
      </c>
    </row>
    <row r="467" spans="1:11" x14ac:dyDescent="0.6">
      <c r="A467" s="2" t="str">
        <f>IF('December_Tide_2025 (2)'!A467="","",'December_Tide_2025 (2)'!A467)</f>
        <v>2025-12-20 09:00:00</v>
      </c>
      <c r="B467" s="3">
        <f>IF('December_Tide_2025 (2)'!B467="","",'December_Tide_2025 (2)'!B467)</f>
        <v>1.54</v>
      </c>
      <c r="C467" s="3">
        <f>IF($A467="","", INDEX([1]Calc!$E:$E, MATCH("KminusZ_m", [1]Calc!$C:$C, 0)) + $B467 - INDEX([1]Calc!$E:$E, MATCH("L_ramp_m", [1]Calc!$C:$C, 0)) * TAN(RADIANS(INDEX([1]Calc!$E:$E, MATCH("theta_max_deg", [1]Calc!$C:$C, 0)))))</f>
        <v>3.2787491768118824</v>
      </c>
      <c r="D467" s="3"/>
      <c r="E467" s="3">
        <f t="shared" si="21"/>
        <v>3.2787491768118824</v>
      </c>
      <c r="F467" s="3">
        <f t="shared" si="22"/>
        <v>3.2787491768118824</v>
      </c>
      <c r="G467" s="3">
        <f>IF($E467="","", DEGREES(ATAN((INDEX([1]Calc!$E:$E, MATCH("KminusZ_m", [1]Calc!$C:$C, 0)) - $E467 + $B467) / INDEX([1]Calc!$E:$E, MATCH("L_ramp_m", [1]Calc!$C:$C, 0)))))</f>
        <v>6.0000000000000009</v>
      </c>
      <c r="H467" s="2" t="str">
        <f>IF($E467="","", IF(AND($E467&gt;=INDEX([1]Calc!$E:$E, MATCH("min_fwd_draft_m", [1]Calc!$C:$C, 0)), $E467&lt;=INDEX([1]Calc!$E:$E, MATCH("max_fwd_draft_m", [1]Calc!$C:$C, 0)), $G467&lt;=INDEX([1]Calc!$E:$E, MATCH("theta_max_deg", [1]Calc!$C:$C, 0))), "OK", "CHECK"))</f>
        <v>OK</v>
      </c>
      <c r="I467" s="3">
        <f>IF($E467="","", INDEX([1]Calc!$E:$E, MATCH("D_vessel_m", [1]Calc!$C:$C, 0)) - $E467 + $B467)</f>
        <v>1.9112508231881176</v>
      </c>
      <c r="J467" s="3">
        <f>IF($F467="","", INDEX([1]Calc!$E:$E, MATCH("D_vessel_m", [1]Calc!$C:$C, 0)) - $F467 + $B467)</f>
        <v>1.9112508231881176</v>
      </c>
      <c r="K467" s="2" t="str">
        <f t="shared" si="23"/>
        <v>Even Keel</v>
      </c>
    </row>
    <row r="468" spans="1:11" x14ac:dyDescent="0.6">
      <c r="A468" s="2" t="str">
        <f>IF('December_Tide_2025 (2)'!A468="","",'December_Tide_2025 (2)'!A468)</f>
        <v>2025-12-20 10:00:00</v>
      </c>
      <c r="B468" s="3">
        <f>IF('December_Tide_2025 (2)'!B468="","",'December_Tide_2025 (2)'!B468)</f>
        <v>1.1399999999999999</v>
      </c>
      <c r="C468" s="3">
        <f>IF($A468="","", INDEX([1]Calc!$E:$E, MATCH("KminusZ_m", [1]Calc!$C:$C, 0)) + $B468 - INDEX([1]Calc!$E:$E, MATCH("L_ramp_m", [1]Calc!$C:$C, 0)) * TAN(RADIANS(INDEX([1]Calc!$E:$E, MATCH("theta_max_deg", [1]Calc!$C:$C, 0)))))</f>
        <v>2.878749176811882</v>
      </c>
      <c r="D468" s="3"/>
      <c r="E468" s="3">
        <f t="shared" si="21"/>
        <v>2.878749176811882</v>
      </c>
      <c r="F468" s="3">
        <f t="shared" si="22"/>
        <v>2.878749176811882</v>
      </c>
      <c r="G468" s="3">
        <f>IF($E468="","", DEGREES(ATAN((INDEX([1]Calc!$E:$E, MATCH("KminusZ_m", [1]Calc!$C:$C, 0)) - $E468 + $B468) / INDEX([1]Calc!$E:$E, MATCH("L_ramp_m", [1]Calc!$C:$C, 0)))))</f>
        <v>6.0000000000000009</v>
      </c>
      <c r="H468" s="2" t="str">
        <f>IF($E468="","", IF(AND($E468&gt;=INDEX([1]Calc!$E:$E, MATCH("min_fwd_draft_m", [1]Calc!$C:$C, 0)), $E468&lt;=INDEX([1]Calc!$E:$E, MATCH("max_fwd_draft_m", [1]Calc!$C:$C, 0)), $G468&lt;=INDEX([1]Calc!$E:$E, MATCH("theta_max_deg", [1]Calc!$C:$C, 0))), "OK", "CHECK"))</f>
        <v>OK</v>
      </c>
      <c r="I468" s="3">
        <f>IF($E468="","", INDEX([1]Calc!$E:$E, MATCH("D_vessel_m", [1]Calc!$C:$C, 0)) - $E468 + $B468)</f>
        <v>1.9112508231881178</v>
      </c>
      <c r="J468" s="3">
        <f>IF($F468="","", INDEX([1]Calc!$E:$E, MATCH("D_vessel_m", [1]Calc!$C:$C, 0)) - $F468 + $B468)</f>
        <v>1.9112508231881178</v>
      </c>
      <c r="K468" s="2" t="str">
        <f t="shared" si="23"/>
        <v>Even Keel</v>
      </c>
    </row>
    <row r="469" spans="1:11" x14ac:dyDescent="0.6">
      <c r="A469" s="2" t="str">
        <f>IF('December_Tide_2025 (2)'!A469="","",'December_Tide_2025 (2)'!A469)</f>
        <v>2025-12-20 11:00:00</v>
      </c>
      <c r="B469" s="3">
        <f>IF('December_Tide_2025 (2)'!B469="","",'December_Tide_2025 (2)'!B469)</f>
        <v>0.9</v>
      </c>
      <c r="C469" s="3">
        <f>IF($A469="","", INDEX([1]Calc!$E:$E, MATCH("KminusZ_m", [1]Calc!$C:$C, 0)) + $B469 - INDEX([1]Calc!$E:$E, MATCH("L_ramp_m", [1]Calc!$C:$C, 0)) * TAN(RADIANS(INDEX([1]Calc!$E:$E, MATCH("theta_max_deg", [1]Calc!$C:$C, 0)))))</f>
        <v>2.6387491768118823</v>
      </c>
      <c r="D469" s="3"/>
      <c r="E469" s="3">
        <f t="shared" si="21"/>
        <v>2.6387491768118823</v>
      </c>
      <c r="F469" s="3">
        <f t="shared" si="22"/>
        <v>2.6387491768118823</v>
      </c>
      <c r="G469" s="3">
        <f>IF($E469="","", DEGREES(ATAN((INDEX([1]Calc!$E:$E, MATCH("KminusZ_m", [1]Calc!$C:$C, 0)) - $E469 + $B469) / INDEX([1]Calc!$E:$E, MATCH("L_ramp_m", [1]Calc!$C:$C, 0)))))</f>
        <v>6.0000000000000009</v>
      </c>
      <c r="H469" s="2" t="str">
        <f>IF($E469="","", IF(AND($E469&gt;=INDEX([1]Calc!$E:$E, MATCH("min_fwd_draft_m", [1]Calc!$C:$C, 0)), $E469&lt;=INDEX([1]Calc!$E:$E, MATCH("max_fwd_draft_m", [1]Calc!$C:$C, 0)), $G469&lt;=INDEX([1]Calc!$E:$E, MATCH("theta_max_deg", [1]Calc!$C:$C, 0))), "OK", "CHECK"))</f>
        <v>OK</v>
      </c>
      <c r="I469" s="3">
        <f>IF($E469="","", INDEX([1]Calc!$E:$E, MATCH("D_vessel_m", [1]Calc!$C:$C, 0)) - $E469 + $B469)</f>
        <v>1.9112508231881176</v>
      </c>
      <c r="J469" s="3">
        <f>IF($F469="","", INDEX([1]Calc!$E:$E, MATCH("D_vessel_m", [1]Calc!$C:$C, 0)) - $F469 + $B469)</f>
        <v>1.9112508231881176</v>
      </c>
      <c r="K469" s="2" t="str">
        <f t="shared" si="23"/>
        <v>Even Keel</v>
      </c>
    </row>
    <row r="470" spans="1:11" x14ac:dyDescent="0.6">
      <c r="A470" s="2" t="str">
        <f>IF('December_Tide_2025 (2)'!A470="","",'December_Tide_2025 (2)'!A470)</f>
        <v>2025-12-20 12:00:00</v>
      </c>
      <c r="B470" s="3">
        <f>IF('December_Tide_2025 (2)'!B470="","",'December_Tide_2025 (2)'!B470)</f>
        <v>0.89</v>
      </c>
      <c r="C470" s="3">
        <f>IF($A470="","", INDEX([1]Calc!$E:$E, MATCH("KminusZ_m", [1]Calc!$C:$C, 0)) + $B470 - INDEX([1]Calc!$E:$E, MATCH("L_ramp_m", [1]Calc!$C:$C, 0)) * TAN(RADIANS(INDEX([1]Calc!$E:$E, MATCH("theta_max_deg", [1]Calc!$C:$C, 0)))))</f>
        <v>2.6287491768118825</v>
      </c>
      <c r="D470" s="3"/>
      <c r="E470" s="3">
        <f t="shared" si="21"/>
        <v>2.6287491768118825</v>
      </c>
      <c r="F470" s="3">
        <f t="shared" si="22"/>
        <v>2.6287491768118825</v>
      </c>
      <c r="G470" s="3">
        <f>IF($E470="","", DEGREES(ATAN((INDEX([1]Calc!$E:$E, MATCH("KminusZ_m", [1]Calc!$C:$C, 0)) - $E470 + $B470) / INDEX([1]Calc!$E:$E, MATCH("L_ramp_m", [1]Calc!$C:$C, 0)))))</f>
        <v>6.0000000000000009</v>
      </c>
      <c r="H470" s="2" t="str">
        <f>IF($E470="","", IF(AND($E470&gt;=INDEX([1]Calc!$E:$E, MATCH("min_fwd_draft_m", [1]Calc!$C:$C, 0)), $E470&lt;=INDEX([1]Calc!$E:$E, MATCH("max_fwd_draft_m", [1]Calc!$C:$C, 0)), $G470&lt;=INDEX([1]Calc!$E:$E, MATCH("theta_max_deg", [1]Calc!$C:$C, 0))), "OK", "CHECK"))</f>
        <v>OK</v>
      </c>
      <c r="I470" s="3">
        <f>IF($E470="","", INDEX([1]Calc!$E:$E, MATCH("D_vessel_m", [1]Calc!$C:$C, 0)) - $E470 + $B470)</f>
        <v>1.9112508231881176</v>
      </c>
      <c r="J470" s="3">
        <f>IF($F470="","", INDEX([1]Calc!$E:$E, MATCH("D_vessel_m", [1]Calc!$C:$C, 0)) - $F470 + $B470)</f>
        <v>1.9112508231881176</v>
      </c>
      <c r="K470" s="2" t="str">
        <f t="shared" si="23"/>
        <v>Even Keel</v>
      </c>
    </row>
    <row r="471" spans="1:11" x14ac:dyDescent="0.6">
      <c r="A471" s="2" t="str">
        <f>IF('December_Tide_2025 (2)'!A471="","",'December_Tide_2025 (2)'!A471)</f>
        <v>2025-12-20 13:00:00</v>
      </c>
      <c r="B471" s="3">
        <f>IF('December_Tide_2025 (2)'!B471="","",'December_Tide_2025 (2)'!B471)</f>
        <v>1.1100000000000001</v>
      </c>
      <c r="C471" s="3">
        <f>IF($A471="","", INDEX([1]Calc!$E:$E, MATCH("KminusZ_m", [1]Calc!$C:$C, 0)) + $B471 - INDEX([1]Calc!$E:$E, MATCH("L_ramp_m", [1]Calc!$C:$C, 0)) * TAN(RADIANS(INDEX([1]Calc!$E:$E, MATCH("theta_max_deg", [1]Calc!$C:$C, 0)))))</f>
        <v>2.8487491768118827</v>
      </c>
      <c r="D471" s="3"/>
      <c r="E471" s="3">
        <f t="shared" si="21"/>
        <v>2.8487491768118827</v>
      </c>
      <c r="F471" s="3">
        <f t="shared" si="22"/>
        <v>2.8487491768118827</v>
      </c>
      <c r="G471" s="3">
        <f>IF($E471="","", DEGREES(ATAN((INDEX([1]Calc!$E:$E, MATCH("KminusZ_m", [1]Calc!$C:$C, 0)) - $E471 + $B471) / INDEX([1]Calc!$E:$E, MATCH("L_ramp_m", [1]Calc!$C:$C, 0)))))</f>
        <v>6</v>
      </c>
      <c r="H471" s="2" t="str">
        <f>IF($E471="","", IF(AND($E471&gt;=INDEX([1]Calc!$E:$E, MATCH("min_fwd_draft_m", [1]Calc!$C:$C, 0)), $E471&lt;=INDEX([1]Calc!$E:$E, MATCH("max_fwd_draft_m", [1]Calc!$C:$C, 0)), $G471&lt;=INDEX([1]Calc!$E:$E, MATCH("theta_max_deg", [1]Calc!$C:$C, 0))), "OK", "CHECK"))</f>
        <v>OK</v>
      </c>
      <c r="I471" s="3">
        <f>IF($E471="","", INDEX([1]Calc!$E:$E, MATCH("D_vessel_m", [1]Calc!$C:$C, 0)) - $E471 + $B471)</f>
        <v>1.9112508231881173</v>
      </c>
      <c r="J471" s="3">
        <f>IF($F471="","", INDEX([1]Calc!$E:$E, MATCH("D_vessel_m", [1]Calc!$C:$C, 0)) - $F471 + $B471)</f>
        <v>1.9112508231881173</v>
      </c>
      <c r="K471" s="2" t="str">
        <f t="shared" si="23"/>
        <v>Even Keel</v>
      </c>
    </row>
    <row r="472" spans="1:11" x14ac:dyDescent="0.6">
      <c r="A472" s="2" t="str">
        <f>IF('December_Tide_2025 (2)'!A472="","",'December_Tide_2025 (2)'!A472)</f>
        <v>2025-12-20 14:00:00</v>
      </c>
      <c r="B472" s="3">
        <f>IF('December_Tide_2025 (2)'!B472="","",'December_Tide_2025 (2)'!B472)</f>
        <v>1.5</v>
      </c>
      <c r="C472" s="3">
        <f>IF($A472="","", INDEX([1]Calc!$E:$E, MATCH("KminusZ_m", [1]Calc!$C:$C, 0)) + $B472 - INDEX([1]Calc!$E:$E, MATCH("L_ramp_m", [1]Calc!$C:$C, 0)) * TAN(RADIANS(INDEX([1]Calc!$E:$E, MATCH("theta_max_deg", [1]Calc!$C:$C, 0)))))</f>
        <v>3.2387491768118823</v>
      </c>
      <c r="D472" s="3"/>
      <c r="E472" s="3">
        <f t="shared" si="21"/>
        <v>3.2387491768118823</v>
      </c>
      <c r="F472" s="3">
        <f t="shared" si="22"/>
        <v>3.2387491768118823</v>
      </c>
      <c r="G472" s="3">
        <f>IF($E472="","", DEGREES(ATAN((INDEX([1]Calc!$E:$E, MATCH("KminusZ_m", [1]Calc!$C:$C, 0)) - $E472 + $B472) / INDEX([1]Calc!$E:$E, MATCH("L_ramp_m", [1]Calc!$C:$C, 0)))))</f>
        <v>6.0000000000000009</v>
      </c>
      <c r="H472" s="2" t="str">
        <f>IF($E472="","", IF(AND($E472&gt;=INDEX([1]Calc!$E:$E, MATCH("min_fwd_draft_m", [1]Calc!$C:$C, 0)), $E472&lt;=INDEX([1]Calc!$E:$E, MATCH("max_fwd_draft_m", [1]Calc!$C:$C, 0)), $G472&lt;=INDEX([1]Calc!$E:$E, MATCH("theta_max_deg", [1]Calc!$C:$C, 0))), "OK", "CHECK"))</f>
        <v>OK</v>
      </c>
      <c r="I472" s="3">
        <f>IF($E472="","", INDEX([1]Calc!$E:$E, MATCH("D_vessel_m", [1]Calc!$C:$C, 0)) - $E472 + $B472)</f>
        <v>1.9112508231881176</v>
      </c>
      <c r="J472" s="3">
        <f>IF($F472="","", INDEX([1]Calc!$E:$E, MATCH("D_vessel_m", [1]Calc!$C:$C, 0)) - $F472 + $B472)</f>
        <v>1.9112508231881176</v>
      </c>
      <c r="K472" s="2" t="str">
        <f t="shared" si="23"/>
        <v>Even Keel</v>
      </c>
    </row>
    <row r="473" spans="1:11" x14ac:dyDescent="0.6">
      <c r="A473" s="2" t="str">
        <f>IF('December_Tide_2025 (2)'!A473="","",'December_Tide_2025 (2)'!A473)</f>
        <v>2025-12-20 15:00:00</v>
      </c>
      <c r="B473" s="3">
        <f>IF('December_Tide_2025 (2)'!B473="","",'December_Tide_2025 (2)'!B473)</f>
        <v>1.97</v>
      </c>
      <c r="C473" s="3">
        <f>IF($A473="","", INDEX([1]Calc!$E:$E, MATCH("KminusZ_m", [1]Calc!$C:$C, 0)) + $B473 - INDEX([1]Calc!$E:$E, MATCH("L_ramp_m", [1]Calc!$C:$C, 0)) * TAN(RADIANS(INDEX([1]Calc!$E:$E, MATCH("theta_max_deg", [1]Calc!$C:$C, 0)))))</f>
        <v>3.7087491768118821</v>
      </c>
      <c r="D473" s="3"/>
      <c r="E473" s="3">
        <f t="shared" si="21"/>
        <v>3.7087491768118821</v>
      </c>
      <c r="F473" s="3">
        <f t="shared" si="22"/>
        <v>3.7087491768118821</v>
      </c>
      <c r="G473" s="3">
        <f>IF($E473="","", DEGREES(ATAN((INDEX([1]Calc!$E:$E, MATCH("KminusZ_m", [1]Calc!$C:$C, 0)) - $E473 + $B473) / INDEX([1]Calc!$E:$E, MATCH("L_ramp_m", [1]Calc!$C:$C, 0)))))</f>
        <v>6.0000000000000009</v>
      </c>
      <c r="H473" s="2" t="str">
        <f>IF($E473="","", IF(AND($E473&gt;=INDEX([1]Calc!$E:$E, MATCH("min_fwd_draft_m", [1]Calc!$C:$C, 0)), $E473&lt;=INDEX([1]Calc!$E:$E, MATCH("max_fwd_draft_m", [1]Calc!$C:$C, 0)), $G473&lt;=INDEX([1]Calc!$E:$E, MATCH("theta_max_deg", [1]Calc!$C:$C, 0))), "OK", "CHECK"))</f>
        <v>CHECK</v>
      </c>
      <c r="I473" s="3">
        <f>IF($E473="","", INDEX([1]Calc!$E:$E, MATCH("D_vessel_m", [1]Calc!$C:$C, 0)) - $E473 + $B473)</f>
        <v>1.9112508231881178</v>
      </c>
      <c r="J473" s="3">
        <f>IF($F473="","", INDEX([1]Calc!$E:$E, MATCH("D_vessel_m", [1]Calc!$C:$C, 0)) - $F473 + $B473)</f>
        <v>1.9112508231881178</v>
      </c>
      <c r="K473" s="2" t="str">
        <f t="shared" si="23"/>
        <v>Even Keel</v>
      </c>
    </row>
    <row r="474" spans="1:11" x14ac:dyDescent="0.6">
      <c r="A474" s="2" t="str">
        <f>IF('December_Tide_2025 (2)'!A474="","",'December_Tide_2025 (2)'!A474)</f>
        <v>2025-12-20 16:00:00</v>
      </c>
      <c r="B474" s="3">
        <f>IF('December_Tide_2025 (2)'!B474="","",'December_Tide_2025 (2)'!B474)</f>
        <v>2.39</v>
      </c>
      <c r="C474" s="3">
        <f>IF($A474="","", INDEX([1]Calc!$E:$E, MATCH("KminusZ_m", [1]Calc!$C:$C, 0)) + $B474 - INDEX([1]Calc!$E:$E, MATCH("L_ramp_m", [1]Calc!$C:$C, 0)) * TAN(RADIANS(INDEX([1]Calc!$E:$E, MATCH("theta_max_deg", [1]Calc!$C:$C, 0)))))</f>
        <v>4.1287491768118834</v>
      </c>
      <c r="D474" s="3"/>
      <c r="E474" s="3">
        <f t="shared" si="21"/>
        <v>4.1287491768118834</v>
      </c>
      <c r="F474" s="3">
        <f t="shared" si="22"/>
        <v>4.1287491768118834</v>
      </c>
      <c r="G474" s="3">
        <f>IF($E474="","", DEGREES(ATAN((INDEX([1]Calc!$E:$E, MATCH("KminusZ_m", [1]Calc!$C:$C, 0)) - $E474 + $B474) / INDEX([1]Calc!$E:$E, MATCH("L_ramp_m", [1]Calc!$C:$C, 0)))))</f>
        <v>5.9999999999999964</v>
      </c>
      <c r="H474" s="2" t="str">
        <f>IF($E474="","", IF(AND($E474&gt;=INDEX([1]Calc!$E:$E, MATCH("min_fwd_draft_m", [1]Calc!$C:$C, 0)), $E474&lt;=INDEX([1]Calc!$E:$E, MATCH("max_fwd_draft_m", [1]Calc!$C:$C, 0)), $G474&lt;=INDEX([1]Calc!$E:$E, MATCH("theta_max_deg", [1]Calc!$C:$C, 0))), "OK", "CHECK"))</f>
        <v>CHECK</v>
      </c>
      <c r="I474" s="3">
        <f>IF($E474="","", INDEX([1]Calc!$E:$E, MATCH("D_vessel_m", [1]Calc!$C:$C, 0)) - $E474 + $B474)</f>
        <v>1.9112508231881167</v>
      </c>
      <c r="J474" s="3">
        <f>IF($F474="","", INDEX([1]Calc!$E:$E, MATCH("D_vessel_m", [1]Calc!$C:$C, 0)) - $F474 + $B474)</f>
        <v>1.9112508231881167</v>
      </c>
      <c r="K474" s="2" t="str">
        <f t="shared" si="23"/>
        <v>Even Keel</v>
      </c>
    </row>
    <row r="475" spans="1:11" x14ac:dyDescent="0.6">
      <c r="A475" s="2" t="str">
        <f>IF('December_Tide_2025 (2)'!A475="","",'December_Tide_2025 (2)'!A475)</f>
        <v>2025-12-20 17:00:00</v>
      </c>
      <c r="B475" s="3">
        <f>IF('December_Tide_2025 (2)'!B475="","",'December_Tide_2025 (2)'!B475)</f>
        <v>2.67</v>
      </c>
      <c r="C475" s="3">
        <f>IF($A475="","", INDEX([1]Calc!$E:$E, MATCH("KminusZ_m", [1]Calc!$C:$C, 0)) + $B475 - INDEX([1]Calc!$E:$E, MATCH("L_ramp_m", [1]Calc!$C:$C, 0)) * TAN(RADIANS(INDEX([1]Calc!$E:$E, MATCH("theta_max_deg", [1]Calc!$C:$C, 0)))))</f>
        <v>4.4087491768118827</v>
      </c>
      <c r="D475" s="3"/>
      <c r="E475" s="3">
        <f t="shared" si="21"/>
        <v>4.4087491768118827</v>
      </c>
      <c r="F475" s="3">
        <f t="shared" si="22"/>
        <v>4.4087491768118827</v>
      </c>
      <c r="G475" s="3">
        <f>IF($E475="","", DEGREES(ATAN((INDEX([1]Calc!$E:$E, MATCH("KminusZ_m", [1]Calc!$C:$C, 0)) - $E475 + $B475) / INDEX([1]Calc!$E:$E, MATCH("L_ramp_m", [1]Calc!$C:$C, 0)))))</f>
        <v>5.9999999999999982</v>
      </c>
      <c r="H475" s="2" t="str">
        <f>IF($E475="","", IF(AND($E475&gt;=INDEX([1]Calc!$E:$E, MATCH("min_fwd_draft_m", [1]Calc!$C:$C, 0)), $E475&lt;=INDEX([1]Calc!$E:$E, MATCH("max_fwd_draft_m", [1]Calc!$C:$C, 0)), $G475&lt;=INDEX([1]Calc!$E:$E, MATCH("theta_max_deg", [1]Calc!$C:$C, 0))), "OK", "CHECK"))</f>
        <v>CHECK</v>
      </c>
      <c r="I475" s="3">
        <f>IF($E475="","", INDEX([1]Calc!$E:$E, MATCH("D_vessel_m", [1]Calc!$C:$C, 0)) - $E475 + $B475)</f>
        <v>1.9112508231881171</v>
      </c>
      <c r="J475" s="3">
        <f>IF($F475="","", INDEX([1]Calc!$E:$E, MATCH("D_vessel_m", [1]Calc!$C:$C, 0)) - $F475 + $B475)</f>
        <v>1.9112508231881171</v>
      </c>
      <c r="K475" s="2" t="str">
        <f t="shared" si="23"/>
        <v>Even Keel</v>
      </c>
    </row>
    <row r="476" spans="1:11" x14ac:dyDescent="0.6">
      <c r="A476" s="2" t="str">
        <f>IF('December_Tide_2025 (2)'!A476="","",'December_Tide_2025 (2)'!A476)</f>
        <v>2025-12-20 18:00:00</v>
      </c>
      <c r="B476" s="3">
        <f>IF('December_Tide_2025 (2)'!B476="","",'December_Tide_2025 (2)'!B476)</f>
        <v>2.73</v>
      </c>
      <c r="C476" s="3">
        <f>IF($A476="","", INDEX([1]Calc!$E:$E, MATCH("KminusZ_m", [1]Calc!$C:$C, 0)) + $B476 - INDEX([1]Calc!$E:$E, MATCH("L_ramp_m", [1]Calc!$C:$C, 0)) * TAN(RADIANS(INDEX([1]Calc!$E:$E, MATCH("theta_max_deg", [1]Calc!$C:$C, 0)))))</f>
        <v>4.4687491768118832</v>
      </c>
      <c r="D476" s="3"/>
      <c r="E476" s="3">
        <f t="shared" si="21"/>
        <v>4.4687491768118832</v>
      </c>
      <c r="F476" s="3">
        <f t="shared" si="22"/>
        <v>4.4687491768118832</v>
      </c>
      <c r="G476" s="3">
        <f>IF($E476="","", DEGREES(ATAN((INDEX([1]Calc!$E:$E, MATCH("KminusZ_m", [1]Calc!$C:$C, 0)) - $E476 + $B476) / INDEX([1]Calc!$E:$E, MATCH("L_ramp_m", [1]Calc!$C:$C, 0)))))</f>
        <v>5.9999999999999964</v>
      </c>
      <c r="H476" s="2" t="str">
        <f>IF($E476="","", IF(AND($E476&gt;=INDEX([1]Calc!$E:$E, MATCH("min_fwd_draft_m", [1]Calc!$C:$C, 0)), $E476&lt;=INDEX([1]Calc!$E:$E, MATCH("max_fwd_draft_m", [1]Calc!$C:$C, 0)), $G476&lt;=INDEX([1]Calc!$E:$E, MATCH("theta_max_deg", [1]Calc!$C:$C, 0))), "OK", "CHECK"))</f>
        <v>CHECK</v>
      </c>
      <c r="I476" s="3">
        <f>IF($E476="","", INDEX([1]Calc!$E:$E, MATCH("D_vessel_m", [1]Calc!$C:$C, 0)) - $E476 + $B476)</f>
        <v>1.9112508231881167</v>
      </c>
      <c r="J476" s="3">
        <f>IF($F476="","", INDEX([1]Calc!$E:$E, MATCH("D_vessel_m", [1]Calc!$C:$C, 0)) - $F476 + $B476)</f>
        <v>1.9112508231881167</v>
      </c>
      <c r="K476" s="2" t="str">
        <f t="shared" si="23"/>
        <v>Even Keel</v>
      </c>
    </row>
    <row r="477" spans="1:11" x14ac:dyDescent="0.6">
      <c r="A477" s="2" t="str">
        <f>IF('December_Tide_2025 (2)'!A477="","",'December_Tide_2025 (2)'!A477)</f>
        <v>2025-12-20 19:00:00</v>
      </c>
      <c r="B477" s="3">
        <f>IF('December_Tide_2025 (2)'!B477="","",'December_Tide_2025 (2)'!B477)</f>
        <v>2.5499999999999998</v>
      </c>
      <c r="C477" s="3">
        <f>IF($A477="","", INDEX([1]Calc!$E:$E, MATCH("KminusZ_m", [1]Calc!$C:$C, 0)) + $B477 - INDEX([1]Calc!$E:$E, MATCH("L_ramp_m", [1]Calc!$C:$C, 0)) * TAN(RADIANS(INDEX([1]Calc!$E:$E, MATCH("theta_max_deg", [1]Calc!$C:$C, 0)))))</f>
        <v>4.2887491768118817</v>
      </c>
      <c r="D477" s="3"/>
      <c r="E477" s="3">
        <f t="shared" si="21"/>
        <v>4.2887491768118817</v>
      </c>
      <c r="F477" s="3">
        <f t="shared" si="22"/>
        <v>4.2887491768118817</v>
      </c>
      <c r="G477" s="3">
        <f>IF($E477="","", DEGREES(ATAN((INDEX([1]Calc!$E:$E, MATCH("KminusZ_m", [1]Calc!$C:$C, 0)) - $E477 + $B477) / INDEX([1]Calc!$E:$E, MATCH("L_ramp_m", [1]Calc!$C:$C, 0)))))</f>
        <v>6.0000000000000027</v>
      </c>
      <c r="H477" s="2" t="str">
        <f>IF($E477="","", IF(AND($E477&gt;=INDEX([1]Calc!$E:$E, MATCH("min_fwd_draft_m", [1]Calc!$C:$C, 0)), $E477&lt;=INDEX([1]Calc!$E:$E, MATCH("max_fwd_draft_m", [1]Calc!$C:$C, 0)), $G477&lt;=INDEX([1]Calc!$E:$E, MATCH("theta_max_deg", [1]Calc!$C:$C, 0))), "OK", "CHECK"))</f>
        <v>CHECK</v>
      </c>
      <c r="I477" s="3">
        <f>IF($E477="","", INDEX([1]Calc!$E:$E, MATCH("D_vessel_m", [1]Calc!$C:$C, 0)) - $E477 + $B477)</f>
        <v>1.911250823188118</v>
      </c>
      <c r="J477" s="3">
        <f>IF($F477="","", INDEX([1]Calc!$E:$E, MATCH("D_vessel_m", [1]Calc!$C:$C, 0)) - $F477 + $B477)</f>
        <v>1.911250823188118</v>
      </c>
      <c r="K477" s="2" t="str">
        <f t="shared" si="23"/>
        <v>Even Keel</v>
      </c>
    </row>
    <row r="478" spans="1:11" x14ac:dyDescent="0.6">
      <c r="A478" s="2" t="str">
        <f>IF('December_Tide_2025 (2)'!A478="","",'December_Tide_2025 (2)'!A478)</f>
        <v>2025-12-20 20:00:00</v>
      </c>
      <c r="B478" s="3">
        <f>IF('December_Tide_2025 (2)'!B478="","",'December_Tide_2025 (2)'!B478)</f>
        <v>2.19</v>
      </c>
      <c r="C478" s="3">
        <f>IF($A478="","", INDEX([1]Calc!$E:$E, MATCH("KminusZ_m", [1]Calc!$C:$C, 0)) + $B478 - INDEX([1]Calc!$E:$E, MATCH("L_ramp_m", [1]Calc!$C:$C, 0)) * TAN(RADIANS(INDEX([1]Calc!$E:$E, MATCH("theta_max_deg", [1]Calc!$C:$C, 0)))))</f>
        <v>3.9287491768118818</v>
      </c>
      <c r="D478" s="3"/>
      <c r="E478" s="3">
        <f t="shared" si="21"/>
        <v>3.9287491768118818</v>
      </c>
      <c r="F478" s="3">
        <f t="shared" si="22"/>
        <v>3.9287491768118818</v>
      </c>
      <c r="G478" s="3">
        <f>IF($E478="","", DEGREES(ATAN((INDEX([1]Calc!$E:$E, MATCH("KminusZ_m", [1]Calc!$C:$C, 0)) - $E478 + $B478) / INDEX([1]Calc!$E:$E, MATCH("L_ramp_m", [1]Calc!$C:$C, 0)))))</f>
        <v>6.0000000000000027</v>
      </c>
      <c r="H478" s="2" t="str">
        <f>IF($E478="","", IF(AND($E478&gt;=INDEX([1]Calc!$E:$E, MATCH("min_fwd_draft_m", [1]Calc!$C:$C, 0)), $E478&lt;=INDEX([1]Calc!$E:$E, MATCH("max_fwd_draft_m", [1]Calc!$C:$C, 0)), $G478&lt;=INDEX([1]Calc!$E:$E, MATCH("theta_max_deg", [1]Calc!$C:$C, 0))), "OK", "CHECK"))</f>
        <v>CHECK</v>
      </c>
      <c r="I478" s="3">
        <f>IF($E478="","", INDEX([1]Calc!$E:$E, MATCH("D_vessel_m", [1]Calc!$C:$C, 0)) - $E478 + $B478)</f>
        <v>1.911250823188118</v>
      </c>
      <c r="J478" s="3">
        <f>IF($F478="","", INDEX([1]Calc!$E:$E, MATCH("D_vessel_m", [1]Calc!$C:$C, 0)) - $F478 + $B478)</f>
        <v>1.911250823188118</v>
      </c>
      <c r="K478" s="2" t="str">
        <f t="shared" si="23"/>
        <v>Even Keel</v>
      </c>
    </row>
    <row r="479" spans="1:11" x14ac:dyDescent="0.6">
      <c r="A479" s="2" t="str">
        <f>IF('December_Tide_2025 (2)'!A479="","",'December_Tide_2025 (2)'!A479)</f>
        <v>2025-12-20 21:00:00</v>
      </c>
      <c r="B479" s="3">
        <f>IF('December_Tide_2025 (2)'!B479="","",'December_Tide_2025 (2)'!B479)</f>
        <v>1.73</v>
      </c>
      <c r="C479" s="3">
        <f>IF($A479="","", INDEX([1]Calc!$E:$E, MATCH("KminusZ_m", [1]Calc!$C:$C, 0)) + $B479 - INDEX([1]Calc!$E:$E, MATCH("L_ramp_m", [1]Calc!$C:$C, 0)) * TAN(RADIANS(INDEX([1]Calc!$E:$E, MATCH("theta_max_deg", [1]Calc!$C:$C, 0)))))</f>
        <v>3.4687491768118828</v>
      </c>
      <c r="D479" s="3"/>
      <c r="E479" s="3">
        <f t="shared" si="21"/>
        <v>3.4687491768118828</v>
      </c>
      <c r="F479" s="3">
        <f t="shared" si="22"/>
        <v>3.4687491768118828</v>
      </c>
      <c r="G479" s="3">
        <f>IF($E479="","", DEGREES(ATAN((INDEX([1]Calc!$E:$E, MATCH("KminusZ_m", [1]Calc!$C:$C, 0)) - $E479 + $B479) / INDEX([1]Calc!$E:$E, MATCH("L_ramp_m", [1]Calc!$C:$C, 0)))))</f>
        <v>5.9999999999999982</v>
      </c>
      <c r="H479" s="2" t="str">
        <f>IF($E479="","", IF(AND($E479&gt;=INDEX([1]Calc!$E:$E, MATCH("min_fwd_draft_m", [1]Calc!$C:$C, 0)), $E479&lt;=INDEX([1]Calc!$E:$E, MATCH("max_fwd_draft_m", [1]Calc!$C:$C, 0)), $G479&lt;=INDEX([1]Calc!$E:$E, MATCH("theta_max_deg", [1]Calc!$C:$C, 0))), "OK", "CHECK"))</f>
        <v>OK</v>
      </c>
      <c r="I479" s="3">
        <f>IF($E479="","", INDEX([1]Calc!$E:$E, MATCH("D_vessel_m", [1]Calc!$C:$C, 0)) - $E479 + $B479)</f>
        <v>1.9112508231881171</v>
      </c>
      <c r="J479" s="3">
        <f>IF($F479="","", INDEX([1]Calc!$E:$E, MATCH("D_vessel_m", [1]Calc!$C:$C, 0)) - $F479 + $B479)</f>
        <v>1.9112508231881171</v>
      </c>
      <c r="K479" s="2" t="str">
        <f t="shared" si="23"/>
        <v>Even Keel</v>
      </c>
    </row>
    <row r="480" spans="1:11" x14ac:dyDescent="0.6">
      <c r="A480" s="2" t="str">
        <f>IF('December_Tide_2025 (2)'!A480="","",'December_Tide_2025 (2)'!A480)</f>
        <v>2025-12-20 22:00:00</v>
      </c>
      <c r="B480" s="3">
        <f>IF('December_Tide_2025 (2)'!B480="","",'December_Tide_2025 (2)'!B480)</f>
        <v>1.28</v>
      </c>
      <c r="C480" s="3">
        <f>IF($A480="","", INDEX([1]Calc!$E:$E, MATCH("KminusZ_m", [1]Calc!$C:$C, 0)) + $B480 - INDEX([1]Calc!$E:$E, MATCH("L_ramp_m", [1]Calc!$C:$C, 0)) * TAN(RADIANS(INDEX([1]Calc!$E:$E, MATCH("theta_max_deg", [1]Calc!$C:$C, 0)))))</f>
        <v>3.0187491768118826</v>
      </c>
      <c r="D480" s="3"/>
      <c r="E480" s="3">
        <f t="shared" si="21"/>
        <v>3.0187491768118826</v>
      </c>
      <c r="F480" s="3">
        <f t="shared" si="22"/>
        <v>3.0187491768118826</v>
      </c>
      <c r="G480" s="3">
        <f>IF($E480="","", DEGREES(ATAN((INDEX([1]Calc!$E:$E, MATCH("KminusZ_m", [1]Calc!$C:$C, 0)) - $E480 + $B480) / INDEX([1]Calc!$E:$E, MATCH("L_ramp_m", [1]Calc!$C:$C, 0)))))</f>
        <v>6</v>
      </c>
      <c r="H480" s="2" t="str">
        <f>IF($E480="","", IF(AND($E480&gt;=INDEX([1]Calc!$E:$E, MATCH("min_fwd_draft_m", [1]Calc!$C:$C, 0)), $E480&lt;=INDEX([1]Calc!$E:$E, MATCH("max_fwd_draft_m", [1]Calc!$C:$C, 0)), $G480&lt;=INDEX([1]Calc!$E:$E, MATCH("theta_max_deg", [1]Calc!$C:$C, 0))), "OK", "CHECK"))</f>
        <v>OK</v>
      </c>
      <c r="I480" s="3">
        <f>IF($E480="","", INDEX([1]Calc!$E:$E, MATCH("D_vessel_m", [1]Calc!$C:$C, 0)) - $E480 + $B480)</f>
        <v>1.9112508231881173</v>
      </c>
      <c r="J480" s="3">
        <f>IF($F480="","", INDEX([1]Calc!$E:$E, MATCH("D_vessel_m", [1]Calc!$C:$C, 0)) - $F480 + $B480)</f>
        <v>1.9112508231881173</v>
      </c>
      <c r="K480" s="2" t="str">
        <f t="shared" si="23"/>
        <v>Even Keel</v>
      </c>
    </row>
    <row r="481" spans="1:11" x14ac:dyDescent="0.6">
      <c r="A481" s="2" t="str">
        <f>IF('December_Tide_2025 (2)'!A481="","",'December_Tide_2025 (2)'!A481)</f>
        <v>2025-12-20 23:00:00</v>
      </c>
      <c r="B481" s="3">
        <f>IF('December_Tide_2025 (2)'!B481="","",'December_Tide_2025 (2)'!B481)</f>
        <v>0.97</v>
      </c>
      <c r="C481" s="3">
        <f>IF($A481="","", INDEX([1]Calc!$E:$E, MATCH("KminusZ_m", [1]Calc!$C:$C, 0)) + $B481 - INDEX([1]Calc!$E:$E, MATCH("L_ramp_m", [1]Calc!$C:$C, 0)) * TAN(RADIANS(INDEX([1]Calc!$E:$E, MATCH("theta_max_deg", [1]Calc!$C:$C, 0)))))</f>
        <v>2.7087491768118821</v>
      </c>
      <c r="D481" s="3"/>
      <c r="E481" s="3">
        <f t="shared" si="21"/>
        <v>2.7087491768118821</v>
      </c>
      <c r="F481" s="3">
        <f t="shared" si="22"/>
        <v>2.7087491768118821</v>
      </c>
      <c r="G481" s="3">
        <f>IF($E481="","", DEGREES(ATAN((INDEX([1]Calc!$E:$E, MATCH("KminusZ_m", [1]Calc!$C:$C, 0)) - $E481 + $B481) / INDEX([1]Calc!$E:$E, MATCH("L_ramp_m", [1]Calc!$C:$C, 0)))))</f>
        <v>6.0000000000000009</v>
      </c>
      <c r="H481" s="2" t="str">
        <f>IF($E481="","", IF(AND($E481&gt;=INDEX([1]Calc!$E:$E, MATCH("min_fwd_draft_m", [1]Calc!$C:$C, 0)), $E481&lt;=INDEX([1]Calc!$E:$E, MATCH("max_fwd_draft_m", [1]Calc!$C:$C, 0)), $G481&lt;=INDEX([1]Calc!$E:$E, MATCH("theta_max_deg", [1]Calc!$C:$C, 0))), "OK", "CHECK"))</f>
        <v>OK</v>
      </c>
      <c r="I481" s="3">
        <f>IF($E481="","", INDEX([1]Calc!$E:$E, MATCH("D_vessel_m", [1]Calc!$C:$C, 0)) - $E481 + $B481)</f>
        <v>1.9112508231881178</v>
      </c>
      <c r="J481" s="3">
        <f>IF($F481="","", INDEX([1]Calc!$E:$E, MATCH("D_vessel_m", [1]Calc!$C:$C, 0)) - $F481 + $B481)</f>
        <v>1.9112508231881178</v>
      </c>
      <c r="K481" s="2" t="str">
        <f t="shared" si="23"/>
        <v>Even Keel</v>
      </c>
    </row>
    <row r="482" spans="1:11" x14ac:dyDescent="0.6">
      <c r="A482" s="2" t="str">
        <f>IF('December_Tide_2025 (2)'!A482="","",'December_Tide_2025 (2)'!A482)</f>
        <v>2025-12-21 00:00:00</v>
      </c>
      <c r="B482" s="3">
        <f>IF('December_Tide_2025 (2)'!B482="","",'December_Tide_2025 (2)'!B482)</f>
        <v>0.86</v>
      </c>
      <c r="C482" s="3">
        <f>IF($A482="","", INDEX([1]Calc!$E:$E, MATCH("KminusZ_m", [1]Calc!$C:$C, 0)) + $B482 - INDEX([1]Calc!$E:$E, MATCH("L_ramp_m", [1]Calc!$C:$C, 0)) * TAN(RADIANS(INDEX([1]Calc!$E:$E, MATCH("theta_max_deg", [1]Calc!$C:$C, 0)))))</f>
        <v>2.5987491768118822</v>
      </c>
      <c r="D482" s="3"/>
      <c r="E482" s="3">
        <f t="shared" si="21"/>
        <v>2.5987491768118822</v>
      </c>
      <c r="F482" s="3">
        <f t="shared" si="22"/>
        <v>2.5987491768118822</v>
      </c>
      <c r="G482" s="3">
        <f>IF($E482="","", DEGREES(ATAN((INDEX([1]Calc!$E:$E, MATCH("KminusZ_m", [1]Calc!$C:$C, 0)) - $E482 + $B482) / INDEX([1]Calc!$E:$E, MATCH("L_ramp_m", [1]Calc!$C:$C, 0)))))</f>
        <v>6.0000000000000009</v>
      </c>
      <c r="H482" s="2" t="str">
        <f>IF($E482="","", IF(AND($E482&gt;=INDEX([1]Calc!$E:$E, MATCH("min_fwd_draft_m", [1]Calc!$C:$C, 0)), $E482&lt;=INDEX([1]Calc!$E:$E, MATCH("max_fwd_draft_m", [1]Calc!$C:$C, 0)), $G482&lt;=INDEX([1]Calc!$E:$E, MATCH("theta_max_deg", [1]Calc!$C:$C, 0))), "OK", "CHECK"))</f>
        <v>OK</v>
      </c>
      <c r="I482" s="3">
        <f>IF($E482="","", INDEX([1]Calc!$E:$E, MATCH("D_vessel_m", [1]Calc!$C:$C, 0)) - $E482 + $B482)</f>
        <v>1.9112508231881176</v>
      </c>
      <c r="J482" s="3">
        <f>IF($F482="","", INDEX([1]Calc!$E:$E, MATCH("D_vessel_m", [1]Calc!$C:$C, 0)) - $F482 + $B482)</f>
        <v>1.9112508231881176</v>
      </c>
      <c r="K482" s="2" t="str">
        <f t="shared" si="23"/>
        <v>Even Keel</v>
      </c>
    </row>
    <row r="483" spans="1:11" x14ac:dyDescent="0.6">
      <c r="A483" s="2" t="str">
        <f>IF('December_Tide_2025 (2)'!A483="","",'December_Tide_2025 (2)'!A483)</f>
        <v>2025-12-21 01:00:00</v>
      </c>
      <c r="B483" s="3">
        <f>IF('December_Tide_2025 (2)'!B483="","",'December_Tide_2025 (2)'!B483)</f>
        <v>0.99</v>
      </c>
      <c r="C483" s="3">
        <f>IF($A483="","", INDEX([1]Calc!$E:$E, MATCH("KminusZ_m", [1]Calc!$C:$C, 0)) + $B483 - INDEX([1]Calc!$E:$E, MATCH("L_ramp_m", [1]Calc!$C:$C, 0)) * TAN(RADIANS(INDEX([1]Calc!$E:$E, MATCH("theta_max_deg", [1]Calc!$C:$C, 0)))))</f>
        <v>2.7287491768118826</v>
      </c>
      <c r="D483" s="3"/>
      <c r="E483" s="3">
        <f t="shared" si="21"/>
        <v>2.7287491768118826</v>
      </c>
      <c r="F483" s="3">
        <f t="shared" si="22"/>
        <v>2.7287491768118826</v>
      </c>
      <c r="G483" s="3">
        <f>IF($E483="","", DEGREES(ATAN((INDEX([1]Calc!$E:$E, MATCH("KminusZ_m", [1]Calc!$C:$C, 0)) - $E483 + $B483) / INDEX([1]Calc!$E:$E, MATCH("L_ramp_m", [1]Calc!$C:$C, 0)))))</f>
        <v>6</v>
      </c>
      <c r="H483" s="2" t="str">
        <f>IF($E483="","", IF(AND($E483&gt;=INDEX([1]Calc!$E:$E, MATCH("min_fwd_draft_m", [1]Calc!$C:$C, 0)), $E483&lt;=INDEX([1]Calc!$E:$E, MATCH("max_fwd_draft_m", [1]Calc!$C:$C, 0)), $G483&lt;=INDEX([1]Calc!$E:$E, MATCH("theta_max_deg", [1]Calc!$C:$C, 0))), "OK", "CHECK"))</f>
        <v>OK</v>
      </c>
      <c r="I483" s="3">
        <f>IF($E483="","", INDEX([1]Calc!$E:$E, MATCH("D_vessel_m", [1]Calc!$C:$C, 0)) - $E483 + $B483)</f>
        <v>1.9112508231881173</v>
      </c>
      <c r="J483" s="3">
        <f>IF($F483="","", INDEX([1]Calc!$E:$E, MATCH("D_vessel_m", [1]Calc!$C:$C, 0)) - $F483 + $B483)</f>
        <v>1.9112508231881173</v>
      </c>
      <c r="K483" s="2" t="str">
        <f t="shared" si="23"/>
        <v>Even Keel</v>
      </c>
    </row>
    <row r="484" spans="1:11" x14ac:dyDescent="0.6">
      <c r="A484" s="2" t="str">
        <f>IF('December_Tide_2025 (2)'!A484="","",'December_Tide_2025 (2)'!A484)</f>
        <v>2025-12-21 02:00:00</v>
      </c>
      <c r="B484" s="3">
        <f>IF('December_Tide_2025 (2)'!B484="","",'December_Tide_2025 (2)'!B484)</f>
        <v>1.33</v>
      </c>
      <c r="C484" s="3">
        <f>IF($A484="","", INDEX([1]Calc!$E:$E, MATCH("KminusZ_m", [1]Calc!$C:$C, 0)) + $B484 - INDEX([1]Calc!$E:$E, MATCH("L_ramp_m", [1]Calc!$C:$C, 0)) * TAN(RADIANS(INDEX([1]Calc!$E:$E, MATCH("theta_max_deg", [1]Calc!$C:$C, 0)))))</f>
        <v>3.0687491768118824</v>
      </c>
      <c r="D484" s="3"/>
      <c r="E484" s="3">
        <f t="shared" si="21"/>
        <v>3.0687491768118824</v>
      </c>
      <c r="F484" s="3">
        <f t="shared" si="22"/>
        <v>3.0687491768118824</v>
      </c>
      <c r="G484" s="3">
        <f>IF($E484="","", DEGREES(ATAN((INDEX([1]Calc!$E:$E, MATCH("KminusZ_m", [1]Calc!$C:$C, 0)) - $E484 + $B484) / INDEX([1]Calc!$E:$E, MATCH("L_ramp_m", [1]Calc!$C:$C, 0)))))</f>
        <v>6.0000000000000009</v>
      </c>
      <c r="H484" s="2" t="str">
        <f>IF($E484="","", IF(AND($E484&gt;=INDEX([1]Calc!$E:$E, MATCH("min_fwd_draft_m", [1]Calc!$C:$C, 0)), $E484&lt;=INDEX([1]Calc!$E:$E, MATCH("max_fwd_draft_m", [1]Calc!$C:$C, 0)), $G484&lt;=INDEX([1]Calc!$E:$E, MATCH("theta_max_deg", [1]Calc!$C:$C, 0))), "OK", "CHECK"))</f>
        <v>OK</v>
      </c>
      <c r="I484" s="3">
        <f>IF($E484="","", INDEX([1]Calc!$E:$E, MATCH("D_vessel_m", [1]Calc!$C:$C, 0)) - $E484 + $B484)</f>
        <v>1.9112508231881176</v>
      </c>
      <c r="J484" s="3">
        <f>IF($F484="","", INDEX([1]Calc!$E:$E, MATCH("D_vessel_m", [1]Calc!$C:$C, 0)) - $F484 + $B484)</f>
        <v>1.9112508231881176</v>
      </c>
      <c r="K484" s="2" t="str">
        <f t="shared" si="23"/>
        <v>Even Keel</v>
      </c>
    </row>
    <row r="485" spans="1:11" x14ac:dyDescent="0.6">
      <c r="A485" s="2" t="str">
        <f>IF('December_Tide_2025 (2)'!A485="","",'December_Tide_2025 (2)'!A485)</f>
        <v>2025-12-21 03:00:00</v>
      </c>
      <c r="B485" s="3">
        <f>IF('December_Tide_2025 (2)'!B485="","",'December_Tide_2025 (2)'!B485)</f>
        <v>1.78</v>
      </c>
      <c r="C485" s="3">
        <f>IF($A485="","", INDEX([1]Calc!$E:$E, MATCH("KminusZ_m", [1]Calc!$C:$C, 0)) + $B485 - INDEX([1]Calc!$E:$E, MATCH("L_ramp_m", [1]Calc!$C:$C, 0)) * TAN(RADIANS(INDEX([1]Calc!$E:$E, MATCH("theta_max_deg", [1]Calc!$C:$C, 0)))))</f>
        <v>3.5187491768118826</v>
      </c>
      <c r="D485" s="3"/>
      <c r="E485" s="3">
        <f t="shared" si="21"/>
        <v>3.5187491768118826</v>
      </c>
      <c r="F485" s="3">
        <f t="shared" si="22"/>
        <v>3.5187491768118826</v>
      </c>
      <c r="G485" s="3">
        <f>IF($E485="","", DEGREES(ATAN((INDEX([1]Calc!$E:$E, MATCH("KminusZ_m", [1]Calc!$C:$C, 0)) - $E485 + $B485) / INDEX([1]Calc!$E:$E, MATCH("L_ramp_m", [1]Calc!$C:$C, 0)))))</f>
        <v>6</v>
      </c>
      <c r="H485" s="2" t="str">
        <f>IF($E485="","", IF(AND($E485&gt;=INDEX([1]Calc!$E:$E, MATCH("min_fwd_draft_m", [1]Calc!$C:$C, 0)), $E485&lt;=INDEX([1]Calc!$E:$E, MATCH("max_fwd_draft_m", [1]Calc!$C:$C, 0)), $G485&lt;=INDEX([1]Calc!$E:$E, MATCH("theta_max_deg", [1]Calc!$C:$C, 0))), "OK", "CHECK"))</f>
        <v>CHECK</v>
      </c>
      <c r="I485" s="3">
        <f>IF($E485="","", INDEX([1]Calc!$E:$E, MATCH("D_vessel_m", [1]Calc!$C:$C, 0)) - $E485 + $B485)</f>
        <v>1.9112508231881173</v>
      </c>
      <c r="J485" s="3">
        <f>IF($F485="","", INDEX([1]Calc!$E:$E, MATCH("D_vessel_m", [1]Calc!$C:$C, 0)) - $F485 + $B485)</f>
        <v>1.9112508231881173</v>
      </c>
      <c r="K485" s="2" t="str">
        <f t="shared" si="23"/>
        <v>Even Keel</v>
      </c>
    </row>
    <row r="486" spans="1:11" x14ac:dyDescent="0.6">
      <c r="A486" s="2" t="str">
        <f>IF('December_Tide_2025 (2)'!A486="","",'December_Tide_2025 (2)'!A486)</f>
        <v>2025-12-21 04:00:00</v>
      </c>
      <c r="B486" s="3">
        <f>IF('December_Tide_2025 (2)'!B486="","",'December_Tide_2025 (2)'!B486)</f>
        <v>2.2400000000000002</v>
      </c>
      <c r="C486" s="3">
        <f>IF($A486="","", INDEX([1]Calc!$E:$E, MATCH("KminusZ_m", [1]Calc!$C:$C, 0)) + $B486 - INDEX([1]Calc!$E:$E, MATCH("L_ramp_m", [1]Calc!$C:$C, 0)) * TAN(RADIANS(INDEX([1]Calc!$E:$E, MATCH("theta_max_deg", [1]Calc!$C:$C, 0)))))</f>
        <v>3.9787491768118826</v>
      </c>
      <c r="D486" s="3"/>
      <c r="E486" s="3">
        <f t="shared" si="21"/>
        <v>3.9787491768118826</v>
      </c>
      <c r="F486" s="3">
        <f t="shared" si="22"/>
        <v>3.9787491768118826</v>
      </c>
      <c r="G486" s="3">
        <f>IF($E486="","", DEGREES(ATAN((INDEX([1]Calc!$E:$E, MATCH("KminusZ_m", [1]Calc!$C:$C, 0)) - $E486 + $B486) / INDEX([1]Calc!$E:$E, MATCH("L_ramp_m", [1]Calc!$C:$C, 0)))))</f>
        <v>6.0000000000000009</v>
      </c>
      <c r="H486" s="2" t="str">
        <f>IF($E486="","", IF(AND($E486&gt;=INDEX([1]Calc!$E:$E, MATCH("min_fwd_draft_m", [1]Calc!$C:$C, 0)), $E486&lt;=INDEX([1]Calc!$E:$E, MATCH("max_fwd_draft_m", [1]Calc!$C:$C, 0)), $G486&lt;=INDEX([1]Calc!$E:$E, MATCH("theta_max_deg", [1]Calc!$C:$C, 0))), "OK", "CHECK"))</f>
        <v>CHECK</v>
      </c>
      <c r="I486" s="3">
        <f>IF($E486="","", INDEX([1]Calc!$E:$E, MATCH("D_vessel_m", [1]Calc!$C:$C, 0)) - $E486 + $B486)</f>
        <v>1.9112508231881176</v>
      </c>
      <c r="J486" s="3">
        <f>IF($F486="","", INDEX([1]Calc!$E:$E, MATCH("D_vessel_m", [1]Calc!$C:$C, 0)) - $F486 + $B486)</f>
        <v>1.9112508231881176</v>
      </c>
      <c r="K486" s="2" t="str">
        <f t="shared" si="23"/>
        <v>Even Keel</v>
      </c>
    </row>
    <row r="487" spans="1:11" x14ac:dyDescent="0.6">
      <c r="A487" s="2" t="str">
        <f>IF('December_Tide_2025 (2)'!A487="","",'December_Tide_2025 (2)'!A487)</f>
        <v>2025-12-21 05:00:00</v>
      </c>
      <c r="B487" s="3">
        <f>IF('December_Tide_2025 (2)'!B487="","",'December_Tide_2025 (2)'!B487)</f>
        <v>2.58</v>
      </c>
      <c r="C487" s="3">
        <f>IF($A487="","", INDEX([1]Calc!$E:$E, MATCH("KminusZ_m", [1]Calc!$C:$C, 0)) + $B487 - INDEX([1]Calc!$E:$E, MATCH("L_ramp_m", [1]Calc!$C:$C, 0)) * TAN(RADIANS(INDEX([1]Calc!$E:$E, MATCH("theta_max_deg", [1]Calc!$C:$C, 0)))))</f>
        <v>4.3187491768118829</v>
      </c>
      <c r="D487" s="3"/>
      <c r="E487" s="3">
        <f t="shared" si="21"/>
        <v>4.3187491768118829</v>
      </c>
      <c r="F487" s="3">
        <f t="shared" si="22"/>
        <v>4.3187491768118829</v>
      </c>
      <c r="G487" s="3">
        <f>IF($E487="","", DEGREES(ATAN((INDEX([1]Calc!$E:$E, MATCH("KminusZ_m", [1]Calc!$C:$C, 0)) - $E487 + $B487) / INDEX([1]Calc!$E:$E, MATCH("L_ramp_m", [1]Calc!$C:$C, 0)))))</f>
        <v>5.9999999999999982</v>
      </c>
      <c r="H487" s="2" t="str">
        <f>IF($E487="","", IF(AND($E487&gt;=INDEX([1]Calc!$E:$E, MATCH("min_fwd_draft_m", [1]Calc!$C:$C, 0)), $E487&lt;=INDEX([1]Calc!$E:$E, MATCH("max_fwd_draft_m", [1]Calc!$C:$C, 0)), $G487&lt;=INDEX([1]Calc!$E:$E, MATCH("theta_max_deg", [1]Calc!$C:$C, 0))), "OK", "CHECK"))</f>
        <v>CHECK</v>
      </c>
      <c r="I487" s="3">
        <f>IF($E487="","", INDEX([1]Calc!$E:$E, MATCH("D_vessel_m", [1]Calc!$C:$C, 0)) - $E487 + $B487)</f>
        <v>1.9112508231881171</v>
      </c>
      <c r="J487" s="3">
        <f>IF($F487="","", INDEX([1]Calc!$E:$E, MATCH("D_vessel_m", [1]Calc!$C:$C, 0)) - $F487 + $B487)</f>
        <v>1.9112508231881171</v>
      </c>
      <c r="K487" s="2" t="str">
        <f t="shared" si="23"/>
        <v>Even Keel</v>
      </c>
    </row>
    <row r="488" spans="1:11" x14ac:dyDescent="0.6">
      <c r="A488" s="2" t="str">
        <f>IF('December_Tide_2025 (2)'!A488="","",'December_Tide_2025 (2)'!A488)</f>
        <v>2025-12-21 06:00:00</v>
      </c>
      <c r="B488" s="3">
        <f>IF('December_Tide_2025 (2)'!B488="","",'December_Tide_2025 (2)'!B488)</f>
        <v>2.73</v>
      </c>
      <c r="C488" s="3">
        <f>IF($A488="","", INDEX([1]Calc!$E:$E, MATCH("KminusZ_m", [1]Calc!$C:$C, 0)) + $B488 - INDEX([1]Calc!$E:$E, MATCH("L_ramp_m", [1]Calc!$C:$C, 0)) * TAN(RADIANS(INDEX([1]Calc!$E:$E, MATCH("theta_max_deg", [1]Calc!$C:$C, 0)))))</f>
        <v>4.4687491768118832</v>
      </c>
      <c r="D488" s="3"/>
      <c r="E488" s="3">
        <f t="shared" si="21"/>
        <v>4.4687491768118832</v>
      </c>
      <c r="F488" s="3">
        <f t="shared" si="22"/>
        <v>4.4687491768118832</v>
      </c>
      <c r="G488" s="3">
        <f>IF($E488="","", DEGREES(ATAN((INDEX([1]Calc!$E:$E, MATCH("KminusZ_m", [1]Calc!$C:$C, 0)) - $E488 + $B488) / INDEX([1]Calc!$E:$E, MATCH("L_ramp_m", [1]Calc!$C:$C, 0)))))</f>
        <v>5.9999999999999964</v>
      </c>
      <c r="H488" s="2" t="str">
        <f>IF($E488="","", IF(AND($E488&gt;=INDEX([1]Calc!$E:$E, MATCH("min_fwd_draft_m", [1]Calc!$C:$C, 0)), $E488&lt;=INDEX([1]Calc!$E:$E, MATCH("max_fwd_draft_m", [1]Calc!$C:$C, 0)), $G488&lt;=INDEX([1]Calc!$E:$E, MATCH("theta_max_deg", [1]Calc!$C:$C, 0))), "OK", "CHECK"))</f>
        <v>CHECK</v>
      </c>
      <c r="I488" s="3">
        <f>IF($E488="","", INDEX([1]Calc!$E:$E, MATCH("D_vessel_m", [1]Calc!$C:$C, 0)) - $E488 + $B488)</f>
        <v>1.9112508231881167</v>
      </c>
      <c r="J488" s="3">
        <f>IF($F488="","", INDEX([1]Calc!$E:$E, MATCH("D_vessel_m", [1]Calc!$C:$C, 0)) - $F488 + $B488)</f>
        <v>1.9112508231881167</v>
      </c>
      <c r="K488" s="2" t="str">
        <f t="shared" si="23"/>
        <v>Even Keel</v>
      </c>
    </row>
    <row r="489" spans="1:11" x14ac:dyDescent="0.6">
      <c r="A489" s="2" t="str">
        <f>IF('December_Tide_2025 (2)'!A489="","",'December_Tide_2025 (2)'!A489)</f>
        <v>2025-12-21 07:00:00</v>
      </c>
      <c r="B489" s="3">
        <f>IF('December_Tide_2025 (2)'!B489="","",'December_Tide_2025 (2)'!B489)</f>
        <v>2.65</v>
      </c>
      <c r="C489" s="3">
        <f>IF($A489="","", INDEX([1]Calc!$E:$E, MATCH("KminusZ_m", [1]Calc!$C:$C, 0)) + $B489 - INDEX([1]Calc!$E:$E, MATCH("L_ramp_m", [1]Calc!$C:$C, 0)) * TAN(RADIANS(INDEX([1]Calc!$E:$E, MATCH("theta_max_deg", [1]Calc!$C:$C, 0)))))</f>
        <v>4.3887491768118831</v>
      </c>
      <c r="D489" s="3"/>
      <c r="E489" s="3">
        <f t="shared" si="21"/>
        <v>4.3887491768118831</v>
      </c>
      <c r="F489" s="3">
        <f t="shared" si="22"/>
        <v>4.3887491768118831</v>
      </c>
      <c r="G489" s="3">
        <f>IF($E489="","", DEGREES(ATAN((INDEX([1]Calc!$E:$E, MATCH("KminusZ_m", [1]Calc!$C:$C, 0)) - $E489 + $B489) / INDEX([1]Calc!$E:$E, MATCH("L_ramp_m", [1]Calc!$C:$C, 0)))))</f>
        <v>5.9999999999999964</v>
      </c>
      <c r="H489" s="2" t="str">
        <f>IF($E489="","", IF(AND($E489&gt;=INDEX([1]Calc!$E:$E, MATCH("min_fwd_draft_m", [1]Calc!$C:$C, 0)), $E489&lt;=INDEX([1]Calc!$E:$E, MATCH("max_fwd_draft_m", [1]Calc!$C:$C, 0)), $G489&lt;=INDEX([1]Calc!$E:$E, MATCH("theta_max_deg", [1]Calc!$C:$C, 0))), "OK", "CHECK"))</f>
        <v>CHECK</v>
      </c>
      <c r="I489" s="3">
        <f>IF($E489="","", INDEX([1]Calc!$E:$E, MATCH("D_vessel_m", [1]Calc!$C:$C, 0)) - $E489 + $B489)</f>
        <v>1.9112508231881167</v>
      </c>
      <c r="J489" s="3">
        <f>IF($F489="","", INDEX([1]Calc!$E:$E, MATCH("D_vessel_m", [1]Calc!$C:$C, 0)) - $F489 + $B489)</f>
        <v>1.9112508231881167</v>
      </c>
      <c r="K489" s="2" t="str">
        <f t="shared" si="23"/>
        <v>Even Keel</v>
      </c>
    </row>
    <row r="490" spans="1:11" x14ac:dyDescent="0.6">
      <c r="A490" s="2" t="str">
        <f>IF('December_Tide_2025 (2)'!A490="","",'December_Tide_2025 (2)'!A490)</f>
        <v>2025-12-21 08:00:00</v>
      </c>
      <c r="B490" s="3">
        <f>IF('December_Tide_2025 (2)'!B490="","",'December_Tide_2025 (2)'!B490)</f>
        <v>2.35</v>
      </c>
      <c r="C490" s="3">
        <f>IF($A490="","", INDEX([1]Calc!$E:$E, MATCH("KminusZ_m", [1]Calc!$C:$C, 0)) + $B490 - INDEX([1]Calc!$E:$E, MATCH("L_ramp_m", [1]Calc!$C:$C, 0)) * TAN(RADIANS(INDEX([1]Calc!$E:$E, MATCH("theta_max_deg", [1]Calc!$C:$C, 0)))))</f>
        <v>4.0887491768118824</v>
      </c>
      <c r="D490" s="3"/>
      <c r="E490" s="3">
        <f t="shared" si="21"/>
        <v>4.0887491768118824</v>
      </c>
      <c r="F490" s="3">
        <f t="shared" si="22"/>
        <v>4.0887491768118824</v>
      </c>
      <c r="G490" s="3">
        <f>IF($E490="","", DEGREES(ATAN((INDEX([1]Calc!$E:$E, MATCH("KminusZ_m", [1]Calc!$C:$C, 0)) - $E490 + $B490) / INDEX([1]Calc!$E:$E, MATCH("L_ramp_m", [1]Calc!$C:$C, 0)))))</f>
        <v>6.0000000000000009</v>
      </c>
      <c r="H490" s="2" t="str">
        <f>IF($E490="","", IF(AND($E490&gt;=INDEX([1]Calc!$E:$E, MATCH("min_fwd_draft_m", [1]Calc!$C:$C, 0)), $E490&lt;=INDEX([1]Calc!$E:$E, MATCH("max_fwd_draft_m", [1]Calc!$C:$C, 0)), $G490&lt;=INDEX([1]Calc!$E:$E, MATCH("theta_max_deg", [1]Calc!$C:$C, 0))), "OK", "CHECK"))</f>
        <v>CHECK</v>
      </c>
      <c r="I490" s="3">
        <f>IF($E490="","", INDEX([1]Calc!$E:$E, MATCH("D_vessel_m", [1]Calc!$C:$C, 0)) - $E490 + $B490)</f>
        <v>1.9112508231881176</v>
      </c>
      <c r="J490" s="3">
        <f>IF($F490="","", INDEX([1]Calc!$E:$E, MATCH("D_vessel_m", [1]Calc!$C:$C, 0)) - $F490 + $B490)</f>
        <v>1.9112508231881176</v>
      </c>
      <c r="K490" s="2" t="str">
        <f t="shared" si="23"/>
        <v>Even Keel</v>
      </c>
    </row>
    <row r="491" spans="1:11" x14ac:dyDescent="0.6">
      <c r="A491" s="2" t="str">
        <f>IF('December_Tide_2025 (2)'!A491="","",'December_Tide_2025 (2)'!A491)</f>
        <v>2025-12-21 09:00:00</v>
      </c>
      <c r="B491" s="3">
        <f>IF('December_Tide_2025 (2)'!B491="","",'December_Tide_2025 (2)'!B491)</f>
        <v>1.92</v>
      </c>
      <c r="C491" s="3">
        <f>IF($A491="","", INDEX([1]Calc!$E:$E, MATCH("KminusZ_m", [1]Calc!$C:$C, 0)) + $B491 - INDEX([1]Calc!$E:$E, MATCH("L_ramp_m", [1]Calc!$C:$C, 0)) * TAN(RADIANS(INDEX([1]Calc!$E:$E, MATCH("theta_max_deg", [1]Calc!$C:$C, 0)))))</f>
        <v>3.6587491768118823</v>
      </c>
      <c r="D491" s="3"/>
      <c r="E491" s="3">
        <f t="shared" si="21"/>
        <v>3.6587491768118823</v>
      </c>
      <c r="F491" s="3">
        <f t="shared" si="22"/>
        <v>3.6587491768118823</v>
      </c>
      <c r="G491" s="3">
        <f>IF($E491="","", DEGREES(ATAN((INDEX([1]Calc!$E:$E, MATCH("KminusZ_m", [1]Calc!$C:$C, 0)) - $E491 + $B491) / INDEX([1]Calc!$E:$E, MATCH("L_ramp_m", [1]Calc!$C:$C, 0)))))</f>
        <v>6.0000000000000009</v>
      </c>
      <c r="H491" s="2" t="str">
        <f>IF($E491="","", IF(AND($E491&gt;=INDEX([1]Calc!$E:$E, MATCH("min_fwd_draft_m", [1]Calc!$C:$C, 0)), $E491&lt;=INDEX([1]Calc!$E:$E, MATCH("max_fwd_draft_m", [1]Calc!$C:$C, 0)), $G491&lt;=INDEX([1]Calc!$E:$E, MATCH("theta_max_deg", [1]Calc!$C:$C, 0))), "OK", "CHECK"))</f>
        <v>CHECK</v>
      </c>
      <c r="I491" s="3">
        <f>IF($E491="","", INDEX([1]Calc!$E:$E, MATCH("D_vessel_m", [1]Calc!$C:$C, 0)) - $E491 + $B491)</f>
        <v>1.9112508231881176</v>
      </c>
      <c r="J491" s="3">
        <f>IF($F491="","", INDEX([1]Calc!$E:$E, MATCH("D_vessel_m", [1]Calc!$C:$C, 0)) - $F491 + $B491)</f>
        <v>1.9112508231881176</v>
      </c>
      <c r="K491" s="2" t="str">
        <f t="shared" si="23"/>
        <v>Even Keel</v>
      </c>
    </row>
    <row r="492" spans="1:11" x14ac:dyDescent="0.6">
      <c r="A492" s="2" t="str">
        <f>IF('December_Tide_2025 (2)'!A492="","",'December_Tide_2025 (2)'!A492)</f>
        <v>2025-12-21 10:00:00</v>
      </c>
      <c r="B492" s="3">
        <f>IF('December_Tide_2025 (2)'!B492="","",'December_Tide_2025 (2)'!B492)</f>
        <v>1.45</v>
      </c>
      <c r="C492" s="3">
        <f>IF($A492="","", INDEX([1]Calc!$E:$E, MATCH("KminusZ_m", [1]Calc!$C:$C, 0)) + $B492 - INDEX([1]Calc!$E:$E, MATCH("L_ramp_m", [1]Calc!$C:$C, 0)) * TAN(RADIANS(INDEX([1]Calc!$E:$E, MATCH("theta_max_deg", [1]Calc!$C:$C, 0)))))</f>
        <v>3.1887491768118825</v>
      </c>
      <c r="D492" s="3"/>
      <c r="E492" s="3">
        <f t="shared" si="21"/>
        <v>3.1887491768118825</v>
      </c>
      <c r="F492" s="3">
        <f t="shared" si="22"/>
        <v>3.1887491768118825</v>
      </c>
      <c r="G492" s="3">
        <f>IF($E492="","", DEGREES(ATAN((INDEX([1]Calc!$E:$E, MATCH("KminusZ_m", [1]Calc!$C:$C, 0)) - $E492 + $B492) / INDEX([1]Calc!$E:$E, MATCH("L_ramp_m", [1]Calc!$C:$C, 0)))))</f>
        <v>6</v>
      </c>
      <c r="H492" s="2" t="str">
        <f>IF($E492="","", IF(AND($E492&gt;=INDEX([1]Calc!$E:$E, MATCH("min_fwd_draft_m", [1]Calc!$C:$C, 0)), $E492&lt;=INDEX([1]Calc!$E:$E, MATCH("max_fwd_draft_m", [1]Calc!$C:$C, 0)), $G492&lt;=INDEX([1]Calc!$E:$E, MATCH("theta_max_deg", [1]Calc!$C:$C, 0))), "OK", "CHECK"))</f>
        <v>OK</v>
      </c>
      <c r="I492" s="3">
        <f>IF($E492="","", INDEX([1]Calc!$E:$E, MATCH("D_vessel_m", [1]Calc!$C:$C, 0)) - $E492 + $B492)</f>
        <v>1.9112508231881173</v>
      </c>
      <c r="J492" s="3">
        <f>IF($F492="","", INDEX([1]Calc!$E:$E, MATCH("D_vessel_m", [1]Calc!$C:$C, 0)) - $F492 + $B492)</f>
        <v>1.9112508231881173</v>
      </c>
      <c r="K492" s="2" t="str">
        <f t="shared" si="23"/>
        <v>Even Keel</v>
      </c>
    </row>
    <row r="493" spans="1:11" x14ac:dyDescent="0.6">
      <c r="A493" s="2" t="str">
        <f>IF('December_Tide_2025 (2)'!A493="","",'December_Tide_2025 (2)'!A493)</f>
        <v>2025-12-21 11:00:00</v>
      </c>
      <c r="B493" s="3">
        <f>IF('December_Tide_2025 (2)'!B493="","",'December_Tide_2025 (2)'!B493)</f>
        <v>1.07</v>
      </c>
      <c r="C493" s="3">
        <f>IF($A493="","", INDEX([1]Calc!$E:$E, MATCH("KminusZ_m", [1]Calc!$C:$C, 0)) + $B493 - INDEX([1]Calc!$E:$E, MATCH("L_ramp_m", [1]Calc!$C:$C, 0)) * TAN(RADIANS(INDEX([1]Calc!$E:$E, MATCH("theta_max_deg", [1]Calc!$C:$C, 0)))))</f>
        <v>2.8087491768118826</v>
      </c>
      <c r="D493" s="3"/>
      <c r="E493" s="3">
        <f t="shared" si="21"/>
        <v>2.8087491768118826</v>
      </c>
      <c r="F493" s="3">
        <f t="shared" si="22"/>
        <v>2.8087491768118826</v>
      </c>
      <c r="G493" s="3">
        <f>IF($E493="","", DEGREES(ATAN((INDEX([1]Calc!$E:$E, MATCH("KminusZ_m", [1]Calc!$C:$C, 0)) - $E493 + $B493) / INDEX([1]Calc!$E:$E, MATCH("L_ramp_m", [1]Calc!$C:$C, 0)))))</f>
        <v>6</v>
      </c>
      <c r="H493" s="2" t="str">
        <f>IF($E493="","", IF(AND($E493&gt;=INDEX([1]Calc!$E:$E, MATCH("min_fwd_draft_m", [1]Calc!$C:$C, 0)), $E493&lt;=INDEX([1]Calc!$E:$E, MATCH("max_fwd_draft_m", [1]Calc!$C:$C, 0)), $G493&lt;=INDEX([1]Calc!$E:$E, MATCH("theta_max_deg", [1]Calc!$C:$C, 0))), "OK", "CHECK"))</f>
        <v>OK</v>
      </c>
      <c r="I493" s="3">
        <f>IF($E493="","", INDEX([1]Calc!$E:$E, MATCH("D_vessel_m", [1]Calc!$C:$C, 0)) - $E493 + $B493)</f>
        <v>1.9112508231881173</v>
      </c>
      <c r="J493" s="3">
        <f>IF($F493="","", INDEX([1]Calc!$E:$E, MATCH("D_vessel_m", [1]Calc!$C:$C, 0)) - $F493 + $B493)</f>
        <v>1.9112508231881173</v>
      </c>
      <c r="K493" s="2" t="str">
        <f t="shared" si="23"/>
        <v>Even Keel</v>
      </c>
    </row>
    <row r="494" spans="1:11" x14ac:dyDescent="0.6">
      <c r="A494" s="2" t="str">
        <f>IF('December_Tide_2025 (2)'!A494="","",'December_Tide_2025 (2)'!A494)</f>
        <v>2025-12-21 12:00:00</v>
      </c>
      <c r="B494" s="3">
        <f>IF('December_Tide_2025 (2)'!B494="","",'December_Tide_2025 (2)'!B494)</f>
        <v>0.88</v>
      </c>
      <c r="C494" s="3">
        <f>IF($A494="","", INDEX([1]Calc!$E:$E, MATCH("KminusZ_m", [1]Calc!$C:$C, 0)) + $B494 - INDEX([1]Calc!$E:$E, MATCH("L_ramp_m", [1]Calc!$C:$C, 0)) * TAN(RADIANS(INDEX([1]Calc!$E:$E, MATCH("theta_max_deg", [1]Calc!$C:$C, 0)))))</f>
        <v>2.6187491768118822</v>
      </c>
      <c r="D494" s="3"/>
      <c r="E494" s="3">
        <f t="shared" si="21"/>
        <v>2.6187491768118822</v>
      </c>
      <c r="F494" s="3">
        <f t="shared" si="22"/>
        <v>2.6187491768118822</v>
      </c>
      <c r="G494" s="3">
        <f>IF($E494="","", DEGREES(ATAN((INDEX([1]Calc!$E:$E, MATCH("KminusZ_m", [1]Calc!$C:$C, 0)) - $E494 + $B494) / INDEX([1]Calc!$E:$E, MATCH("L_ramp_m", [1]Calc!$C:$C, 0)))))</f>
        <v>6.0000000000000009</v>
      </c>
      <c r="H494" s="2" t="str">
        <f>IF($E494="","", IF(AND($E494&gt;=INDEX([1]Calc!$E:$E, MATCH("min_fwd_draft_m", [1]Calc!$C:$C, 0)), $E494&lt;=INDEX([1]Calc!$E:$E, MATCH("max_fwd_draft_m", [1]Calc!$C:$C, 0)), $G494&lt;=INDEX([1]Calc!$E:$E, MATCH("theta_max_deg", [1]Calc!$C:$C, 0))), "OK", "CHECK"))</f>
        <v>OK</v>
      </c>
      <c r="I494" s="3">
        <f>IF($E494="","", INDEX([1]Calc!$E:$E, MATCH("D_vessel_m", [1]Calc!$C:$C, 0)) - $E494 + $B494)</f>
        <v>1.9112508231881176</v>
      </c>
      <c r="J494" s="3">
        <f>IF($F494="","", INDEX([1]Calc!$E:$E, MATCH("D_vessel_m", [1]Calc!$C:$C, 0)) - $F494 + $B494)</f>
        <v>1.9112508231881176</v>
      </c>
      <c r="K494" s="2" t="str">
        <f t="shared" si="23"/>
        <v>Even Keel</v>
      </c>
    </row>
    <row r="495" spans="1:11" x14ac:dyDescent="0.6">
      <c r="A495" s="2" t="str">
        <f>IF('December_Tide_2025 (2)'!A495="","",'December_Tide_2025 (2)'!A495)</f>
        <v>2025-12-21 13:00:00</v>
      </c>
      <c r="B495" s="3">
        <f>IF('December_Tide_2025 (2)'!B495="","",'December_Tide_2025 (2)'!B495)</f>
        <v>0.91</v>
      </c>
      <c r="C495" s="3">
        <f>IF($A495="","", INDEX([1]Calc!$E:$E, MATCH("KminusZ_m", [1]Calc!$C:$C, 0)) + $B495 - INDEX([1]Calc!$E:$E, MATCH("L_ramp_m", [1]Calc!$C:$C, 0)) * TAN(RADIANS(INDEX([1]Calc!$E:$E, MATCH("theta_max_deg", [1]Calc!$C:$C, 0)))))</f>
        <v>2.6487491768118825</v>
      </c>
      <c r="D495" s="3"/>
      <c r="E495" s="3">
        <f t="shared" si="21"/>
        <v>2.6487491768118825</v>
      </c>
      <c r="F495" s="3">
        <f t="shared" si="22"/>
        <v>2.6487491768118825</v>
      </c>
      <c r="G495" s="3">
        <f>IF($E495="","", DEGREES(ATAN((INDEX([1]Calc!$E:$E, MATCH("KminusZ_m", [1]Calc!$C:$C, 0)) - $E495 + $B495) / INDEX([1]Calc!$E:$E, MATCH("L_ramp_m", [1]Calc!$C:$C, 0)))))</f>
        <v>6.0000000000000009</v>
      </c>
      <c r="H495" s="2" t="str">
        <f>IF($E495="","", IF(AND($E495&gt;=INDEX([1]Calc!$E:$E, MATCH("min_fwd_draft_m", [1]Calc!$C:$C, 0)), $E495&lt;=INDEX([1]Calc!$E:$E, MATCH("max_fwd_draft_m", [1]Calc!$C:$C, 0)), $G495&lt;=INDEX([1]Calc!$E:$E, MATCH("theta_max_deg", [1]Calc!$C:$C, 0))), "OK", "CHECK"))</f>
        <v>OK</v>
      </c>
      <c r="I495" s="3">
        <f>IF($E495="","", INDEX([1]Calc!$E:$E, MATCH("D_vessel_m", [1]Calc!$C:$C, 0)) - $E495 + $B495)</f>
        <v>1.9112508231881176</v>
      </c>
      <c r="J495" s="3">
        <f>IF($F495="","", INDEX([1]Calc!$E:$E, MATCH("D_vessel_m", [1]Calc!$C:$C, 0)) - $F495 + $B495)</f>
        <v>1.9112508231881176</v>
      </c>
      <c r="K495" s="2" t="str">
        <f t="shared" si="23"/>
        <v>Even Keel</v>
      </c>
    </row>
    <row r="496" spans="1:11" x14ac:dyDescent="0.6">
      <c r="A496" s="2" t="str">
        <f>IF('December_Tide_2025 (2)'!A496="","",'December_Tide_2025 (2)'!A496)</f>
        <v>2025-12-21 14:00:00</v>
      </c>
      <c r="B496" s="3">
        <f>IF('December_Tide_2025 (2)'!B496="","",'December_Tide_2025 (2)'!B496)</f>
        <v>1.17</v>
      </c>
      <c r="C496" s="3">
        <f>IF($A496="","", INDEX([1]Calc!$E:$E, MATCH("KminusZ_m", [1]Calc!$C:$C, 0)) + $B496 - INDEX([1]Calc!$E:$E, MATCH("L_ramp_m", [1]Calc!$C:$C, 0)) * TAN(RADIANS(INDEX([1]Calc!$E:$E, MATCH("theta_max_deg", [1]Calc!$C:$C, 0)))))</f>
        <v>2.9087491768118823</v>
      </c>
      <c r="D496" s="3"/>
      <c r="E496" s="3">
        <f t="shared" si="21"/>
        <v>2.9087491768118823</v>
      </c>
      <c r="F496" s="3">
        <f t="shared" si="22"/>
        <v>2.9087491768118823</v>
      </c>
      <c r="G496" s="3">
        <f>IF($E496="","", DEGREES(ATAN((INDEX([1]Calc!$E:$E, MATCH("KminusZ_m", [1]Calc!$C:$C, 0)) - $E496 + $B496) / INDEX([1]Calc!$E:$E, MATCH("L_ramp_m", [1]Calc!$C:$C, 0)))))</f>
        <v>6.0000000000000009</v>
      </c>
      <c r="H496" s="2" t="str">
        <f>IF($E496="","", IF(AND($E496&gt;=INDEX([1]Calc!$E:$E, MATCH("min_fwd_draft_m", [1]Calc!$C:$C, 0)), $E496&lt;=INDEX([1]Calc!$E:$E, MATCH("max_fwd_draft_m", [1]Calc!$C:$C, 0)), $G496&lt;=INDEX([1]Calc!$E:$E, MATCH("theta_max_deg", [1]Calc!$C:$C, 0))), "OK", "CHECK"))</f>
        <v>OK</v>
      </c>
      <c r="I496" s="3">
        <f>IF($E496="","", INDEX([1]Calc!$E:$E, MATCH("D_vessel_m", [1]Calc!$C:$C, 0)) - $E496 + $B496)</f>
        <v>1.9112508231881176</v>
      </c>
      <c r="J496" s="3">
        <f>IF($F496="","", INDEX([1]Calc!$E:$E, MATCH("D_vessel_m", [1]Calc!$C:$C, 0)) - $F496 + $B496)</f>
        <v>1.9112508231881176</v>
      </c>
      <c r="K496" s="2" t="str">
        <f t="shared" si="23"/>
        <v>Even Keel</v>
      </c>
    </row>
    <row r="497" spans="1:11" x14ac:dyDescent="0.6">
      <c r="A497" s="2" t="str">
        <f>IF('December_Tide_2025 (2)'!A497="","",'December_Tide_2025 (2)'!A497)</f>
        <v>2025-12-21 15:00:00</v>
      </c>
      <c r="B497" s="3">
        <f>IF('December_Tide_2025 (2)'!B497="","",'December_Tide_2025 (2)'!B497)</f>
        <v>1.59</v>
      </c>
      <c r="C497" s="3">
        <f>IF($A497="","", INDEX([1]Calc!$E:$E, MATCH("KminusZ_m", [1]Calc!$C:$C, 0)) + $B497 - INDEX([1]Calc!$E:$E, MATCH("L_ramp_m", [1]Calc!$C:$C, 0)) * TAN(RADIANS(INDEX([1]Calc!$E:$E, MATCH("theta_max_deg", [1]Calc!$C:$C, 0)))))</f>
        <v>3.3287491768118822</v>
      </c>
      <c r="D497" s="3"/>
      <c r="E497" s="3">
        <f t="shared" si="21"/>
        <v>3.3287491768118822</v>
      </c>
      <c r="F497" s="3">
        <f t="shared" si="22"/>
        <v>3.3287491768118822</v>
      </c>
      <c r="G497" s="3">
        <f>IF($E497="","", DEGREES(ATAN((INDEX([1]Calc!$E:$E, MATCH("KminusZ_m", [1]Calc!$C:$C, 0)) - $E497 + $B497) / INDEX([1]Calc!$E:$E, MATCH("L_ramp_m", [1]Calc!$C:$C, 0)))))</f>
        <v>6.0000000000000009</v>
      </c>
      <c r="H497" s="2" t="str">
        <f>IF($E497="","", IF(AND($E497&gt;=INDEX([1]Calc!$E:$E, MATCH("min_fwd_draft_m", [1]Calc!$C:$C, 0)), $E497&lt;=INDEX([1]Calc!$E:$E, MATCH("max_fwd_draft_m", [1]Calc!$C:$C, 0)), $G497&lt;=INDEX([1]Calc!$E:$E, MATCH("theta_max_deg", [1]Calc!$C:$C, 0))), "OK", "CHECK"))</f>
        <v>OK</v>
      </c>
      <c r="I497" s="3">
        <f>IF($E497="","", INDEX([1]Calc!$E:$E, MATCH("D_vessel_m", [1]Calc!$C:$C, 0)) - $E497 + $B497)</f>
        <v>1.9112508231881178</v>
      </c>
      <c r="J497" s="3">
        <f>IF($F497="","", INDEX([1]Calc!$E:$E, MATCH("D_vessel_m", [1]Calc!$C:$C, 0)) - $F497 + $B497)</f>
        <v>1.9112508231881178</v>
      </c>
      <c r="K497" s="2" t="str">
        <f t="shared" si="23"/>
        <v>Even Keel</v>
      </c>
    </row>
    <row r="498" spans="1:11" x14ac:dyDescent="0.6">
      <c r="A498" s="2" t="str">
        <f>IF('December_Tide_2025 (2)'!A498="","",'December_Tide_2025 (2)'!A498)</f>
        <v>2025-12-21 16:00:00</v>
      </c>
      <c r="B498" s="3">
        <f>IF('December_Tide_2025 (2)'!B498="","",'December_Tide_2025 (2)'!B498)</f>
        <v>2.06</v>
      </c>
      <c r="C498" s="3">
        <f>IF($A498="","", INDEX([1]Calc!$E:$E, MATCH("KminusZ_m", [1]Calc!$C:$C, 0)) + $B498 - INDEX([1]Calc!$E:$E, MATCH("L_ramp_m", [1]Calc!$C:$C, 0)) * TAN(RADIANS(INDEX([1]Calc!$E:$E, MATCH("theta_max_deg", [1]Calc!$C:$C, 0)))))</f>
        <v>3.7987491768118828</v>
      </c>
      <c r="D498" s="3"/>
      <c r="E498" s="3">
        <f t="shared" si="21"/>
        <v>3.7987491768118828</v>
      </c>
      <c r="F498" s="3">
        <f t="shared" si="22"/>
        <v>3.7987491768118828</v>
      </c>
      <c r="G498" s="3">
        <f>IF($E498="","", DEGREES(ATAN((INDEX([1]Calc!$E:$E, MATCH("KminusZ_m", [1]Calc!$C:$C, 0)) - $E498 + $B498) / INDEX([1]Calc!$E:$E, MATCH("L_ramp_m", [1]Calc!$C:$C, 0)))))</f>
        <v>5.9999999999999982</v>
      </c>
      <c r="H498" s="2" t="str">
        <f>IF($E498="","", IF(AND($E498&gt;=INDEX([1]Calc!$E:$E, MATCH("min_fwd_draft_m", [1]Calc!$C:$C, 0)), $E498&lt;=INDEX([1]Calc!$E:$E, MATCH("max_fwd_draft_m", [1]Calc!$C:$C, 0)), $G498&lt;=INDEX([1]Calc!$E:$E, MATCH("theta_max_deg", [1]Calc!$C:$C, 0))), "OK", "CHECK"))</f>
        <v>CHECK</v>
      </c>
      <c r="I498" s="3">
        <f>IF($E498="","", INDEX([1]Calc!$E:$E, MATCH("D_vessel_m", [1]Calc!$C:$C, 0)) - $E498 + $B498)</f>
        <v>1.9112508231881171</v>
      </c>
      <c r="J498" s="3">
        <f>IF($F498="","", INDEX([1]Calc!$E:$E, MATCH("D_vessel_m", [1]Calc!$C:$C, 0)) - $F498 + $B498)</f>
        <v>1.9112508231881171</v>
      </c>
      <c r="K498" s="2" t="str">
        <f t="shared" si="23"/>
        <v>Even Keel</v>
      </c>
    </row>
    <row r="499" spans="1:11" x14ac:dyDescent="0.6">
      <c r="A499" s="2" t="str">
        <f>IF('December_Tide_2025 (2)'!A499="","",'December_Tide_2025 (2)'!A499)</f>
        <v>2025-12-21 17:00:00</v>
      </c>
      <c r="B499" s="3">
        <f>IF('December_Tide_2025 (2)'!B499="","",'December_Tide_2025 (2)'!B499)</f>
        <v>2.46</v>
      </c>
      <c r="C499" s="3">
        <f>IF($A499="","", INDEX([1]Calc!$E:$E, MATCH("KminusZ_m", [1]Calc!$C:$C, 0)) + $B499 - INDEX([1]Calc!$E:$E, MATCH("L_ramp_m", [1]Calc!$C:$C, 0)) * TAN(RADIANS(INDEX([1]Calc!$E:$E, MATCH("theta_max_deg", [1]Calc!$C:$C, 0)))))</f>
        <v>4.1987491768118819</v>
      </c>
      <c r="D499" s="3"/>
      <c r="E499" s="3">
        <f t="shared" si="21"/>
        <v>4.1987491768118819</v>
      </c>
      <c r="F499" s="3">
        <f t="shared" si="22"/>
        <v>4.1987491768118819</v>
      </c>
      <c r="G499" s="3">
        <f>IF($E499="","", DEGREES(ATAN((INDEX([1]Calc!$E:$E, MATCH("KminusZ_m", [1]Calc!$C:$C, 0)) - $E499 + $B499) / INDEX([1]Calc!$E:$E, MATCH("L_ramp_m", [1]Calc!$C:$C, 0)))))</f>
        <v>6.0000000000000027</v>
      </c>
      <c r="H499" s="2" t="str">
        <f>IF($E499="","", IF(AND($E499&gt;=INDEX([1]Calc!$E:$E, MATCH("min_fwd_draft_m", [1]Calc!$C:$C, 0)), $E499&lt;=INDEX([1]Calc!$E:$E, MATCH("max_fwd_draft_m", [1]Calc!$C:$C, 0)), $G499&lt;=INDEX([1]Calc!$E:$E, MATCH("theta_max_deg", [1]Calc!$C:$C, 0))), "OK", "CHECK"))</f>
        <v>CHECK</v>
      </c>
      <c r="I499" s="3">
        <f>IF($E499="","", INDEX([1]Calc!$E:$E, MATCH("D_vessel_m", [1]Calc!$C:$C, 0)) - $E499 + $B499)</f>
        <v>1.911250823188118</v>
      </c>
      <c r="J499" s="3">
        <f>IF($F499="","", INDEX([1]Calc!$E:$E, MATCH("D_vessel_m", [1]Calc!$C:$C, 0)) - $F499 + $B499)</f>
        <v>1.911250823188118</v>
      </c>
      <c r="K499" s="2" t="str">
        <f t="shared" si="23"/>
        <v>Even Keel</v>
      </c>
    </row>
    <row r="500" spans="1:11" x14ac:dyDescent="0.6">
      <c r="A500" s="2" t="str">
        <f>IF('December_Tide_2025 (2)'!A500="","",'December_Tide_2025 (2)'!A500)</f>
        <v>2025-12-21 18:00:00</v>
      </c>
      <c r="B500" s="3">
        <f>IF('December_Tide_2025 (2)'!B500="","",'December_Tide_2025 (2)'!B500)</f>
        <v>2.7</v>
      </c>
      <c r="C500" s="3">
        <f>IF($A500="","", INDEX([1]Calc!$E:$E, MATCH("KminusZ_m", [1]Calc!$C:$C, 0)) + $B500 - INDEX([1]Calc!$E:$E, MATCH("L_ramp_m", [1]Calc!$C:$C, 0)) * TAN(RADIANS(INDEX([1]Calc!$E:$E, MATCH("theta_max_deg", [1]Calc!$C:$C, 0)))))</f>
        <v>4.4387491768118821</v>
      </c>
      <c r="D500" s="3"/>
      <c r="E500" s="3">
        <f t="shared" si="21"/>
        <v>4.4387491768118821</v>
      </c>
      <c r="F500" s="3">
        <f t="shared" si="22"/>
        <v>4.4387491768118821</v>
      </c>
      <c r="G500" s="3">
        <f>IF($E500="","", DEGREES(ATAN((INDEX([1]Calc!$E:$E, MATCH("KminusZ_m", [1]Calc!$C:$C, 0)) - $E500 + $B500) / INDEX([1]Calc!$E:$E, MATCH("L_ramp_m", [1]Calc!$C:$C, 0)))))</f>
        <v>6.0000000000000027</v>
      </c>
      <c r="H500" s="2" t="str">
        <f>IF($E500="","", IF(AND($E500&gt;=INDEX([1]Calc!$E:$E, MATCH("min_fwd_draft_m", [1]Calc!$C:$C, 0)), $E500&lt;=INDEX([1]Calc!$E:$E, MATCH("max_fwd_draft_m", [1]Calc!$C:$C, 0)), $G500&lt;=INDEX([1]Calc!$E:$E, MATCH("theta_max_deg", [1]Calc!$C:$C, 0))), "OK", "CHECK"))</f>
        <v>CHECK</v>
      </c>
      <c r="I500" s="3">
        <f>IF($E500="","", INDEX([1]Calc!$E:$E, MATCH("D_vessel_m", [1]Calc!$C:$C, 0)) - $E500 + $B500)</f>
        <v>1.911250823188118</v>
      </c>
      <c r="J500" s="3">
        <f>IF($F500="","", INDEX([1]Calc!$E:$E, MATCH("D_vessel_m", [1]Calc!$C:$C, 0)) - $F500 + $B500)</f>
        <v>1.911250823188118</v>
      </c>
      <c r="K500" s="2" t="str">
        <f t="shared" si="23"/>
        <v>Even Keel</v>
      </c>
    </row>
    <row r="501" spans="1:11" x14ac:dyDescent="0.6">
      <c r="A501" s="2" t="str">
        <f>IF('December_Tide_2025 (2)'!A501="","",'December_Tide_2025 (2)'!A501)</f>
        <v>2025-12-21 19:00:00</v>
      </c>
      <c r="B501" s="3">
        <f>IF('December_Tide_2025 (2)'!B501="","",'December_Tide_2025 (2)'!B501)</f>
        <v>2.71</v>
      </c>
      <c r="C501" s="3">
        <f>IF($A501="","", INDEX([1]Calc!$E:$E, MATCH("KminusZ_m", [1]Calc!$C:$C, 0)) + $B501 - INDEX([1]Calc!$E:$E, MATCH("L_ramp_m", [1]Calc!$C:$C, 0)) * TAN(RADIANS(INDEX([1]Calc!$E:$E, MATCH("theta_max_deg", [1]Calc!$C:$C, 0)))))</f>
        <v>4.4487491768118819</v>
      </c>
      <c r="D501" s="3"/>
      <c r="E501" s="3">
        <f t="shared" si="21"/>
        <v>4.4487491768118819</v>
      </c>
      <c r="F501" s="3">
        <f t="shared" si="22"/>
        <v>4.4487491768118819</v>
      </c>
      <c r="G501" s="3">
        <f>IF($E501="","", DEGREES(ATAN((INDEX([1]Calc!$E:$E, MATCH("KminusZ_m", [1]Calc!$C:$C, 0)) - $E501 + $B501) / INDEX([1]Calc!$E:$E, MATCH("L_ramp_m", [1]Calc!$C:$C, 0)))))</f>
        <v>6.0000000000000027</v>
      </c>
      <c r="H501" s="2" t="str">
        <f>IF($E501="","", IF(AND($E501&gt;=INDEX([1]Calc!$E:$E, MATCH("min_fwd_draft_m", [1]Calc!$C:$C, 0)), $E501&lt;=INDEX([1]Calc!$E:$E, MATCH("max_fwd_draft_m", [1]Calc!$C:$C, 0)), $G501&lt;=INDEX([1]Calc!$E:$E, MATCH("theta_max_deg", [1]Calc!$C:$C, 0))), "OK", "CHECK"))</f>
        <v>CHECK</v>
      </c>
      <c r="I501" s="3">
        <f>IF($E501="","", INDEX([1]Calc!$E:$E, MATCH("D_vessel_m", [1]Calc!$C:$C, 0)) - $E501 + $B501)</f>
        <v>1.911250823188118</v>
      </c>
      <c r="J501" s="3">
        <f>IF($F501="","", INDEX([1]Calc!$E:$E, MATCH("D_vessel_m", [1]Calc!$C:$C, 0)) - $F501 + $B501)</f>
        <v>1.911250823188118</v>
      </c>
      <c r="K501" s="2" t="str">
        <f t="shared" si="23"/>
        <v>Even Keel</v>
      </c>
    </row>
    <row r="502" spans="1:11" x14ac:dyDescent="0.6">
      <c r="A502" s="2" t="str">
        <f>IF('December_Tide_2025 (2)'!A502="","",'December_Tide_2025 (2)'!A502)</f>
        <v>2025-12-21 20:00:00</v>
      </c>
      <c r="B502" s="3">
        <f>IF('December_Tide_2025 (2)'!B502="","",'December_Tide_2025 (2)'!B502)</f>
        <v>2.4900000000000002</v>
      </c>
      <c r="C502" s="3">
        <f>IF($A502="","", INDEX([1]Calc!$E:$E, MATCH("KminusZ_m", [1]Calc!$C:$C, 0)) + $B502 - INDEX([1]Calc!$E:$E, MATCH("L_ramp_m", [1]Calc!$C:$C, 0)) * TAN(RADIANS(INDEX([1]Calc!$E:$E, MATCH("theta_max_deg", [1]Calc!$C:$C, 0)))))</f>
        <v>4.228749176811883</v>
      </c>
      <c r="D502" s="3"/>
      <c r="E502" s="3">
        <f t="shared" si="21"/>
        <v>4.228749176811883</v>
      </c>
      <c r="F502" s="3">
        <f t="shared" si="22"/>
        <v>4.228749176811883</v>
      </c>
      <c r="G502" s="3">
        <f>IF($E502="","", DEGREES(ATAN((INDEX([1]Calc!$E:$E, MATCH("KminusZ_m", [1]Calc!$C:$C, 0)) - $E502 + $B502) / INDEX([1]Calc!$E:$E, MATCH("L_ramp_m", [1]Calc!$C:$C, 0)))))</f>
        <v>5.9999999999999982</v>
      </c>
      <c r="H502" s="2" t="str">
        <f>IF($E502="","", IF(AND($E502&gt;=INDEX([1]Calc!$E:$E, MATCH("min_fwd_draft_m", [1]Calc!$C:$C, 0)), $E502&lt;=INDEX([1]Calc!$E:$E, MATCH("max_fwd_draft_m", [1]Calc!$C:$C, 0)), $G502&lt;=INDEX([1]Calc!$E:$E, MATCH("theta_max_deg", [1]Calc!$C:$C, 0))), "OK", "CHECK"))</f>
        <v>CHECK</v>
      </c>
      <c r="I502" s="3">
        <f>IF($E502="","", INDEX([1]Calc!$E:$E, MATCH("D_vessel_m", [1]Calc!$C:$C, 0)) - $E502 + $B502)</f>
        <v>1.9112508231881171</v>
      </c>
      <c r="J502" s="3">
        <f>IF($F502="","", INDEX([1]Calc!$E:$E, MATCH("D_vessel_m", [1]Calc!$C:$C, 0)) - $F502 + $B502)</f>
        <v>1.9112508231881171</v>
      </c>
      <c r="K502" s="2" t="str">
        <f t="shared" si="23"/>
        <v>Even Keel</v>
      </c>
    </row>
    <row r="503" spans="1:11" x14ac:dyDescent="0.6">
      <c r="A503" s="2" t="str">
        <f>IF('December_Tide_2025 (2)'!A503="","",'December_Tide_2025 (2)'!A503)</f>
        <v>2025-12-21 21:00:00</v>
      </c>
      <c r="B503" s="3">
        <f>IF('December_Tide_2025 (2)'!B503="","",'December_Tide_2025 (2)'!B503)</f>
        <v>2.1</v>
      </c>
      <c r="C503" s="3">
        <f>IF($A503="","", INDEX([1]Calc!$E:$E, MATCH("KminusZ_m", [1]Calc!$C:$C, 0)) + $B503 - INDEX([1]Calc!$E:$E, MATCH("L_ramp_m", [1]Calc!$C:$C, 0)) * TAN(RADIANS(INDEX([1]Calc!$E:$E, MATCH("theta_max_deg", [1]Calc!$C:$C, 0)))))</f>
        <v>3.838749176811882</v>
      </c>
      <c r="D503" s="3"/>
      <c r="E503" s="3">
        <f t="shared" si="21"/>
        <v>3.838749176811882</v>
      </c>
      <c r="F503" s="3">
        <f t="shared" si="22"/>
        <v>3.838749176811882</v>
      </c>
      <c r="G503" s="3">
        <f>IF($E503="","", DEGREES(ATAN((INDEX([1]Calc!$E:$E, MATCH("KminusZ_m", [1]Calc!$C:$C, 0)) - $E503 + $B503) / INDEX([1]Calc!$E:$E, MATCH("L_ramp_m", [1]Calc!$C:$C, 0)))))</f>
        <v>6.0000000000000027</v>
      </c>
      <c r="H503" s="2" t="str">
        <f>IF($E503="","", IF(AND($E503&gt;=INDEX([1]Calc!$E:$E, MATCH("min_fwd_draft_m", [1]Calc!$C:$C, 0)), $E503&lt;=INDEX([1]Calc!$E:$E, MATCH("max_fwd_draft_m", [1]Calc!$C:$C, 0)), $G503&lt;=INDEX([1]Calc!$E:$E, MATCH("theta_max_deg", [1]Calc!$C:$C, 0))), "OK", "CHECK"))</f>
        <v>CHECK</v>
      </c>
      <c r="I503" s="3">
        <f>IF($E503="","", INDEX([1]Calc!$E:$E, MATCH("D_vessel_m", [1]Calc!$C:$C, 0)) - $E503 + $B503)</f>
        <v>1.911250823188118</v>
      </c>
      <c r="J503" s="3">
        <f>IF($F503="","", INDEX([1]Calc!$E:$E, MATCH("D_vessel_m", [1]Calc!$C:$C, 0)) - $F503 + $B503)</f>
        <v>1.911250823188118</v>
      </c>
      <c r="K503" s="2" t="str">
        <f t="shared" si="23"/>
        <v>Even Keel</v>
      </c>
    </row>
    <row r="504" spans="1:11" x14ac:dyDescent="0.6">
      <c r="A504" s="2" t="str">
        <f>IF('December_Tide_2025 (2)'!A504="","",'December_Tide_2025 (2)'!A504)</f>
        <v>2025-12-21 22:00:00</v>
      </c>
      <c r="B504" s="3">
        <f>IF('December_Tide_2025 (2)'!B504="","",'December_Tide_2025 (2)'!B504)</f>
        <v>1.63</v>
      </c>
      <c r="C504" s="3">
        <f>IF($A504="","", INDEX([1]Calc!$E:$E, MATCH("KminusZ_m", [1]Calc!$C:$C, 0)) + $B504 - INDEX([1]Calc!$E:$E, MATCH("L_ramp_m", [1]Calc!$C:$C, 0)) * TAN(RADIANS(INDEX([1]Calc!$E:$E, MATCH("theta_max_deg", [1]Calc!$C:$C, 0)))))</f>
        <v>3.3687491768118822</v>
      </c>
      <c r="D504" s="3"/>
      <c r="E504" s="3">
        <f t="shared" si="21"/>
        <v>3.3687491768118822</v>
      </c>
      <c r="F504" s="3">
        <f t="shared" si="22"/>
        <v>3.3687491768118822</v>
      </c>
      <c r="G504" s="3">
        <f>IF($E504="","", DEGREES(ATAN((INDEX([1]Calc!$E:$E, MATCH("KminusZ_m", [1]Calc!$C:$C, 0)) - $E504 + $B504) / INDEX([1]Calc!$E:$E, MATCH("L_ramp_m", [1]Calc!$C:$C, 0)))))</f>
        <v>6.0000000000000009</v>
      </c>
      <c r="H504" s="2" t="str">
        <f>IF($E504="","", IF(AND($E504&gt;=INDEX([1]Calc!$E:$E, MATCH("min_fwd_draft_m", [1]Calc!$C:$C, 0)), $E504&lt;=INDEX([1]Calc!$E:$E, MATCH("max_fwd_draft_m", [1]Calc!$C:$C, 0)), $G504&lt;=INDEX([1]Calc!$E:$E, MATCH("theta_max_deg", [1]Calc!$C:$C, 0))), "OK", "CHECK"))</f>
        <v>OK</v>
      </c>
      <c r="I504" s="3">
        <f>IF($E504="","", INDEX([1]Calc!$E:$E, MATCH("D_vessel_m", [1]Calc!$C:$C, 0)) - $E504 + $B504)</f>
        <v>1.9112508231881176</v>
      </c>
      <c r="J504" s="3">
        <f>IF($F504="","", INDEX([1]Calc!$E:$E, MATCH("D_vessel_m", [1]Calc!$C:$C, 0)) - $F504 + $B504)</f>
        <v>1.9112508231881176</v>
      </c>
      <c r="K504" s="2" t="str">
        <f t="shared" si="23"/>
        <v>Even Keel</v>
      </c>
    </row>
    <row r="505" spans="1:11" x14ac:dyDescent="0.6">
      <c r="A505" s="2" t="str">
        <f>IF('December_Tide_2025 (2)'!A505="","",'December_Tide_2025 (2)'!A505)</f>
        <v>2025-12-21 23:00:00</v>
      </c>
      <c r="B505" s="3">
        <f>IF('December_Tide_2025 (2)'!B505="","",'December_Tide_2025 (2)'!B505)</f>
        <v>1.21</v>
      </c>
      <c r="C505" s="3">
        <f>IF($A505="","", INDEX([1]Calc!$E:$E, MATCH("KminusZ_m", [1]Calc!$C:$C, 0)) + $B505 - INDEX([1]Calc!$E:$E, MATCH("L_ramp_m", [1]Calc!$C:$C, 0)) * TAN(RADIANS(INDEX([1]Calc!$E:$E, MATCH("theta_max_deg", [1]Calc!$C:$C, 0)))))</f>
        <v>2.9487491768118823</v>
      </c>
      <c r="D505" s="3"/>
      <c r="E505" s="3">
        <f t="shared" si="21"/>
        <v>2.9487491768118823</v>
      </c>
      <c r="F505" s="3">
        <f t="shared" si="22"/>
        <v>2.9487491768118823</v>
      </c>
      <c r="G505" s="3">
        <f>IF($E505="","", DEGREES(ATAN((INDEX([1]Calc!$E:$E, MATCH("KminusZ_m", [1]Calc!$C:$C, 0)) - $E505 + $B505) / INDEX([1]Calc!$E:$E, MATCH("L_ramp_m", [1]Calc!$C:$C, 0)))))</f>
        <v>6.0000000000000009</v>
      </c>
      <c r="H505" s="2" t="str">
        <f>IF($E505="","", IF(AND($E505&gt;=INDEX([1]Calc!$E:$E, MATCH("min_fwd_draft_m", [1]Calc!$C:$C, 0)), $E505&lt;=INDEX([1]Calc!$E:$E, MATCH("max_fwd_draft_m", [1]Calc!$C:$C, 0)), $G505&lt;=INDEX([1]Calc!$E:$E, MATCH("theta_max_deg", [1]Calc!$C:$C, 0))), "OK", "CHECK"))</f>
        <v>OK</v>
      </c>
      <c r="I505" s="3">
        <f>IF($E505="","", INDEX([1]Calc!$E:$E, MATCH("D_vessel_m", [1]Calc!$C:$C, 0)) - $E505 + $B505)</f>
        <v>1.9112508231881176</v>
      </c>
      <c r="J505" s="3">
        <f>IF($F505="","", INDEX([1]Calc!$E:$E, MATCH("D_vessel_m", [1]Calc!$C:$C, 0)) - $F505 + $B505)</f>
        <v>1.9112508231881176</v>
      </c>
      <c r="K505" s="2" t="str">
        <f t="shared" si="23"/>
        <v>Even Keel</v>
      </c>
    </row>
    <row r="506" spans="1:11" x14ac:dyDescent="0.6">
      <c r="A506" s="2" t="str">
        <f>IF('December_Tide_2025 (2)'!A506="","",'December_Tide_2025 (2)'!A506)</f>
        <v>2025-12-22 00:00:00</v>
      </c>
      <c r="B506" s="3">
        <f>IF('December_Tide_2025 (2)'!B506="","",'December_Tide_2025 (2)'!B506)</f>
        <v>0.93</v>
      </c>
      <c r="C506" s="3">
        <f>IF($A506="","", INDEX([1]Calc!$E:$E, MATCH("KminusZ_m", [1]Calc!$C:$C, 0)) + $B506 - INDEX([1]Calc!$E:$E, MATCH("L_ramp_m", [1]Calc!$C:$C, 0)) * TAN(RADIANS(INDEX([1]Calc!$E:$E, MATCH("theta_max_deg", [1]Calc!$C:$C, 0)))))</f>
        <v>2.6687491768118825</v>
      </c>
      <c r="D506" s="3"/>
      <c r="E506" s="3">
        <f t="shared" si="21"/>
        <v>2.6687491768118825</v>
      </c>
      <c r="F506" s="3">
        <f t="shared" si="22"/>
        <v>2.6687491768118825</v>
      </c>
      <c r="G506" s="3">
        <f>IF($E506="","", DEGREES(ATAN((INDEX([1]Calc!$E:$E, MATCH("KminusZ_m", [1]Calc!$C:$C, 0)) - $E506 + $B506) / INDEX([1]Calc!$E:$E, MATCH("L_ramp_m", [1]Calc!$C:$C, 0)))))</f>
        <v>6.0000000000000009</v>
      </c>
      <c r="H506" s="2" t="str">
        <f>IF($E506="","", IF(AND($E506&gt;=INDEX([1]Calc!$E:$E, MATCH("min_fwd_draft_m", [1]Calc!$C:$C, 0)), $E506&lt;=INDEX([1]Calc!$E:$E, MATCH("max_fwd_draft_m", [1]Calc!$C:$C, 0)), $G506&lt;=INDEX([1]Calc!$E:$E, MATCH("theta_max_deg", [1]Calc!$C:$C, 0))), "OK", "CHECK"))</f>
        <v>OK</v>
      </c>
      <c r="I506" s="3">
        <f>IF($E506="","", INDEX([1]Calc!$E:$E, MATCH("D_vessel_m", [1]Calc!$C:$C, 0)) - $E506 + $B506)</f>
        <v>1.9112508231881176</v>
      </c>
      <c r="J506" s="3">
        <f>IF($F506="","", INDEX([1]Calc!$E:$E, MATCH("D_vessel_m", [1]Calc!$C:$C, 0)) - $F506 + $B506)</f>
        <v>1.9112508231881176</v>
      </c>
      <c r="K506" s="2" t="str">
        <f t="shared" si="23"/>
        <v>Even Keel</v>
      </c>
    </row>
    <row r="507" spans="1:11" x14ac:dyDescent="0.6">
      <c r="A507" s="2" t="str">
        <f>IF('December_Tide_2025 (2)'!A507="","",'December_Tide_2025 (2)'!A507)</f>
        <v>2025-12-22 01:00:00</v>
      </c>
      <c r="B507" s="3">
        <f>IF('December_Tide_2025 (2)'!B507="","",'December_Tide_2025 (2)'!B507)</f>
        <v>0.87</v>
      </c>
      <c r="C507" s="3">
        <f>IF($A507="","", INDEX([1]Calc!$E:$E, MATCH("KminusZ_m", [1]Calc!$C:$C, 0)) + $B507 - INDEX([1]Calc!$E:$E, MATCH("L_ramp_m", [1]Calc!$C:$C, 0)) * TAN(RADIANS(INDEX([1]Calc!$E:$E, MATCH("theta_max_deg", [1]Calc!$C:$C, 0)))))</f>
        <v>2.6087491768118825</v>
      </c>
      <c r="D507" s="3"/>
      <c r="E507" s="3">
        <f t="shared" si="21"/>
        <v>2.6087491768118825</v>
      </c>
      <c r="F507" s="3">
        <f t="shared" si="22"/>
        <v>2.6087491768118825</v>
      </c>
      <c r="G507" s="3">
        <f>IF($E507="","", DEGREES(ATAN((INDEX([1]Calc!$E:$E, MATCH("KminusZ_m", [1]Calc!$C:$C, 0)) - $E507 + $B507) / INDEX([1]Calc!$E:$E, MATCH("L_ramp_m", [1]Calc!$C:$C, 0)))))</f>
        <v>6.0000000000000009</v>
      </c>
      <c r="H507" s="2" t="str">
        <f>IF($E507="","", IF(AND($E507&gt;=INDEX([1]Calc!$E:$E, MATCH("min_fwd_draft_m", [1]Calc!$C:$C, 0)), $E507&lt;=INDEX([1]Calc!$E:$E, MATCH("max_fwd_draft_m", [1]Calc!$C:$C, 0)), $G507&lt;=INDEX([1]Calc!$E:$E, MATCH("theta_max_deg", [1]Calc!$C:$C, 0))), "OK", "CHECK"))</f>
        <v>OK</v>
      </c>
      <c r="I507" s="3">
        <f>IF($E507="","", INDEX([1]Calc!$E:$E, MATCH("D_vessel_m", [1]Calc!$C:$C, 0)) - $E507 + $B507)</f>
        <v>1.9112508231881176</v>
      </c>
      <c r="J507" s="3">
        <f>IF($F507="","", INDEX([1]Calc!$E:$E, MATCH("D_vessel_m", [1]Calc!$C:$C, 0)) - $F507 + $B507)</f>
        <v>1.9112508231881176</v>
      </c>
      <c r="K507" s="2" t="str">
        <f t="shared" si="23"/>
        <v>Even Keel</v>
      </c>
    </row>
    <row r="508" spans="1:11" x14ac:dyDescent="0.6">
      <c r="A508" s="2" t="str">
        <f>IF('December_Tide_2025 (2)'!A508="","",'December_Tide_2025 (2)'!A508)</f>
        <v>2025-12-22 02:00:00</v>
      </c>
      <c r="B508" s="3">
        <f>IF('December_Tide_2025 (2)'!B508="","",'December_Tide_2025 (2)'!B508)</f>
        <v>1.05</v>
      </c>
      <c r="C508" s="3">
        <f>IF($A508="","", INDEX([1]Calc!$E:$E, MATCH("KminusZ_m", [1]Calc!$C:$C, 0)) + $B508 - INDEX([1]Calc!$E:$E, MATCH("L_ramp_m", [1]Calc!$C:$C, 0)) * TAN(RADIANS(INDEX([1]Calc!$E:$E, MATCH("theta_max_deg", [1]Calc!$C:$C, 0)))))</f>
        <v>2.7887491768118822</v>
      </c>
      <c r="D508" s="3"/>
      <c r="E508" s="3">
        <f t="shared" si="21"/>
        <v>2.7887491768118822</v>
      </c>
      <c r="F508" s="3">
        <f t="shared" si="22"/>
        <v>2.7887491768118822</v>
      </c>
      <c r="G508" s="3">
        <f>IF($E508="","", DEGREES(ATAN((INDEX([1]Calc!$E:$E, MATCH("KminusZ_m", [1]Calc!$C:$C, 0)) - $E508 + $B508) / INDEX([1]Calc!$E:$E, MATCH("L_ramp_m", [1]Calc!$C:$C, 0)))))</f>
        <v>6.0000000000000009</v>
      </c>
      <c r="H508" s="2" t="str">
        <f>IF($E508="","", IF(AND($E508&gt;=INDEX([1]Calc!$E:$E, MATCH("min_fwd_draft_m", [1]Calc!$C:$C, 0)), $E508&lt;=INDEX([1]Calc!$E:$E, MATCH("max_fwd_draft_m", [1]Calc!$C:$C, 0)), $G508&lt;=INDEX([1]Calc!$E:$E, MATCH("theta_max_deg", [1]Calc!$C:$C, 0))), "OK", "CHECK"))</f>
        <v>OK</v>
      </c>
      <c r="I508" s="3">
        <f>IF($E508="","", INDEX([1]Calc!$E:$E, MATCH("D_vessel_m", [1]Calc!$C:$C, 0)) - $E508 + $B508)</f>
        <v>1.9112508231881178</v>
      </c>
      <c r="J508" s="3">
        <f>IF($F508="","", INDEX([1]Calc!$E:$E, MATCH("D_vessel_m", [1]Calc!$C:$C, 0)) - $F508 + $B508)</f>
        <v>1.9112508231881178</v>
      </c>
      <c r="K508" s="2" t="str">
        <f t="shared" si="23"/>
        <v>Even Keel</v>
      </c>
    </row>
    <row r="509" spans="1:11" x14ac:dyDescent="0.6">
      <c r="A509" s="2" t="str">
        <f>IF('December_Tide_2025 (2)'!A509="","",'December_Tide_2025 (2)'!A509)</f>
        <v>2025-12-22 03:00:00</v>
      </c>
      <c r="B509" s="3">
        <f>IF('December_Tide_2025 (2)'!B509="","",'December_Tide_2025 (2)'!B509)</f>
        <v>1.41</v>
      </c>
      <c r="C509" s="3">
        <f>IF($A509="","", INDEX([1]Calc!$E:$E, MATCH("KminusZ_m", [1]Calc!$C:$C, 0)) + $B509 - INDEX([1]Calc!$E:$E, MATCH("L_ramp_m", [1]Calc!$C:$C, 0)) * TAN(RADIANS(INDEX([1]Calc!$E:$E, MATCH("theta_max_deg", [1]Calc!$C:$C, 0)))))</f>
        <v>3.1487491768118825</v>
      </c>
      <c r="D509" s="3"/>
      <c r="E509" s="3">
        <f t="shared" si="21"/>
        <v>3.1487491768118825</v>
      </c>
      <c r="F509" s="3">
        <f t="shared" si="22"/>
        <v>3.1487491768118825</v>
      </c>
      <c r="G509" s="3">
        <f>IF($E509="","", DEGREES(ATAN((INDEX([1]Calc!$E:$E, MATCH("KminusZ_m", [1]Calc!$C:$C, 0)) - $E509 + $B509) / INDEX([1]Calc!$E:$E, MATCH("L_ramp_m", [1]Calc!$C:$C, 0)))))</f>
        <v>6</v>
      </c>
      <c r="H509" s="2" t="str">
        <f>IF($E509="","", IF(AND($E509&gt;=INDEX([1]Calc!$E:$E, MATCH("min_fwd_draft_m", [1]Calc!$C:$C, 0)), $E509&lt;=INDEX([1]Calc!$E:$E, MATCH("max_fwd_draft_m", [1]Calc!$C:$C, 0)), $G509&lt;=INDEX([1]Calc!$E:$E, MATCH("theta_max_deg", [1]Calc!$C:$C, 0))), "OK", "CHECK"))</f>
        <v>OK</v>
      </c>
      <c r="I509" s="3">
        <f>IF($E509="","", INDEX([1]Calc!$E:$E, MATCH("D_vessel_m", [1]Calc!$C:$C, 0)) - $E509 + $B509)</f>
        <v>1.9112508231881173</v>
      </c>
      <c r="J509" s="3">
        <f>IF($F509="","", INDEX([1]Calc!$E:$E, MATCH("D_vessel_m", [1]Calc!$C:$C, 0)) - $F509 + $B509)</f>
        <v>1.9112508231881173</v>
      </c>
      <c r="K509" s="2" t="str">
        <f t="shared" si="23"/>
        <v>Even Keel</v>
      </c>
    </row>
    <row r="510" spans="1:11" x14ac:dyDescent="0.6">
      <c r="A510" s="2" t="str">
        <f>IF('December_Tide_2025 (2)'!A510="","",'December_Tide_2025 (2)'!A510)</f>
        <v>2025-12-22 04:00:00</v>
      </c>
      <c r="B510" s="3">
        <f>IF('December_Tide_2025 (2)'!B510="","",'December_Tide_2025 (2)'!B510)</f>
        <v>1.87</v>
      </c>
      <c r="C510" s="3">
        <f>IF($A510="","", INDEX([1]Calc!$E:$E, MATCH("KminusZ_m", [1]Calc!$C:$C, 0)) + $B510 - INDEX([1]Calc!$E:$E, MATCH("L_ramp_m", [1]Calc!$C:$C, 0)) * TAN(RADIANS(INDEX([1]Calc!$E:$E, MATCH("theta_max_deg", [1]Calc!$C:$C, 0)))))</f>
        <v>3.6087491768118825</v>
      </c>
      <c r="D510" s="3"/>
      <c r="E510" s="3">
        <f t="shared" si="21"/>
        <v>3.6087491768118825</v>
      </c>
      <c r="F510" s="3">
        <f t="shared" si="22"/>
        <v>3.6087491768118825</v>
      </c>
      <c r="G510" s="3">
        <f>IF($E510="","", DEGREES(ATAN((INDEX([1]Calc!$E:$E, MATCH("KminusZ_m", [1]Calc!$C:$C, 0)) - $E510 + $B510) / INDEX([1]Calc!$E:$E, MATCH("L_ramp_m", [1]Calc!$C:$C, 0)))))</f>
        <v>6.0000000000000009</v>
      </c>
      <c r="H510" s="2" t="str">
        <f>IF($E510="","", IF(AND($E510&gt;=INDEX([1]Calc!$E:$E, MATCH("min_fwd_draft_m", [1]Calc!$C:$C, 0)), $E510&lt;=INDEX([1]Calc!$E:$E, MATCH("max_fwd_draft_m", [1]Calc!$C:$C, 0)), $G510&lt;=INDEX([1]Calc!$E:$E, MATCH("theta_max_deg", [1]Calc!$C:$C, 0))), "OK", "CHECK"))</f>
        <v>CHECK</v>
      </c>
      <c r="I510" s="3">
        <f>IF($E510="","", INDEX([1]Calc!$E:$E, MATCH("D_vessel_m", [1]Calc!$C:$C, 0)) - $E510 + $B510)</f>
        <v>1.9112508231881176</v>
      </c>
      <c r="J510" s="3">
        <f>IF($F510="","", INDEX([1]Calc!$E:$E, MATCH("D_vessel_m", [1]Calc!$C:$C, 0)) - $F510 + $B510)</f>
        <v>1.9112508231881176</v>
      </c>
      <c r="K510" s="2" t="str">
        <f t="shared" si="23"/>
        <v>Even Keel</v>
      </c>
    </row>
    <row r="511" spans="1:11" x14ac:dyDescent="0.6">
      <c r="A511" s="2" t="str">
        <f>IF('December_Tide_2025 (2)'!A511="","",'December_Tide_2025 (2)'!A511)</f>
        <v>2025-12-22 05:00:00</v>
      </c>
      <c r="B511" s="3">
        <f>IF('December_Tide_2025 (2)'!B511="","",'December_Tide_2025 (2)'!B511)</f>
        <v>2.3199999999999998</v>
      </c>
      <c r="C511" s="3">
        <f>IF($A511="","", INDEX([1]Calc!$E:$E, MATCH("KminusZ_m", [1]Calc!$C:$C, 0)) + $B511 - INDEX([1]Calc!$E:$E, MATCH("L_ramp_m", [1]Calc!$C:$C, 0)) * TAN(RADIANS(INDEX([1]Calc!$E:$E, MATCH("theta_max_deg", [1]Calc!$C:$C, 0)))))</f>
        <v>4.0587491768118831</v>
      </c>
      <c r="D511" s="3"/>
      <c r="E511" s="3">
        <f t="shared" si="21"/>
        <v>4.0587491768118831</v>
      </c>
      <c r="F511" s="3">
        <f t="shared" si="22"/>
        <v>4.0587491768118831</v>
      </c>
      <c r="G511" s="3">
        <f>IF($E511="","", DEGREES(ATAN((INDEX([1]Calc!$E:$E, MATCH("KminusZ_m", [1]Calc!$C:$C, 0)) - $E511 + $B511) / INDEX([1]Calc!$E:$E, MATCH("L_ramp_m", [1]Calc!$C:$C, 0)))))</f>
        <v>5.9999999999999964</v>
      </c>
      <c r="H511" s="2" t="str">
        <f>IF($E511="","", IF(AND($E511&gt;=INDEX([1]Calc!$E:$E, MATCH("min_fwd_draft_m", [1]Calc!$C:$C, 0)), $E511&lt;=INDEX([1]Calc!$E:$E, MATCH("max_fwd_draft_m", [1]Calc!$C:$C, 0)), $G511&lt;=INDEX([1]Calc!$E:$E, MATCH("theta_max_deg", [1]Calc!$C:$C, 0))), "OK", "CHECK"))</f>
        <v>CHECK</v>
      </c>
      <c r="I511" s="3">
        <f>IF($E511="","", INDEX([1]Calc!$E:$E, MATCH("D_vessel_m", [1]Calc!$C:$C, 0)) - $E511 + $B511)</f>
        <v>1.9112508231881167</v>
      </c>
      <c r="J511" s="3">
        <f>IF($F511="","", INDEX([1]Calc!$E:$E, MATCH("D_vessel_m", [1]Calc!$C:$C, 0)) - $F511 + $B511)</f>
        <v>1.9112508231881167</v>
      </c>
      <c r="K511" s="2" t="str">
        <f t="shared" si="23"/>
        <v>Even Keel</v>
      </c>
    </row>
    <row r="512" spans="1:11" x14ac:dyDescent="0.6">
      <c r="A512" s="2" t="str">
        <f>IF('December_Tide_2025 (2)'!A512="","",'December_Tide_2025 (2)'!A512)</f>
        <v>2025-12-22 06:00:00</v>
      </c>
      <c r="B512" s="3">
        <f>IF('December_Tide_2025 (2)'!B512="","",'December_Tide_2025 (2)'!B512)</f>
        <v>2.63</v>
      </c>
      <c r="C512" s="3">
        <f>IF($A512="","", INDEX([1]Calc!$E:$E, MATCH("KminusZ_m", [1]Calc!$C:$C, 0)) + $B512 - INDEX([1]Calc!$E:$E, MATCH("L_ramp_m", [1]Calc!$C:$C, 0)) * TAN(RADIANS(INDEX([1]Calc!$E:$E, MATCH("theta_max_deg", [1]Calc!$C:$C, 0)))))</f>
        <v>4.3687491768118818</v>
      </c>
      <c r="D512" s="3"/>
      <c r="E512" s="3">
        <f t="shared" si="21"/>
        <v>4.3687491768118818</v>
      </c>
      <c r="F512" s="3">
        <f t="shared" si="22"/>
        <v>4.3687491768118818</v>
      </c>
      <c r="G512" s="3">
        <f>IF($E512="","", DEGREES(ATAN((INDEX([1]Calc!$E:$E, MATCH("KminusZ_m", [1]Calc!$C:$C, 0)) - $E512 + $B512) / INDEX([1]Calc!$E:$E, MATCH("L_ramp_m", [1]Calc!$C:$C, 0)))))</f>
        <v>6.0000000000000027</v>
      </c>
      <c r="H512" s="2" t="str">
        <f>IF($E512="","", IF(AND($E512&gt;=INDEX([1]Calc!$E:$E, MATCH("min_fwd_draft_m", [1]Calc!$C:$C, 0)), $E512&lt;=INDEX([1]Calc!$E:$E, MATCH("max_fwd_draft_m", [1]Calc!$C:$C, 0)), $G512&lt;=INDEX([1]Calc!$E:$E, MATCH("theta_max_deg", [1]Calc!$C:$C, 0))), "OK", "CHECK"))</f>
        <v>CHECK</v>
      </c>
      <c r="I512" s="3">
        <f>IF($E512="","", INDEX([1]Calc!$E:$E, MATCH("D_vessel_m", [1]Calc!$C:$C, 0)) - $E512 + $B512)</f>
        <v>1.911250823188118</v>
      </c>
      <c r="J512" s="3">
        <f>IF($F512="","", INDEX([1]Calc!$E:$E, MATCH("D_vessel_m", [1]Calc!$C:$C, 0)) - $F512 + $B512)</f>
        <v>1.911250823188118</v>
      </c>
      <c r="K512" s="2" t="str">
        <f t="shared" si="23"/>
        <v>Even Keel</v>
      </c>
    </row>
    <row r="513" spans="1:11" x14ac:dyDescent="0.6">
      <c r="A513" s="2" t="str">
        <f>IF('December_Tide_2025 (2)'!A513="","",'December_Tide_2025 (2)'!A513)</f>
        <v>2025-12-22 07:00:00</v>
      </c>
      <c r="B513" s="3">
        <f>IF('December_Tide_2025 (2)'!B513="","",'December_Tide_2025 (2)'!B513)</f>
        <v>2.74</v>
      </c>
      <c r="C513" s="3">
        <f>IF($A513="","", INDEX([1]Calc!$E:$E, MATCH("KminusZ_m", [1]Calc!$C:$C, 0)) + $B513 - INDEX([1]Calc!$E:$E, MATCH("L_ramp_m", [1]Calc!$C:$C, 0)) * TAN(RADIANS(INDEX([1]Calc!$E:$E, MATCH("theta_max_deg", [1]Calc!$C:$C, 0)))))</f>
        <v>4.478749176811883</v>
      </c>
      <c r="D513" s="3"/>
      <c r="E513" s="3">
        <f t="shared" si="21"/>
        <v>4.478749176811883</v>
      </c>
      <c r="F513" s="3">
        <f t="shared" si="22"/>
        <v>4.478749176811883</v>
      </c>
      <c r="G513" s="3">
        <f>IF($E513="","", DEGREES(ATAN((INDEX([1]Calc!$E:$E, MATCH("KminusZ_m", [1]Calc!$C:$C, 0)) - $E513 + $B513) / INDEX([1]Calc!$E:$E, MATCH("L_ramp_m", [1]Calc!$C:$C, 0)))))</f>
        <v>5.9999999999999982</v>
      </c>
      <c r="H513" s="2" t="str">
        <f>IF($E513="","", IF(AND($E513&gt;=INDEX([1]Calc!$E:$E, MATCH("min_fwd_draft_m", [1]Calc!$C:$C, 0)), $E513&lt;=INDEX([1]Calc!$E:$E, MATCH("max_fwd_draft_m", [1]Calc!$C:$C, 0)), $G513&lt;=INDEX([1]Calc!$E:$E, MATCH("theta_max_deg", [1]Calc!$C:$C, 0))), "OK", "CHECK"))</f>
        <v>CHECK</v>
      </c>
      <c r="I513" s="3">
        <f>IF($E513="","", INDEX([1]Calc!$E:$E, MATCH("D_vessel_m", [1]Calc!$C:$C, 0)) - $E513 + $B513)</f>
        <v>1.9112508231881171</v>
      </c>
      <c r="J513" s="3">
        <f>IF($F513="","", INDEX([1]Calc!$E:$E, MATCH("D_vessel_m", [1]Calc!$C:$C, 0)) - $F513 + $B513)</f>
        <v>1.9112508231881171</v>
      </c>
      <c r="K513" s="2" t="str">
        <f t="shared" si="23"/>
        <v>Even Keel</v>
      </c>
    </row>
    <row r="514" spans="1:11" x14ac:dyDescent="0.6">
      <c r="A514" s="2" t="str">
        <f>IF('December_Tide_2025 (2)'!A514="","",'December_Tide_2025 (2)'!A514)</f>
        <v>2025-12-22 08:00:00</v>
      </c>
      <c r="B514" s="3">
        <f>IF('December_Tide_2025 (2)'!B514="","",'December_Tide_2025 (2)'!B514)</f>
        <v>2.61</v>
      </c>
      <c r="C514" s="3">
        <f>IF($A514="","", INDEX([1]Calc!$E:$E, MATCH("KminusZ_m", [1]Calc!$C:$C, 0)) + $B514 - INDEX([1]Calc!$E:$E, MATCH("L_ramp_m", [1]Calc!$C:$C, 0)) * TAN(RADIANS(INDEX([1]Calc!$E:$E, MATCH("theta_max_deg", [1]Calc!$C:$C, 0)))))</f>
        <v>4.3487491768118822</v>
      </c>
      <c r="D514" s="3"/>
      <c r="E514" s="3">
        <f t="shared" ref="E514:E577" si="24">IF($C514="","", IF($D514="", $C514, $C514 - $D514/2))</f>
        <v>4.3487491768118822</v>
      </c>
      <c r="F514" s="3">
        <f t="shared" ref="F514:F577" si="25">IF($C514="","", IF($D514="", $C514, $C514 + $D514/2))</f>
        <v>4.3487491768118822</v>
      </c>
      <c r="G514" s="3">
        <f>IF($E514="","", DEGREES(ATAN((INDEX([1]Calc!$E:$E, MATCH("KminusZ_m", [1]Calc!$C:$C, 0)) - $E514 + $B514) / INDEX([1]Calc!$E:$E, MATCH("L_ramp_m", [1]Calc!$C:$C, 0)))))</f>
        <v>6.0000000000000009</v>
      </c>
      <c r="H514" s="2" t="str">
        <f>IF($E514="","", IF(AND($E514&gt;=INDEX([1]Calc!$E:$E, MATCH("min_fwd_draft_m", [1]Calc!$C:$C, 0)), $E514&lt;=INDEX([1]Calc!$E:$E, MATCH("max_fwd_draft_m", [1]Calc!$C:$C, 0)), $G514&lt;=INDEX([1]Calc!$E:$E, MATCH("theta_max_deg", [1]Calc!$C:$C, 0))), "OK", "CHECK"))</f>
        <v>CHECK</v>
      </c>
      <c r="I514" s="3">
        <f>IF($E514="","", INDEX([1]Calc!$E:$E, MATCH("D_vessel_m", [1]Calc!$C:$C, 0)) - $E514 + $B514)</f>
        <v>1.9112508231881176</v>
      </c>
      <c r="J514" s="3">
        <f>IF($F514="","", INDEX([1]Calc!$E:$E, MATCH("D_vessel_m", [1]Calc!$C:$C, 0)) - $F514 + $B514)</f>
        <v>1.9112508231881176</v>
      </c>
      <c r="K514" s="2" t="str">
        <f t="shared" ref="K514:K577" si="26">IF(D514=0, "Even Keel", "")</f>
        <v>Even Keel</v>
      </c>
    </row>
    <row r="515" spans="1:11" x14ac:dyDescent="0.6">
      <c r="A515" s="2" t="str">
        <f>IF('December_Tide_2025 (2)'!A515="","",'December_Tide_2025 (2)'!A515)</f>
        <v>2025-12-22 09:00:00</v>
      </c>
      <c r="B515" s="3">
        <f>IF('December_Tide_2025 (2)'!B515="","",'December_Tide_2025 (2)'!B515)</f>
        <v>2.27</v>
      </c>
      <c r="C515" s="3">
        <f>IF($A515="","", INDEX([1]Calc!$E:$E, MATCH("KminusZ_m", [1]Calc!$C:$C, 0)) + $B515 - INDEX([1]Calc!$E:$E, MATCH("L_ramp_m", [1]Calc!$C:$C, 0)) * TAN(RADIANS(INDEX([1]Calc!$E:$E, MATCH("theta_max_deg", [1]Calc!$C:$C, 0)))))</f>
        <v>4.0087491768118824</v>
      </c>
      <c r="D515" s="3"/>
      <c r="E515" s="3">
        <f t="shared" si="24"/>
        <v>4.0087491768118824</v>
      </c>
      <c r="F515" s="3">
        <f t="shared" si="25"/>
        <v>4.0087491768118824</v>
      </c>
      <c r="G515" s="3">
        <f>IF($E515="","", DEGREES(ATAN((INDEX([1]Calc!$E:$E, MATCH("KminusZ_m", [1]Calc!$C:$C, 0)) - $E515 + $B515) / INDEX([1]Calc!$E:$E, MATCH("L_ramp_m", [1]Calc!$C:$C, 0)))))</f>
        <v>6.0000000000000009</v>
      </c>
      <c r="H515" s="2" t="str">
        <f>IF($E515="","", IF(AND($E515&gt;=INDEX([1]Calc!$E:$E, MATCH("min_fwd_draft_m", [1]Calc!$C:$C, 0)), $E515&lt;=INDEX([1]Calc!$E:$E, MATCH("max_fwd_draft_m", [1]Calc!$C:$C, 0)), $G515&lt;=INDEX([1]Calc!$E:$E, MATCH("theta_max_deg", [1]Calc!$C:$C, 0))), "OK", "CHECK"))</f>
        <v>CHECK</v>
      </c>
      <c r="I515" s="3">
        <f>IF($E515="","", INDEX([1]Calc!$E:$E, MATCH("D_vessel_m", [1]Calc!$C:$C, 0)) - $E515 + $B515)</f>
        <v>1.9112508231881176</v>
      </c>
      <c r="J515" s="3">
        <f>IF($F515="","", INDEX([1]Calc!$E:$E, MATCH("D_vessel_m", [1]Calc!$C:$C, 0)) - $F515 + $B515)</f>
        <v>1.9112508231881176</v>
      </c>
      <c r="K515" s="2" t="str">
        <f t="shared" si="26"/>
        <v>Even Keel</v>
      </c>
    </row>
    <row r="516" spans="1:11" x14ac:dyDescent="0.6">
      <c r="A516" s="2" t="str">
        <f>IF('December_Tide_2025 (2)'!A516="","",'December_Tide_2025 (2)'!A516)</f>
        <v>2025-12-22 10:00:00</v>
      </c>
      <c r="B516" s="3">
        <f>IF('December_Tide_2025 (2)'!B516="","",'December_Tide_2025 (2)'!B516)</f>
        <v>1.82</v>
      </c>
      <c r="C516" s="3">
        <f>IF($A516="","", INDEX([1]Calc!$E:$E, MATCH("KminusZ_m", [1]Calc!$C:$C, 0)) + $B516 - INDEX([1]Calc!$E:$E, MATCH("L_ramp_m", [1]Calc!$C:$C, 0)) * TAN(RADIANS(INDEX([1]Calc!$E:$E, MATCH("theta_max_deg", [1]Calc!$C:$C, 0)))))</f>
        <v>3.5587491768118826</v>
      </c>
      <c r="D516" s="3"/>
      <c r="E516" s="3">
        <f t="shared" si="24"/>
        <v>3.5587491768118826</v>
      </c>
      <c r="F516" s="3">
        <f t="shared" si="25"/>
        <v>3.5587491768118826</v>
      </c>
      <c r="G516" s="3">
        <f>IF($E516="","", DEGREES(ATAN((INDEX([1]Calc!$E:$E, MATCH("KminusZ_m", [1]Calc!$C:$C, 0)) - $E516 + $B516) / INDEX([1]Calc!$E:$E, MATCH("L_ramp_m", [1]Calc!$C:$C, 0)))))</f>
        <v>6</v>
      </c>
      <c r="H516" s="2" t="str">
        <f>IF($E516="","", IF(AND($E516&gt;=INDEX([1]Calc!$E:$E, MATCH("min_fwd_draft_m", [1]Calc!$C:$C, 0)), $E516&lt;=INDEX([1]Calc!$E:$E, MATCH("max_fwd_draft_m", [1]Calc!$C:$C, 0)), $G516&lt;=INDEX([1]Calc!$E:$E, MATCH("theta_max_deg", [1]Calc!$C:$C, 0))), "OK", "CHECK"))</f>
        <v>CHECK</v>
      </c>
      <c r="I516" s="3">
        <f>IF($E516="","", INDEX([1]Calc!$E:$E, MATCH("D_vessel_m", [1]Calc!$C:$C, 0)) - $E516 + $B516)</f>
        <v>1.9112508231881173</v>
      </c>
      <c r="J516" s="3">
        <f>IF($F516="","", INDEX([1]Calc!$E:$E, MATCH("D_vessel_m", [1]Calc!$C:$C, 0)) - $F516 + $B516)</f>
        <v>1.9112508231881173</v>
      </c>
      <c r="K516" s="2" t="str">
        <f t="shared" si="26"/>
        <v>Even Keel</v>
      </c>
    </row>
    <row r="517" spans="1:11" x14ac:dyDescent="0.6">
      <c r="A517" s="2" t="str">
        <f>IF('December_Tide_2025 (2)'!A517="","",'December_Tide_2025 (2)'!A517)</f>
        <v>2025-12-22 11:00:00</v>
      </c>
      <c r="B517" s="3">
        <f>IF('December_Tide_2025 (2)'!B517="","",'December_Tide_2025 (2)'!B517)</f>
        <v>1.36</v>
      </c>
      <c r="C517" s="3">
        <f>IF($A517="","", INDEX([1]Calc!$E:$E, MATCH("KminusZ_m", [1]Calc!$C:$C, 0)) + $B517 - INDEX([1]Calc!$E:$E, MATCH("L_ramp_m", [1]Calc!$C:$C, 0)) * TAN(RADIANS(INDEX([1]Calc!$E:$E, MATCH("theta_max_deg", [1]Calc!$C:$C, 0)))))</f>
        <v>3.0987491768118827</v>
      </c>
      <c r="D517" s="3"/>
      <c r="E517" s="3">
        <f t="shared" si="24"/>
        <v>3.0987491768118827</v>
      </c>
      <c r="F517" s="3">
        <f t="shared" si="25"/>
        <v>3.0987491768118827</v>
      </c>
      <c r="G517" s="3">
        <f>IF($E517="","", DEGREES(ATAN((INDEX([1]Calc!$E:$E, MATCH("KminusZ_m", [1]Calc!$C:$C, 0)) - $E517 + $B517) / INDEX([1]Calc!$E:$E, MATCH("L_ramp_m", [1]Calc!$C:$C, 0)))))</f>
        <v>6</v>
      </c>
      <c r="H517" s="2" t="str">
        <f>IF($E517="","", IF(AND($E517&gt;=INDEX([1]Calc!$E:$E, MATCH("min_fwd_draft_m", [1]Calc!$C:$C, 0)), $E517&lt;=INDEX([1]Calc!$E:$E, MATCH("max_fwd_draft_m", [1]Calc!$C:$C, 0)), $G517&lt;=INDEX([1]Calc!$E:$E, MATCH("theta_max_deg", [1]Calc!$C:$C, 0))), "OK", "CHECK"))</f>
        <v>OK</v>
      </c>
      <c r="I517" s="3">
        <f>IF($E517="","", INDEX([1]Calc!$E:$E, MATCH("D_vessel_m", [1]Calc!$C:$C, 0)) - $E517 + $B517)</f>
        <v>1.9112508231881173</v>
      </c>
      <c r="J517" s="3">
        <f>IF($F517="","", INDEX([1]Calc!$E:$E, MATCH("D_vessel_m", [1]Calc!$C:$C, 0)) - $F517 + $B517)</f>
        <v>1.9112508231881173</v>
      </c>
      <c r="K517" s="2" t="str">
        <f t="shared" si="26"/>
        <v>Even Keel</v>
      </c>
    </row>
    <row r="518" spans="1:11" x14ac:dyDescent="0.6">
      <c r="A518" s="2" t="str">
        <f>IF('December_Tide_2025 (2)'!A518="","",'December_Tide_2025 (2)'!A518)</f>
        <v>2025-12-22 12:00:00</v>
      </c>
      <c r="B518" s="3">
        <f>IF('December_Tide_2025 (2)'!B518="","",'December_Tide_2025 (2)'!B518)</f>
        <v>1.02</v>
      </c>
      <c r="C518" s="3">
        <f>IF($A518="","", INDEX([1]Calc!$E:$E, MATCH("KminusZ_m", [1]Calc!$C:$C, 0)) + $B518 - INDEX([1]Calc!$E:$E, MATCH("L_ramp_m", [1]Calc!$C:$C, 0)) * TAN(RADIANS(INDEX([1]Calc!$E:$E, MATCH("theta_max_deg", [1]Calc!$C:$C, 0)))))</f>
        <v>2.7587491768118819</v>
      </c>
      <c r="D518" s="3"/>
      <c r="E518" s="3">
        <f t="shared" si="24"/>
        <v>2.7587491768118819</v>
      </c>
      <c r="F518" s="3">
        <f t="shared" si="25"/>
        <v>2.7587491768118819</v>
      </c>
      <c r="G518" s="3">
        <f>IF($E518="","", DEGREES(ATAN((INDEX([1]Calc!$E:$E, MATCH("KminusZ_m", [1]Calc!$C:$C, 0)) - $E518 + $B518) / INDEX([1]Calc!$E:$E, MATCH("L_ramp_m", [1]Calc!$C:$C, 0)))))</f>
        <v>6.0000000000000027</v>
      </c>
      <c r="H518" s="2" t="str">
        <f>IF($E518="","", IF(AND($E518&gt;=INDEX([1]Calc!$E:$E, MATCH("min_fwd_draft_m", [1]Calc!$C:$C, 0)), $E518&lt;=INDEX([1]Calc!$E:$E, MATCH("max_fwd_draft_m", [1]Calc!$C:$C, 0)), $G518&lt;=INDEX([1]Calc!$E:$E, MATCH("theta_max_deg", [1]Calc!$C:$C, 0))), "OK", "CHECK"))</f>
        <v>OK</v>
      </c>
      <c r="I518" s="3">
        <f>IF($E518="","", INDEX([1]Calc!$E:$E, MATCH("D_vessel_m", [1]Calc!$C:$C, 0)) - $E518 + $B518)</f>
        <v>1.911250823188118</v>
      </c>
      <c r="J518" s="3">
        <f>IF($F518="","", INDEX([1]Calc!$E:$E, MATCH("D_vessel_m", [1]Calc!$C:$C, 0)) - $F518 + $B518)</f>
        <v>1.911250823188118</v>
      </c>
      <c r="K518" s="2" t="str">
        <f t="shared" si="26"/>
        <v>Even Keel</v>
      </c>
    </row>
    <row r="519" spans="1:11" x14ac:dyDescent="0.6">
      <c r="A519" s="2" t="str">
        <f>IF('December_Tide_2025 (2)'!A519="","",'December_Tide_2025 (2)'!A519)</f>
        <v>2025-12-22 13:00:00</v>
      </c>
      <c r="B519" s="3">
        <f>IF('December_Tide_2025 (2)'!B519="","",'December_Tide_2025 (2)'!B519)</f>
        <v>0.87</v>
      </c>
      <c r="C519" s="3">
        <f>IF($A519="","", INDEX([1]Calc!$E:$E, MATCH("KminusZ_m", [1]Calc!$C:$C, 0)) + $B519 - INDEX([1]Calc!$E:$E, MATCH("L_ramp_m", [1]Calc!$C:$C, 0)) * TAN(RADIANS(INDEX([1]Calc!$E:$E, MATCH("theta_max_deg", [1]Calc!$C:$C, 0)))))</f>
        <v>2.6087491768118825</v>
      </c>
      <c r="D519" s="3"/>
      <c r="E519" s="3">
        <f t="shared" si="24"/>
        <v>2.6087491768118825</v>
      </c>
      <c r="F519" s="3">
        <f t="shared" si="25"/>
        <v>2.6087491768118825</v>
      </c>
      <c r="G519" s="3">
        <f>IF($E519="","", DEGREES(ATAN((INDEX([1]Calc!$E:$E, MATCH("KminusZ_m", [1]Calc!$C:$C, 0)) - $E519 + $B519) / INDEX([1]Calc!$E:$E, MATCH("L_ramp_m", [1]Calc!$C:$C, 0)))))</f>
        <v>6.0000000000000009</v>
      </c>
      <c r="H519" s="2" t="str">
        <f>IF($E519="","", IF(AND($E519&gt;=INDEX([1]Calc!$E:$E, MATCH("min_fwd_draft_m", [1]Calc!$C:$C, 0)), $E519&lt;=INDEX([1]Calc!$E:$E, MATCH("max_fwd_draft_m", [1]Calc!$C:$C, 0)), $G519&lt;=INDEX([1]Calc!$E:$E, MATCH("theta_max_deg", [1]Calc!$C:$C, 0))), "OK", "CHECK"))</f>
        <v>OK</v>
      </c>
      <c r="I519" s="3">
        <f>IF($E519="","", INDEX([1]Calc!$E:$E, MATCH("D_vessel_m", [1]Calc!$C:$C, 0)) - $E519 + $B519)</f>
        <v>1.9112508231881176</v>
      </c>
      <c r="J519" s="3">
        <f>IF($F519="","", INDEX([1]Calc!$E:$E, MATCH("D_vessel_m", [1]Calc!$C:$C, 0)) - $F519 + $B519)</f>
        <v>1.9112508231881176</v>
      </c>
      <c r="K519" s="2" t="str">
        <f t="shared" si="26"/>
        <v>Even Keel</v>
      </c>
    </row>
    <row r="520" spans="1:11" x14ac:dyDescent="0.6">
      <c r="A520" s="2" t="str">
        <f>IF('December_Tide_2025 (2)'!A520="","",'December_Tide_2025 (2)'!A520)</f>
        <v>2025-12-22 14:00:00</v>
      </c>
      <c r="B520" s="3">
        <f>IF('December_Tide_2025 (2)'!B520="","",'December_Tide_2025 (2)'!B520)</f>
        <v>0.95</v>
      </c>
      <c r="C520" s="3">
        <f>IF($A520="","", INDEX([1]Calc!$E:$E, MATCH("KminusZ_m", [1]Calc!$C:$C, 0)) + $B520 - INDEX([1]Calc!$E:$E, MATCH("L_ramp_m", [1]Calc!$C:$C, 0)) * TAN(RADIANS(INDEX([1]Calc!$E:$E, MATCH("theta_max_deg", [1]Calc!$C:$C, 0)))))</f>
        <v>2.6887491768118825</v>
      </c>
      <c r="D520" s="3"/>
      <c r="E520" s="3">
        <f t="shared" si="24"/>
        <v>2.6887491768118825</v>
      </c>
      <c r="F520" s="3">
        <f t="shared" si="25"/>
        <v>2.6887491768118825</v>
      </c>
      <c r="G520" s="3">
        <f>IF($E520="","", DEGREES(ATAN((INDEX([1]Calc!$E:$E, MATCH("KminusZ_m", [1]Calc!$C:$C, 0)) - $E520 + $B520) / INDEX([1]Calc!$E:$E, MATCH("L_ramp_m", [1]Calc!$C:$C, 0)))))</f>
        <v>6</v>
      </c>
      <c r="H520" s="2" t="str">
        <f>IF($E520="","", IF(AND($E520&gt;=INDEX([1]Calc!$E:$E, MATCH("min_fwd_draft_m", [1]Calc!$C:$C, 0)), $E520&lt;=INDEX([1]Calc!$E:$E, MATCH("max_fwd_draft_m", [1]Calc!$C:$C, 0)), $G520&lt;=INDEX([1]Calc!$E:$E, MATCH("theta_max_deg", [1]Calc!$C:$C, 0))), "OK", "CHECK"))</f>
        <v>OK</v>
      </c>
      <c r="I520" s="3">
        <f>IF($E520="","", INDEX([1]Calc!$E:$E, MATCH("D_vessel_m", [1]Calc!$C:$C, 0)) - $E520 + $B520)</f>
        <v>1.9112508231881173</v>
      </c>
      <c r="J520" s="3">
        <f>IF($F520="","", INDEX([1]Calc!$E:$E, MATCH("D_vessel_m", [1]Calc!$C:$C, 0)) - $F520 + $B520)</f>
        <v>1.9112508231881173</v>
      </c>
      <c r="K520" s="2" t="str">
        <f t="shared" si="26"/>
        <v>Even Keel</v>
      </c>
    </row>
    <row r="521" spans="1:11" x14ac:dyDescent="0.6">
      <c r="A521" s="2" t="str">
        <f>IF('December_Tide_2025 (2)'!A521="","",'December_Tide_2025 (2)'!A521)</f>
        <v>2025-12-22 15:00:00</v>
      </c>
      <c r="B521" s="3">
        <f>IF('December_Tide_2025 (2)'!B521="","",'December_Tide_2025 (2)'!B521)</f>
        <v>1.25</v>
      </c>
      <c r="C521" s="3">
        <f>IF($A521="","", INDEX([1]Calc!$E:$E, MATCH("KminusZ_m", [1]Calc!$C:$C, 0)) + $B521 - INDEX([1]Calc!$E:$E, MATCH("L_ramp_m", [1]Calc!$C:$C, 0)) * TAN(RADIANS(INDEX([1]Calc!$E:$E, MATCH("theta_max_deg", [1]Calc!$C:$C, 0)))))</f>
        <v>2.9887491768118823</v>
      </c>
      <c r="D521" s="3"/>
      <c r="E521" s="3">
        <f t="shared" si="24"/>
        <v>2.9887491768118823</v>
      </c>
      <c r="F521" s="3">
        <f t="shared" si="25"/>
        <v>2.9887491768118823</v>
      </c>
      <c r="G521" s="3">
        <f>IF($E521="","", DEGREES(ATAN((INDEX([1]Calc!$E:$E, MATCH("KminusZ_m", [1]Calc!$C:$C, 0)) - $E521 + $B521) / INDEX([1]Calc!$E:$E, MATCH("L_ramp_m", [1]Calc!$C:$C, 0)))))</f>
        <v>6.0000000000000009</v>
      </c>
      <c r="H521" s="2" t="str">
        <f>IF($E521="","", IF(AND($E521&gt;=INDEX([1]Calc!$E:$E, MATCH("min_fwd_draft_m", [1]Calc!$C:$C, 0)), $E521&lt;=INDEX([1]Calc!$E:$E, MATCH("max_fwd_draft_m", [1]Calc!$C:$C, 0)), $G521&lt;=INDEX([1]Calc!$E:$E, MATCH("theta_max_deg", [1]Calc!$C:$C, 0))), "OK", "CHECK"))</f>
        <v>OK</v>
      </c>
      <c r="I521" s="3">
        <f>IF($E521="","", INDEX([1]Calc!$E:$E, MATCH("D_vessel_m", [1]Calc!$C:$C, 0)) - $E521 + $B521)</f>
        <v>1.9112508231881176</v>
      </c>
      <c r="J521" s="3">
        <f>IF($F521="","", INDEX([1]Calc!$E:$E, MATCH("D_vessel_m", [1]Calc!$C:$C, 0)) - $F521 + $B521)</f>
        <v>1.9112508231881176</v>
      </c>
      <c r="K521" s="2" t="str">
        <f t="shared" si="26"/>
        <v>Even Keel</v>
      </c>
    </row>
    <row r="522" spans="1:11" x14ac:dyDescent="0.6">
      <c r="A522" s="2" t="str">
        <f>IF('December_Tide_2025 (2)'!A522="","",'December_Tide_2025 (2)'!A522)</f>
        <v>2025-12-22 16:00:00</v>
      </c>
      <c r="B522" s="3">
        <f>IF('December_Tide_2025 (2)'!B522="","",'December_Tide_2025 (2)'!B522)</f>
        <v>1.68</v>
      </c>
      <c r="C522" s="3">
        <f>IF($A522="","", INDEX([1]Calc!$E:$E, MATCH("KminusZ_m", [1]Calc!$C:$C, 0)) + $B522 - INDEX([1]Calc!$E:$E, MATCH("L_ramp_m", [1]Calc!$C:$C, 0)) * TAN(RADIANS(INDEX([1]Calc!$E:$E, MATCH("theta_max_deg", [1]Calc!$C:$C, 0)))))</f>
        <v>3.4187491768118821</v>
      </c>
      <c r="D522" s="3"/>
      <c r="E522" s="3">
        <f t="shared" si="24"/>
        <v>3.4187491768118821</v>
      </c>
      <c r="F522" s="3">
        <f t="shared" si="25"/>
        <v>3.4187491768118821</v>
      </c>
      <c r="G522" s="3">
        <f>IF($E522="","", DEGREES(ATAN((INDEX([1]Calc!$E:$E, MATCH("KminusZ_m", [1]Calc!$C:$C, 0)) - $E522 + $B522) / INDEX([1]Calc!$E:$E, MATCH("L_ramp_m", [1]Calc!$C:$C, 0)))))</f>
        <v>6.0000000000000009</v>
      </c>
      <c r="H522" s="2" t="str">
        <f>IF($E522="","", IF(AND($E522&gt;=INDEX([1]Calc!$E:$E, MATCH("min_fwd_draft_m", [1]Calc!$C:$C, 0)), $E522&lt;=INDEX([1]Calc!$E:$E, MATCH("max_fwd_draft_m", [1]Calc!$C:$C, 0)), $G522&lt;=INDEX([1]Calc!$E:$E, MATCH("theta_max_deg", [1]Calc!$C:$C, 0))), "OK", "CHECK"))</f>
        <v>OK</v>
      </c>
      <c r="I522" s="3">
        <f>IF($E522="","", INDEX([1]Calc!$E:$E, MATCH("D_vessel_m", [1]Calc!$C:$C, 0)) - $E522 + $B522)</f>
        <v>1.9112508231881178</v>
      </c>
      <c r="J522" s="3">
        <f>IF($F522="","", INDEX([1]Calc!$E:$E, MATCH("D_vessel_m", [1]Calc!$C:$C, 0)) - $F522 + $B522)</f>
        <v>1.9112508231881178</v>
      </c>
      <c r="K522" s="2" t="str">
        <f t="shared" si="26"/>
        <v>Even Keel</v>
      </c>
    </row>
    <row r="523" spans="1:11" x14ac:dyDescent="0.6">
      <c r="A523" s="2" t="str">
        <f>IF('December_Tide_2025 (2)'!A523="","",'December_Tide_2025 (2)'!A523)</f>
        <v>2025-12-22 17:00:00</v>
      </c>
      <c r="B523" s="3">
        <f>IF('December_Tide_2025 (2)'!B523="","",'December_Tide_2025 (2)'!B523)</f>
        <v>2.15</v>
      </c>
      <c r="C523" s="3">
        <f>IF($A523="","", INDEX([1]Calc!$E:$E, MATCH("KminusZ_m", [1]Calc!$C:$C, 0)) + $B523 - INDEX([1]Calc!$E:$E, MATCH("L_ramp_m", [1]Calc!$C:$C, 0)) * TAN(RADIANS(INDEX([1]Calc!$E:$E, MATCH("theta_max_deg", [1]Calc!$C:$C, 0)))))</f>
        <v>3.8887491768118827</v>
      </c>
      <c r="D523" s="3"/>
      <c r="E523" s="3">
        <f t="shared" si="24"/>
        <v>3.8887491768118827</v>
      </c>
      <c r="F523" s="3">
        <f t="shared" si="25"/>
        <v>3.8887491768118827</v>
      </c>
      <c r="G523" s="3">
        <f>IF($E523="","", DEGREES(ATAN((INDEX([1]Calc!$E:$E, MATCH("KminusZ_m", [1]Calc!$C:$C, 0)) - $E523 + $B523) / INDEX([1]Calc!$E:$E, MATCH("L_ramp_m", [1]Calc!$C:$C, 0)))))</f>
        <v>5.9999999999999982</v>
      </c>
      <c r="H523" s="2" t="str">
        <f>IF($E523="","", IF(AND($E523&gt;=INDEX([1]Calc!$E:$E, MATCH("min_fwd_draft_m", [1]Calc!$C:$C, 0)), $E523&lt;=INDEX([1]Calc!$E:$E, MATCH("max_fwd_draft_m", [1]Calc!$C:$C, 0)), $G523&lt;=INDEX([1]Calc!$E:$E, MATCH("theta_max_deg", [1]Calc!$C:$C, 0))), "OK", "CHECK"))</f>
        <v>CHECK</v>
      </c>
      <c r="I523" s="3">
        <f>IF($E523="","", INDEX([1]Calc!$E:$E, MATCH("D_vessel_m", [1]Calc!$C:$C, 0)) - $E523 + $B523)</f>
        <v>1.9112508231881171</v>
      </c>
      <c r="J523" s="3">
        <f>IF($F523="","", INDEX([1]Calc!$E:$E, MATCH("D_vessel_m", [1]Calc!$C:$C, 0)) - $F523 + $B523)</f>
        <v>1.9112508231881171</v>
      </c>
      <c r="K523" s="2" t="str">
        <f t="shared" si="26"/>
        <v>Even Keel</v>
      </c>
    </row>
    <row r="524" spans="1:11" x14ac:dyDescent="0.6">
      <c r="A524" s="2" t="str">
        <f>IF('December_Tide_2025 (2)'!A524="","",'December_Tide_2025 (2)'!A524)</f>
        <v>2025-12-22 18:00:00</v>
      </c>
      <c r="B524" s="3">
        <f>IF('December_Tide_2025 (2)'!B524="","",'December_Tide_2025 (2)'!B524)</f>
        <v>2.5299999999999998</v>
      </c>
      <c r="C524" s="3">
        <f>IF($A524="","", INDEX([1]Calc!$E:$E, MATCH("KminusZ_m", [1]Calc!$C:$C, 0)) + $B524 - INDEX([1]Calc!$E:$E, MATCH("L_ramp_m", [1]Calc!$C:$C, 0)) * TAN(RADIANS(INDEX([1]Calc!$E:$E, MATCH("theta_max_deg", [1]Calc!$C:$C, 0)))))</f>
        <v>4.2687491768118822</v>
      </c>
      <c r="D524" s="3"/>
      <c r="E524" s="3">
        <f t="shared" si="24"/>
        <v>4.2687491768118822</v>
      </c>
      <c r="F524" s="3">
        <f t="shared" si="25"/>
        <v>4.2687491768118822</v>
      </c>
      <c r="G524" s="3">
        <f>IF($E524="","", DEGREES(ATAN((INDEX([1]Calc!$E:$E, MATCH("KminusZ_m", [1]Calc!$C:$C, 0)) - $E524 + $B524) / INDEX([1]Calc!$E:$E, MATCH("L_ramp_m", [1]Calc!$C:$C, 0)))))</f>
        <v>6.0000000000000009</v>
      </c>
      <c r="H524" s="2" t="str">
        <f>IF($E524="","", IF(AND($E524&gt;=INDEX([1]Calc!$E:$E, MATCH("min_fwd_draft_m", [1]Calc!$C:$C, 0)), $E524&lt;=INDEX([1]Calc!$E:$E, MATCH("max_fwd_draft_m", [1]Calc!$C:$C, 0)), $G524&lt;=INDEX([1]Calc!$E:$E, MATCH("theta_max_deg", [1]Calc!$C:$C, 0))), "OK", "CHECK"))</f>
        <v>CHECK</v>
      </c>
      <c r="I524" s="3">
        <f>IF($E524="","", INDEX([1]Calc!$E:$E, MATCH("D_vessel_m", [1]Calc!$C:$C, 0)) - $E524 + $B524)</f>
        <v>1.9112508231881176</v>
      </c>
      <c r="J524" s="3">
        <f>IF($F524="","", INDEX([1]Calc!$E:$E, MATCH("D_vessel_m", [1]Calc!$C:$C, 0)) - $F524 + $B524)</f>
        <v>1.9112508231881176</v>
      </c>
      <c r="K524" s="2" t="str">
        <f t="shared" si="26"/>
        <v>Even Keel</v>
      </c>
    </row>
    <row r="525" spans="1:11" x14ac:dyDescent="0.6">
      <c r="A525" s="2" t="str">
        <f>IF('December_Tide_2025 (2)'!A525="","",'December_Tide_2025 (2)'!A525)</f>
        <v>2025-12-22 19:00:00</v>
      </c>
      <c r="B525" s="3">
        <f>IF('December_Tide_2025 (2)'!B525="","",'December_Tide_2025 (2)'!B525)</f>
        <v>2.72</v>
      </c>
      <c r="C525" s="3">
        <f>IF($A525="","", INDEX([1]Calc!$E:$E, MATCH("KminusZ_m", [1]Calc!$C:$C, 0)) + $B525 - INDEX([1]Calc!$E:$E, MATCH("L_ramp_m", [1]Calc!$C:$C, 0)) * TAN(RADIANS(INDEX([1]Calc!$E:$E, MATCH("theta_max_deg", [1]Calc!$C:$C, 0)))))</f>
        <v>4.4587491768118834</v>
      </c>
      <c r="D525" s="3"/>
      <c r="E525" s="3">
        <f t="shared" si="24"/>
        <v>4.4587491768118834</v>
      </c>
      <c r="F525" s="3">
        <f t="shared" si="25"/>
        <v>4.4587491768118834</v>
      </c>
      <c r="G525" s="3">
        <f>IF($E525="","", DEGREES(ATAN((INDEX([1]Calc!$E:$E, MATCH("KminusZ_m", [1]Calc!$C:$C, 0)) - $E525 + $B525) / INDEX([1]Calc!$E:$E, MATCH("L_ramp_m", [1]Calc!$C:$C, 0)))))</f>
        <v>5.9999999999999964</v>
      </c>
      <c r="H525" s="2" t="str">
        <f>IF($E525="","", IF(AND($E525&gt;=INDEX([1]Calc!$E:$E, MATCH("min_fwd_draft_m", [1]Calc!$C:$C, 0)), $E525&lt;=INDEX([1]Calc!$E:$E, MATCH("max_fwd_draft_m", [1]Calc!$C:$C, 0)), $G525&lt;=INDEX([1]Calc!$E:$E, MATCH("theta_max_deg", [1]Calc!$C:$C, 0))), "OK", "CHECK"))</f>
        <v>CHECK</v>
      </c>
      <c r="I525" s="3">
        <f>IF($E525="","", INDEX([1]Calc!$E:$E, MATCH("D_vessel_m", [1]Calc!$C:$C, 0)) - $E525 + $B525)</f>
        <v>1.9112508231881167</v>
      </c>
      <c r="J525" s="3">
        <f>IF($F525="","", INDEX([1]Calc!$E:$E, MATCH("D_vessel_m", [1]Calc!$C:$C, 0)) - $F525 + $B525)</f>
        <v>1.9112508231881167</v>
      </c>
      <c r="K525" s="2" t="str">
        <f t="shared" si="26"/>
        <v>Even Keel</v>
      </c>
    </row>
    <row r="526" spans="1:11" x14ac:dyDescent="0.6">
      <c r="A526" s="2" t="str">
        <f>IF('December_Tide_2025 (2)'!A526="","",'December_Tide_2025 (2)'!A526)</f>
        <v>2025-12-22 20:00:00</v>
      </c>
      <c r="B526" s="3">
        <f>IF('December_Tide_2025 (2)'!B526="","",'December_Tide_2025 (2)'!B526)</f>
        <v>2.69</v>
      </c>
      <c r="C526" s="3">
        <f>IF($A526="","", INDEX([1]Calc!$E:$E, MATCH("KminusZ_m", [1]Calc!$C:$C, 0)) + $B526 - INDEX([1]Calc!$E:$E, MATCH("L_ramp_m", [1]Calc!$C:$C, 0)) * TAN(RADIANS(INDEX([1]Calc!$E:$E, MATCH("theta_max_deg", [1]Calc!$C:$C, 0)))))</f>
        <v>4.4287491768118823</v>
      </c>
      <c r="D526" s="3"/>
      <c r="E526" s="3">
        <f t="shared" si="24"/>
        <v>4.4287491768118823</v>
      </c>
      <c r="F526" s="3">
        <f t="shared" si="25"/>
        <v>4.4287491768118823</v>
      </c>
      <c r="G526" s="3">
        <f>IF($E526="","", DEGREES(ATAN((INDEX([1]Calc!$E:$E, MATCH("KminusZ_m", [1]Calc!$C:$C, 0)) - $E526 + $B526) / INDEX([1]Calc!$E:$E, MATCH("L_ramp_m", [1]Calc!$C:$C, 0)))))</f>
        <v>6.0000000000000009</v>
      </c>
      <c r="H526" s="2" t="str">
        <f>IF($E526="","", IF(AND($E526&gt;=INDEX([1]Calc!$E:$E, MATCH("min_fwd_draft_m", [1]Calc!$C:$C, 0)), $E526&lt;=INDEX([1]Calc!$E:$E, MATCH("max_fwd_draft_m", [1]Calc!$C:$C, 0)), $G526&lt;=INDEX([1]Calc!$E:$E, MATCH("theta_max_deg", [1]Calc!$C:$C, 0))), "OK", "CHECK"))</f>
        <v>CHECK</v>
      </c>
      <c r="I526" s="3">
        <f>IF($E526="","", INDEX([1]Calc!$E:$E, MATCH("D_vessel_m", [1]Calc!$C:$C, 0)) - $E526 + $B526)</f>
        <v>1.9112508231881176</v>
      </c>
      <c r="J526" s="3">
        <f>IF($F526="","", INDEX([1]Calc!$E:$E, MATCH("D_vessel_m", [1]Calc!$C:$C, 0)) - $F526 + $B526)</f>
        <v>1.9112508231881176</v>
      </c>
      <c r="K526" s="2" t="str">
        <f t="shared" si="26"/>
        <v>Even Keel</v>
      </c>
    </row>
    <row r="527" spans="1:11" x14ac:dyDescent="0.6">
      <c r="A527" s="2" t="str">
        <f>IF('December_Tide_2025 (2)'!A527="","",'December_Tide_2025 (2)'!A527)</f>
        <v>2025-12-22 21:00:00</v>
      </c>
      <c r="B527" s="3">
        <f>IF('December_Tide_2025 (2)'!B527="","",'December_Tide_2025 (2)'!B527)</f>
        <v>2.4300000000000002</v>
      </c>
      <c r="C527" s="3">
        <f>IF($A527="","", INDEX([1]Calc!$E:$E, MATCH("KminusZ_m", [1]Calc!$C:$C, 0)) + $B527 - INDEX([1]Calc!$E:$E, MATCH("L_ramp_m", [1]Calc!$C:$C, 0)) * TAN(RADIANS(INDEX([1]Calc!$E:$E, MATCH("theta_max_deg", [1]Calc!$C:$C, 0)))))</f>
        <v>4.1687491768118825</v>
      </c>
      <c r="D527" s="3"/>
      <c r="E527" s="3">
        <f t="shared" si="24"/>
        <v>4.1687491768118825</v>
      </c>
      <c r="F527" s="3">
        <f t="shared" si="25"/>
        <v>4.1687491768118825</v>
      </c>
      <c r="G527" s="3">
        <f>IF($E527="","", DEGREES(ATAN((INDEX([1]Calc!$E:$E, MATCH("KminusZ_m", [1]Calc!$C:$C, 0)) - $E527 + $B527) / INDEX([1]Calc!$E:$E, MATCH("L_ramp_m", [1]Calc!$C:$C, 0)))))</f>
        <v>6.0000000000000009</v>
      </c>
      <c r="H527" s="2" t="str">
        <f>IF($E527="","", IF(AND($E527&gt;=INDEX([1]Calc!$E:$E, MATCH("min_fwd_draft_m", [1]Calc!$C:$C, 0)), $E527&lt;=INDEX([1]Calc!$E:$E, MATCH("max_fwd_draft_m", [1]Calc!$C:$C, 0)), $G527&lt;=INDEX([1]Calc!$E:$E, MATCH("theta_max_deg", [1]Calc!$C:$C, 0))), "OK", "CHECK"))</f>
        <v>CHECK</v>
      </c>
      <c r="I527" s="3">
        <f>IF($E527="","", INDEX([1]Calc!$E:$E, MATCH("D_vessel_m", [1]Calc!$C:$C, 0)) - $E527 + $B527)</f>
        <v>1.9112508231881176</v>
      </c>
      <c r="J527" s="3">
        <f>IF($F527="","", INDEX([1]Calc!$E:$E, MATCH("D_vessel_m", [1]Calc!$C:$C, 0)) - $F527 + $B527)</f>
        <v>1.9112508231881176</v>
      </c>
      <c r="K527" s="2" t="str">
        <f t="shared" si="26"/>
        <v>Even Keel</v>
      </c>
    </row>
    <row r="528" spans="1:11" x14ac:dyDescent="0.6">
      <c r="A528" s="2" t="str">
        <f>IF('December_Tide_2025 (2)'!A528="","",'December_Tide_2025 (2)'!A528)</f>
        <v>2025-12-22 22:00:00</v>
      </c>
      <c r="B528" s="3">
        <f>IF('December_Tide_2025 (2)'!B528="","",'December_Tide_2025 (2)'!B528)</f>
        <v>2.0099999999999998</v>
      </c>
      <c r="C528" s="3">
        <f>IF($A528="","", INDEX([1]Calc!$E:$E, MATCH("KminusZ_m", [1]Calc!$C:$C, 0)) + $B528 - INDEX([1]Calc!$E:$E, MATCH("L_ramp_m", [1]Calc!$C:$C, 0)) * TAN(RADIANS(INDEX([1]Calc!$E:$E, MATCH("theta_max_deg", [1]Calc!$C:$C, 0)))))</f>
        <v>3.7487491768118821</v>
      </c>
      <c r="D528" s="3"/>
      <c r="E528" s="3">
        <f t="shared" si="24"/>
        <v>3.7487491768118821</v>
      </c>
      <c r="F528" s="3">
        <f t="shared" si="25"/>
        <v>3.7487491768118821</v>
      </c>
      <c r="G528" s="3">
        <f>IF($E528="","", DEGREES(ATAN((INDEX([1]Calc!$E:$E, MATCH("KminusZ_m", [1]Calc!$C:$C, 0)) - $E528 + $B528) / INDEX([1]Calc!$E:$E, MATCH("L_ramp_m", [1]Calc!$C:$C, 0)))))</f>
        <v>6.0000000000000009</v>
      </c>
      <c r="H528" s="2" t="str">
        <f>IF($E528="","", IF(AND($E528&gt;=INDEX([1]Calc!$E:$E, MATCH("min_fwd_draft_m", [1]Calc!$C:$C, 0)), $E528&lt;=INDEX([1]Calc!$E:$E, MATCH("max_fwd_draft_m", [1]Calc!$C:$C, 0)), $G528&lt;=INDEX([1]Calc!$E:$E, MATCH("theta_max_deg", [1]Calc!$C:$C, 0))), "OK", "CHECK"))</f>
        <v>CHECK</v>
      </c>
      <c r="I528" s="3">
        <f>IF($E528="","", INDEX([1]Calc!$E:$E, MATCH("D_vessel_m", [1]Calc!$C:$C, 0)) - $E528 + $B528)</f>
        <v>1.9112508231881176</v>
      </c>
      <c r="J528" s="3">
        <f>IF($F528="","", INDEX([1]Calc!$E:$E, MATCH("D_vessel_m", [1]Calc!$C:$C, 0)) - $F528 + $B528)</f>
        <v>1.9112508231881176</v>
      </c>
      <c r="K528" s="2" t="str">
        <f t="shared" si="26"/>
        <v>Even Keel</v>
      </c>
    </row>
    <row r="529" spans="1:11" x14ac:dyDescent="0.6">
      <c r="A529" s="2" t="str">
        <f>IF('December_Tide_2025 (2)'!A529="","",'December_Tide_2025 (2)'!A529)</f>
        <v>2025-12-22 23:00:00</v>
      </c>
      <c r="B529" s="3">
        <f>IF('December_Tide_2025 (2)'!B529="","",'December_Tide_2025 (2)'!B529)</f>
        <v>1.54</v>
      </c>
      <c r="C529" s="3">
        <f>IF($A529="","", INDEX([1]Calc!$E:$E, MATCH("KminusZ_m", [1]Calc!$C:$C, 0)) + $B529 - INDEX([1]Calc!$E:$E, MATCH("L_ramp_m", [1]Calc!$C:$C, 0)) * TAN(RADIANS(INDEX([1]Calc!$E:$E, MATCH("theta_max_deg", [1]Calc!$C:$C, 0)))))</f>
        <v>3.2787491768118824</v>
      </c>
      <c r="D529" s="3"/>
      <c r="E529" s="3">
        <f t="shared" si="24"/>
        <v>3.2787491768118824</v>
      </c>
      <c r="F529" s="3">
        <f t="shared" si="25"/>
        <v>3.2787491768118824</v>
      </c>
      <c r="G529" s="3">
        <f>IF($E529="","", DEGREES(ATAN((INDEX([1]Calc!$E:$E, MATCH("KminusZ_m", [1]Calc!$C:$C, 0)) - $E529 + $B529) / INDEX([1]Calc!$E:$E, MATCH("L_ramp_m", [1]Calc!$C:$C, 0)))))</f>
        <v>6.0000000000000009</v>
      </c>
      <c r="H529" s="2" t="str">
        <f>IF($E529="","", IF(AND($E529&gt;=INDEX([1]Calc!$E:$E, MATCH("min_fwd_draft_m", [1]Calc!$C:$C, 0)), $E529&lt;=INDEX([1]Calc!$E:$E, MATCH("max_fwd_draft_m", [1]Calc!$C:$C, 0)), $G529&lt;=INDEX([1]Calc!$E:$E, MATCH("theta_max_deg", [1]Calc!$C:$C, 0))), "OK", "CHECK"))</f>
        <v>OK</v>
      </c>
      <c r="I529" s="3">
        <f>IF($E529="","", INDEX([1]Calc!$E:$E, MATCH("D_vessel_m", [1]Calc!$C:$C, 0)) - $E529 + $B529)</f>
        <v>1.9112508231881176</v>
      </c>
      <c r="J529" s="3">
        <f>IF($F529="","", INDEX([1]Calc!$E:$E, MATCH("D_vessel_m", [1]Calc!$C:$C, 0)) - $F529 + $B529)</f>
        <v>1.9112508231881176</v>
      </c>
      <c r="K529" s="2" t="str">
        <f t="shared" si="26"/>
        <v>Even Keel</v>
      </c>
    </row>
    <row r="530" spans="1:11" x14ac:dyDescent="0.6">
      <c r="A530" s="2" t="str">
        <f>IF('December_Tide_2025 (2)'!A530="","",'December_Tide_2025 (2)'!A530)</f>
        <v>2025-12-23 00:00:00</v>
      </c>
      <c r="B530" s="3">
        <f>IF('December_Tide_2025 (2)'!B530="","",'December_Tide_2025 (2)'!B530)</f>
        <v>1.1399999999999999</v>
      </c>
      <c r="C530" s="3">
        <f>IF($A530="","", INDEX([1]Calc!$E:$E, MATCH("KminusZ_m", [1]Calc!$C:$C, 0)) + $B530 - INDEX([1]Calc!$E:$E, MATCH("L_ramp_m", [1]Calc!$C:$C, 0)) * TAN(RADIANS(INDEX([1]Calc!$E:$E, MATCH("theta_max_deg", [1]Calc!$C:$C, 0)))))</f>
        <v>2.878749176811882</v>
      </c>
      <c r="D530" s="3"/>
      <c r="E530" s="3">
        <f t="shared" si="24"/>
        <v>2.878749176811882</v>
      </c>
      <c r="F530" s="3">
        <f t="shared" si="25"/>
        <v>2.878749176811882</v>
      </c>
      <c r="G530" s="3">
        <f>IF($E530="","", DEGREES(ATAN((INDEX([1]Calc!$E:$E, MATCH("KminusZ_m", [1]Calc!$C:$C, 0)) - $E530 + $B530) / INDEX([1]Calc!$E:$E, MATCH("L_ramp_m", [1]Calc!$C:$C, 0)))))</f>
        <v>6.0000000000000009</v>
      </c>
      <c r="H530" s="2" t="str">
        <f>IF($E530="","", IF(AND($E530&gt;=INDEX([1]Calc!$E:$E, MATCH("min_fwd_draft_m", [1]Calc!$C:$C, 0)), $E530&lt;=INDEX([1]Calc!$E:$E, MATCH("max_fwd_draft_m", [1]Calc!$C:$C, 0)), $G530&lt;=INDEX([1]Calc!$E:$E, MATCH("theta_max_deg", [1]Calc!$C:$C, 0))), "OK", "CHECK"))</f>
        <v>OK</v>
      </c>
      <c r="I530" s="3">
        <f>IF($E530="","", INDEX([1]Calc!$E:$E, MATCH("D_vessel_m", [1]Calc!$C:$C, 0)) - $E530 + $B530)</f>
        <v>1.9112508231881178</v>
      </c>
      <c r="J530" s="3">
        <f>IF($F530="","", INDEX([1]Calc!$E:$E, MATCH("D_vessel_m", [1]Calc!$C:$C, 0)) - $F530 + $B530)</f>
        <v>1.9112508231881178</v>
      </c>
      <c r="K530" s="2" t="str">
        <f t="shared" si="26"/>
        <v>Even Keel</v>
      </c>
    </row>
    <row r="531" spans="1:11" x14ac:dyDescent="0.6">
      <c r="A531" s="2" t="str">
        <f>IF('December_Tide_2025 (2)'!A531="","",'December_Tide_2025 (2)'!A531)</f>
        <v>2025-12-23 01:00:00</v>
      </c>
      <c r="B531" s="3">
        <f>IF('December_Tide_2025 (2)'!B531="","",'December_Tide_2025 (2)'!B531)</f>
        <v>0.9</v>
      </c>
      <c r="C531" s="3">
        <f>IF($A531="","", INDEX([1]Calc!$E:$E, MATCH("KminusZ_m", [1]Calc!$C:$C, 0)) + $B531 - INDEX([1]Calc!$E:$E, MATCH("L_ramp_m", [1]Calc!$C:$C, 0)) * TAN(RADIANS(INDEX([1]Calc!$E:$E, MATCH("theta_max_deg", [1]Calc!$C:$C, 0)))))</f>
        <v>2.6387491768118823</v>
      </c>
      <c r="D531" s="3"/>
      <c r="E531" s="3">
        <f t="shared" si="24"/>
        <v>2.6387491768118823</v>
      </c>
      <c r="F531" s="3">
        <f t="shared" si="25"/>
        <v>2.6387491768118823</v>
      </c>
      <c r="G531" s="3">
        <f>IF($E531="","", DEGREES(ATAN((INDEX([1]Calc!$E:$E, MATCH("KminusZ_m", [1]Calc!$C:$C, 0)) - $E531 + $B531) / INDEX([1]Calc!$E:$E, MATCH("L_ramp_m", [1]Calc!$C:$C, 0)))))</f>
        <v>6.0000000000000009</v>
      </c>
      <c r="H531" s="2" t="str">
        <f>IF($E531="","", IF(AND($E531&gt;=INDEX([1]Calc!$E:$E, MATCH("min_fwd_draft_m", [1]Calc!$C:$C, 0)), $E531&lt;=INDEX([1]Calc!$E:$E, MATCH("max_fwd_draft_m", [1]Calc!$C:$C, 0)), $G531&lt;=INDEX([1]Calc!$E:$E, MATCH("theta_max_deg", [1]Calc!$C:$C, 0))), "OK", "CHECK"))</f>
        <v>OK</v>
      </c>
      <c r="I531" s="3">
        <f>IF($E531="","", INDEX([1]Calc!$E:$E, MATCH("D_vessel_m", [1]Calc!$C:$C, 0)) - $E531 + $B531)</f>
        <v>1.9112508231881176</v>
      </c>
      <c r="J531" s="3">
        <f>IF($F531="","", INDEX([1]Calc!$E:$E, MATCH("D_vessel_m", [1]Calc!$C:$C, 0)) - $F531 + $B531)</f>
        <v>1.9112508231881176</v>
      </c>
      <c r="K531" s="2" t="str">
        <f t="shared" si="26"/>
        <v>Even Keel</v>
      </c>
    </row>
    <row r="532" spans="1:11" x14ac:dyDescent="0.6">
      <c r="A532" s="2" t="str">
        <f>IF('December_Tide_2025 (2)'!A532="","",'December_Tide_2025 (2)'!A532)</f>
        <v>2025-12-23 02:00:00</v>
      </c>
      <c r="B532" s="3">
        <f>IF('December_Tide_2025 (2)'!B532="","",'December_Tide_2025 (2)'!B532)</f>
        <v>0.89</v>
      </c>
      <c r="C532" s="3">
        <f>IF($A532="","", INDEX([1]Calc!$E:$E, MATCH("KminusZ_m", [1]Calc!$C:$C, 0)) + $B532 - INDEX([1]Calc!$E:$E, MATCH("L_ramp_m", [1]Calc!$C:$C, 0)) * TAN(RADIANS(INDEX([1]Calc!$E:$E, MATCH("theta_max_deg", [1]Calc!$C:$C, 0)))))</f>
        <v>2.6287491768118825</v>
      </c>
      <c r="D532" s="3"/>
      <c r="E532" s="3">
        <f t="shared" si="24"/>
        <v>2.6287491768118825</v>
      </c>
      <c r="F532" s="3">
        <f t="shared" si="25"/>
        <v>2.6287491768118825</v>
      </c>
      <c r="G532" s="3">
        <f>IF($E532="","", DEGREES(ATAN((INDEX([1]Calc!$E:$E, MATCH("KminusZ_m", [1]Calc!$C:$C, 0)) - $E532 + $B532) / INDEX([1]Calc!$E:$E, MATCH("L_ramp_m", [1]Calc!$C:$C, 0)))))</f>
        <v>6.0000000000000009</v>
      </c>
      <c r="H532" s="2" t="str">
        <f>IF($E532="","", IF(AND($E532&gt;=INDEX([1]Calc!$E:$E, MATCH("min_fwd_draft_m", [1]Calc!$C:$C, 0)), $E532&lt;=INDEX([1]Calc!$E:$E, MATCH("max_fwd_draft_m", [1]Calc!$C:$C, 0)), $G532&lt;=INDEX([1]Calc!$E:$E, MATCH("theta_max_deg", [1]Calc!$C:$C, 0))), "OK", "CHECK"))</f>
        <v>OK</v>
      </c>
      <c r="I532" s="3">
        <f>IF($E532="","", INDEX([1]Calc!$E:$E, MATCH("D_vessel_m", [1]Calc!$C:$C, 0)) - $E532 + $B532)</f>
        <v>1.9112508231881176</v>
      </c>
      <c r="J532" s="3">
        <f>IF($F532="","", INDEX([1]Calc!$E:$E, MATCH("D_vessel_m", [1]Calc!$C:$C, 0)) - $F532 + $B532)</f>
        <v>1.9112508231881176</v>
      </c>
      <c r="K532" s="2" t="str">
        <f t="shared" si="26"/>
        <v>Even Keel</v>
      </c>
    </row>
    <row r="533" spans="1:11" x14ac:dyDescent="0.6">
      <c r="A533" s="2" t="str">
        <f>IF('December_Tide_2025 (2)'!A533="","",'December_Tide_2025 (2)'!A533)</f>
        <v>2025-12-23 03:00:00</v>
      </c>
      <c r="B533" s="3">
        <f>IF('December_Tide_2025 (2)'!B533="","",'December_Tide_2025 (2)'!B533)</f>
        <v>1.1100000000000001</v>
      </c>
      <c r="C533" s="3">
        <f>IF($A533="","", INDEX([1]Calc!$E:$E, MATCH("KminusZ_m", [1]Calc!$C:$C, 0)) + $B533 - INDEX([1]Calc!$E:$E, MATCH("L_ramp_m", [1]Calc!$C:$C, 0)) * TAN(RADIANS(INDEX([1]Calc!$E:$E, MATCH("theta_max_deg", [1]Calc!$C:$C, 0)))))</f>
        <v>2.8487491768118827</v>
      </c>
      <c r="D533" s="3"/>
      <c r="E533" s="3">
        <f t="shared" si="24"/>
        <v>2.8487491768118827</v>
      </c>
      <c r="F533" s="3">
        <f t="shared" si="25"/>
        <v>2.8487491768118827</v>
      </c>
      <c r="G533" s="3">
        <f>IF($E533="","", DEGREES(ATAN((INDEX([1]Calc!$E:$E, MATCH("KminusZ_m", [1]Calc!$C:$C, 0)) - $E533 + $B533) / INDEX([1]Calc!$E:$E, MATCH("L_ramp_m", [1]Calc!$C:$C, 0)))))</f>
        <v>6</v>
      </c>
      <c r="H533" s="2" t="str">
        <f>IF($E533="","", IF(AND($E533&gt;=INDEX([1]Calc!$E:$E, MATCH("min_fwd_draft_m", [1]Calc!$C:$C, 0)), $E533&lt;=INDEX([1]Calc!$E:$E, MATCH("max_fwd_draft_m", [1]Calc!$C:$C, 0)), $G533&lt;=INDEX([1]Calc!$E:$E, MATCH("theta_max_deg", [1]Calc!$C:$C, 0))), "OK", "CHECK"))</f>
        <v>OK</v>
      </c>
      <c r="I533" s="3">
        <f>IF($E533="","", INDEX([1]Calc!$E:$E, MATCH("D_vessel_m", [1]Calc!$C:$C, 0)) - $E533 + $B533)</f>
        <v>1.9112508231881173</v>
      </c>
      <c r="J533" s="3">
        <f>IF($F533="","", INDEX([1]Calc!$E:$E, MATCH("D_vessel_m", [1]Calc!$C:$C, 0)) - $F533 + $B533)</f>
        <v>1.9112508231881173</v>
      </c>
      <c r="K533" s="2" t="str">
        <f t="shared" si="26"/>
        <v>Even Keel</v>
      </c>
    </row>
    <row r="534" spans="1:11" x14ac:dyDescent="0.6">
      <c r="A534" s="2" t="str">
        <f>IF('December_Tide_2025 (2)'!A534="","",'December_Tide_2025 (2)'!A534)</f>
        <v>2025-12-23 04:00:00</v>
      </c>
      <c r="B534" s="3">
        <f>IF('December_Tide_2025 (2)'!B534="","",'December_Tide_2025 (2)'!B534)</f>
        <v>1.5</v>
      </c>
      <c r="C534" s="3">
        <f>IF($A534="","", INDEX([1]Calc!$E:$E, MATCH("KminusZ_m", [1]Calc!$C:$C, 0)) + $B534 - INDEX([1]Calc!$E:$E, MATCH("L_ramp_m", [1]Calc!$C:$C, 0)) * TAN(RADIANS(INDEX([1]Calc!$E:$E, MATCH("theta_max_deg", [1]Calc!$C:$C, 0)))))</f>
        <v>3.2387491768118823</v>
      </c>
      <c r="D534" s="3"/>
      <c r="E534" s="3">
        <f t="shared" si="24"/>
        <v>3.2387491768118823</v>
      </c>
      <c r="F534" s="3">
        <f t="shared" si="25"/>
        <v>3.2387491768118823</v>
      </c>
      <c r="G534" s="3">
        <f>IF($E534="","", DEGREES(ATAN((INDEX([1]Calc!$E:$E, MATCH("KminusZ_m", [1]Calc!$C:$C, 0)) - $E534 + $B534) / INDEX([1]Calc!$E:$E, MATCH("L_ramp_m", [1]Calc!$C:$C, 0)))))</f>
        <v>6.0000000000000009</v>
      </c>
      <c r="H534" s="2" t="str">
        <f>IF($E534="","", IF(AND($E534&gt;=INDEX([1]Calc!$E:$E, MATCH("min_fwd_draft_m", [1]Calc!$C:$C, 0)), $E534&lt;=INDEX([1]Calc!$E:$E, MATCH("max_fwd_draft_m", [1]Calc!$C:$C, 0)), $G534&lt;=INDEX([1]Calc!$E:$E, MATCH("theta_max_deg", [1]Calc!$C:$C, 0))), "OK", "CHECK"))</f>
        <v>OK</v>
      </c>
      <c r="I534" s="3">
        <f>IF($E534="","", INDEX([1]Calc!$E:$E, MATCH("D_vessel_m", [1]Calc!$C:$C, 0)) - $E534 + $B534)</f>
        <v>1.9112508231881176</v>
      </c>
      <c r="J534" s="3">
        <f>IF($F534="","", INDEX([1]Calc!$E:$E, MATCH("D_vessel_m", [1]Calc!$C:$C, 0)) - $F534 + $B534)</f>
        <v>1.9112508231881176</v>
      </c>
      <c r="K534" s="2" t="str">
        <f t="shared" si="26"/>
        <v>Even Keel</v>
      </c>
    </row>
    <row r="535" spans="1:11" x14ac:dyDescent="0.6">
      <c r="A535" s="2" t="str">
        <f>IF('December_Tide_2025 (2)'!A535="","",'December_Tide_2025 (2)'!A535)</f>
        <v>2025-12-23 05:00:00</v>
      </c>
      <c r="B535" s="3">
        <f>IF('December_Tide_2025 (2)'!B535="","",'December_Tide_2025 (2)'!B535)</f>
        <v>1.97</v>
      </c>
      <c r="C535" s="3">
        <f>IF($A535="","", INDEX([1]Calc!$E:$E, MATCH("KminusZ_m", [1]Calc!$C:$C, 0)) + $B535 - INDEX([1]Calc!$E:$E, MATCH("L_ramp_m", [1]Calc!$C:$C, 0)) * TAN(RADIANS(INDEX([1]Calc!$E:$E, MATCH("theta_max_deg", [1]Calc!$C:$C, 0)))))</f>
        <v>3.7087491768118821</v>
      </c>
      <c r="D535" s="3"/>
      <c r="E535" s="3">
        <f t="shared" si="24"/>
        <v>3.7087491768118821</v>
      </c>
      <c r="F535" s="3">
        <f t="shared" si="25"/>
        <v>3.7087491768118821</v>
      </c>
      <c r="G535" s="3">
        <f>IF($E535="","", DEGREES(ATAN((INDEX([1]Calc!$E:$E, MATCH("KminusZ_m", [1]Calc!$C:$C, 0)) - $E535 + $B535) / INDEX([1]Calc!$E:$E, MATCH("L_ramp_m", [1]Calc!$C:$C, 0)))))</f>
        <v>6.0000000000000009</v>
      </c>
      <c r="H535" s="2" t="str">
        <f>IF($E535="","", IF(AND($E535&gt;=INDEX([1]Calc!$E:$E, MATCH("min_fwd_draft_m", [1]Calc!$C:$C, 0)), $E535&lt;=INDEX([1]Calc!$E:$E, MATCH("max_fwd_draft_m", [1]Calc!$C:$C, 0)), $G535&lt;=INDEX([1]Calc!$E:$E, MATCH("theta_max_deg", [1]Calc!$C:$C, 0))), "OK", "CHECK"))</f>
        <v>CHECK</v>
      </c>
      <c r="I535" s="3">
        <f>IF($E535="","", INDEX([1]Calc!$E:$E, MATCH("D_vessel_m", [1]Calc!$C:$C, 0)) - $E535 + $B535)</f>
        <v>1.9112508231881178</v>
      </c>
      <c r="J535" s="3">
        <f>IF($F535="","", INDEX([1]Calc!$E:$E, MATCH("D_vessel_m", [1]Calc!$C:$C, 0)) - $F535 + $B535)</f>
        <v>1.9112508231881178</v>
      </c>
      <c r="K535" s="2" t="str">
        <f t="shared" si="26"/>
        <v>Even Keel</v>
      </c>
    </row>
    <row r="536" spans="1:11" x14ac:dyDescent="0.6">
      <c r="A536" s="2" t="str">
        <f>IF('December_Tide_2025 (2)'!A536="","",'December_Tide_2025 (2)'!A536)</f>
        <v>2025-12-23 06:00:00</v>
      </c>
      <c r="B536" s="3">
        <f>IF('December_Tide_2025 (2)'!B536="","",'December_Tide_2025 (2)'!B536)</f>
        <v>2.39</v>
      </c>
      <c r="C536" s="3">
        <f>IF($A536="","", INDEX([1]Calc!$E:$E, MATCH("KminusZ_m", [1]Calc!$C:$C, 0)) + $B536 - INDEX([1]Calc!$E:$E, MATCH("L_ramp_m", [1]Calc!$C:$C, 0)) * TAN(RADIANS(INDEX([1]Calc!$E:$E, MATCH("theta_max_deg", [1]Calc!$C:$C, 0)))))</f>
        <v>4.1287491768118834</v>
      </c>
      <c r="D536" s="3"/>
      <c r="E536" s="3">
        <f t="shared" si="24"/>
        <v>4.1287491768118834</v>
      </c>
      <c r="F536" s="3">
        <f t="shared" si="25"/>
        <v>4.1287491768118834</v>
      </c>
      <c r="G536" s="3">
        <f>IF($E536="","", DEGREES(ATAN((INDEX([1]Calc!$E:$E, MATCH("KminusZ_m", [1]Calc!$C:$C, 0)) - $E536 + $B536) / INDEX([1]Calc!$E:$E, MATCH("L_ramp_m", [1]Calc!$C:$C, 0)))))</f>
        <v>5.9999999999999964</v>
      </c>
      <c r="H536" s="2" t="str">
        <f>IF($E536="","", IF(AND($E536&gt;=INDEX([1]Calc!$E:$E, MATCH("min_fwd_draft_m", [1]Calc!$C:$C, 0)), $E536&lt;=INDEX([1]Calc!$E:$E, MATCH("max_fwd_draft_m", [1]Calc!$C:$C, 0)), $G536&lt;=INDEX([1]Calc!$E:$E, MATCH("theta_max_deg", [1]Calc!$C:$C, 0))), "OK", "CHECK"))</f>
        <v>CHECK</v>
      </c>
      <c r="I536" s="3">
        <f>IF($E536="","", INDEX([1]Calc!$E:$E, MATCH("D_vessel_m", [1]Calc!$C:$C, 0)) - $E536 + $B536)</f>
        <v>1.9112508231881167</v>
      </c>
      <c r="J536" s="3">
        <f>IF($F536="","", INDEX([1]Calc!$E:$E, MATCH("D_vessel_m", [1]Calc!$C:$C, 0)) - $F536 + $B536)</f>
        <v>1.9112508231881167</v>
      </c>
      <c r="K536" s="2" t="str">
        <f t="shared" si="26"/>
        <v>Even Keel</v>
      </c>
    </row>
    <row r="537" spans="1:11" x14ac:dyDescent="0.6">
      <c r="A537" s="2" t="str">
        <f>IF('December_Tide_2025 (2)'!A537="","",'December_Tide_2025 (2)'!A537)</f>
        <v>2025-12-23 07:00:00</v>
      </c>
      <c r="B537" s="3">
        <f>IF('December_Tide_2025 (2)'!B537="","",'December_Tide_2025 (2)'!B537)</f>
        <v>2.67</v>
      </c>
      <c r="C537" s="3">
        <f>IF($A537="","", INDEX([1]Calc!$E:$E, MATCH("KminusZ_m", [1]Calc!$C:$C, 0)) + $B537 - INDEX([1]Calc!$E:$E, MATCH("L_ramp_m", [1]Calc!$C:$C, 0)) * TAN(RADIANS(INDEX([1]Calc!$E:$E, MATCH("theta_max_deg", [1]Calc!$C:$C, 0)))))</f>
        <v>4.4087491768118827</v>
      </c>
      <c r="D537" s="3"/>
      <c r="E537" s="3">
        <f t="shared" si="24"/>
        <v>4.4087491768118827</v>
      </c>
      <c r="F537" s="3">
        <f t="shared" si="25"/>
        <v>4.4087491768118827</v>
      </c>
      <c r="G537" s="3">
        <f>IF($E537="","", DEGREES(ATAN((INDEX([1]Calc!$E:$E, MATCH("KminusZ_m", [1]Calc!$C:$C, 0)) - $E537 + $B537) / INDEX([1]Calc!$E:$E, MATCH("L_ramp_m", [1]Calc!$C:$C, 0)))))</f>
        <v>5.9999999999999982</v>
      </c>
      <c r="H537" s="2" t="str">
        <f>IF($E537="","", IF(AND($E537&gt;=INDEX([1]Calc!$E:$E, MATCH("min_fwd_draft_m", [1]Calc!$C:$C, 0)), $E537&lt;=INDEX([1]Calc!$E:$E, MATCH("max_fwd_draft_m", [1]Calc!$C:$C, 0)), $G537&lt;=INDEX([1]Calc!$E:$E, MATCH("theta_max_deg", [1]Calc!$C:$C, 0))), "OK", "CHECK"))</f>
        <v>CHECK</v>
      </c>
      <c r="I537" s="3">
        <f>IF($E537="","", INDEX([1]Calc!$E:$E, MATCH("D_vessel_m", [1]Calc!$C:$C, 0)) - $E537 + $B537)</f>
        <v>1.9112508231881171</v>
      </c>
      <c r="J537" s="3">
        <f>IF($F537="","", INDEX([1]Calc!$E:$E, MATCH("D_vessel_m", [1]Calc!$C:$C, 0)) - $F537 + $B537)</f>
        <v>1.9112508231881171</v>
      </c>
      <c r="K537" s="2" t="str">
        <f t="shared" si="26"/>
        <v>Even Keel</v>
      </c>
    </row>
    <row r="538" spans="1:11" x14ac:dyDescent="0.6">
      <c r="A538" s="2" t="str">
        <f>IF('December_Tide_2025 (2)'!A538="","",'December_Tide_2025 (2)'!A538)</f>
        <v>2025-12-23 08:00:00</v>
      </c>
      <c r="B538" s="3">
        <f>IF('December_Tide_2025 (2)'!B538="","",'December_Tide_2025 (2)'!B538)</f>
        <v>2.73</v>
      </c>
      <c r="C538" s="3">
        <f>IF($A538="","", INDEX([1]Calc!$E:$E, MATCH("KminusZ_m", [1]Calc!$C:$C, 0)) + $B538 - INDEX([1]Calc!$E:$E, MATCH("L_ramp_m", [1]Calc!$C:$C, 0)) * TAN(RADIANS(INDEX([1]Calc!$E:$E, MATCH("theta_max_deg", [1]Calc!$C:$C, 0)))))</f>
        <v>4.4687491768118832</v>
      </c>
      <c r="D538" s="3"/>
      <c r="E538" s="3">
        <f t="shared" si="24"/>
        <v>4.4687491768118832</v>
      </c>
      <c r="F538" s="3">
        <f t="shared" si="25"/>
        <v>4.4687491768118832</v>
      </c>
      <c r="G538" s="3">
        <f>IF($E538="","", DEGREES(ATAN((INDEX([1]Calc!$E:$E, MATCH("KminusZ_m", [1]Calc!$C:$C, 0)) - $E538 + $B538) / INDEX([1]Calc!$E:$E, MATCH("L_ramp_m", [1]Calc!$C:$C, 0)))))</f>
        <v>5.9999999999999964</v>
      </c>
      <c r="H538" s="2" t="str">
        <f>IF($E538="","", IF(AND($E538&gt;=INDEX([1]Calc!$E:$E, MATCH("min_fwd_draft_m", [1]Calc!$C:$C, 0)), $E538&lt;=INDEX([1]Calc!$E:$E, MATCH("max_fwd_draft_m", [1]Calc!$C:$C, 0)), $G538&lt;=INDEX([1]Calc!$E:$E, MATCH("theta_max_deg", [1]Calc!$C:$C, 0))), "OK", "CHECK"))</f>
        <v>CHECK</v>
      </c>
      <c r="I538" s="3">
        <f>IF($E538="","", INDEX([1]Calc!$E:$E, MATCH("D_vessel_m", [1]Calc!$C:$C, 0)) - $E538 + $B538)</f>
        <v>1.9112508231881167</v>
      </c>
      <c r="J538" s="3">
        <f>IF($F538="","", INDEX([1]Calc!$E:$E, MATCH("D_vessel_m", [1]Calc!$C:$C, 0)) - $F538 + $B538)</f>
        <v>1.9112508231881167</v>
      </c>
      <c r="K538" s="2" t="str">
        <f t="shared" si="26"/>
        <v>Even Keel</v>
      </c>
    </row>
    <row r="539" spans="1:11" x14ac:dyDescent="0.6">
      <c r="A539" s="2" t="str">
        <f>IF('December_Tide_2025 (2)'!A539="","",'December_Tide_2025 (2)'!A539)</f>
        <v>2025-12-23 09:00:00</v>
      </c>
      <c r="B539" s="3">
        <f>IF('December_Tide_2025 (2)'!B539="","",'December_Tide_2025 (2)'!B539)</f>
        <v>2.5499999999999998</v>
      </c>
      <c r="C539" s="3">
        <f>IF($A539="","", INDEX([1]Calc!$E:$E, MATCH("KminusZ_m", [1]Calc!$C:$C, 0)) + $B539 - INDEX([1]Calc!$E:$E, MATCH("L_ramp_m", [1]Calc!$C:$C, 0)) * TAN(RADIANS(INDEX([1]Calc!$E:$E, MATCH("theta_max_deg", [1]Calc!$C:$C, 0)))))</f>
        <v>4.2887491768118817</v>
      </c>
      <c r="D539" s="3"/>
      <c r="E539" s="3">
        <f t="shared" si="24"/>
        <v>4.2887491768118817</v>
      </c>
      <c r="F539" s="3">
        <f t="shared" si="25"/>
        <v>4.2887491768118817</v>
      </c>
      <c r="G539" s="3">
        <f>IF($E539="","", DEGREES(ATAN((INDEX([1]Calc!$E:$E, MATCH("KminusZ_m", [1]Calc!$C:$C, 0)) - $E539 + $B539) / INDEX([1]Calc!$E:$E, MATCH("L_ramp_m", [1]Calc!$C:$C, 0)))))</f>
        <v>6.0000000000000027</v>
      </c>
      <c r="H539" s="2" t="str">
        <f>IF($E539="","", IF(AND($E539&gt;=INDEX([1]Calc!$E:$E, MATCH("min_fwd_draft_m", [1]Calc!$C:$C, 0)), $E539&lt;=INDEX([1]Calc!$E:$E, MATCH("max_fwd_draft_m", [1]Calc!$C:$C, 0)), $G539&lt;=INDEX([1]Calc!$E:$E, MATCH("theta_max_deg", [1]Calc!$C:$C, 0))), "OK", "CHECK"))</f>
        <v>CHECK</v>
      </c>
      <c r="I539" s="3">
        <f>IF($E539="","", INDEX([1]Calc!$E:$E, MATCH("D_vessel_m", [1]Calc!$C:$C, 0)) - $E539 + $B539)</f>
        <v>1.911250823188118</v>
      </c>
      <c r="J539" s="3">
        <f>IF($F539="","", INDEX([1]Calc!$E:$E, MATCH("D_vessel_m", [1]Calc!$C:$C, 0)) - $F539 + $B539)</f>
        <v>1.911250823188118</v>
      </c>
      <c r="K539" s="2" t="str">
        <f t="shared" si="26"/>
        <v>Even Keel</v>
      </c>
    </row>
    <row r="540" spans="1:11" x14ac:dyDescent="0.6">
      <c r="A540" s="2" t="str">
        <f>IF('December_Tide_2025 (2)'!A540="","",'December_Tide_2025 (2)'!A540)</f>
        <v>2025-12-23 10:00:00</v>
      </c>
      <c r="B540" s="3">
        <f>IF('December_Tide_2025 (2)'!B540="","",'December_Tide_2025 (2)'!B540)</f>
        <v>2.19</v>
      </c>
      <c r="C540" s="3">
        <f>IF($A540="","", INDEX([1]Calc!$E:$E, MATCH("KminusZ_m", [1]Calc!$C:$C, 0)) + $B540 - INDEX([1]Calc!$E:$E, MATCH("L_ramp_m", [1]Calc!$C:$C, 0)) * TAN(RADIANS(INDEX([1]Calc!$E:$E, MATCH("theta_max_deg", [1]Calc!$C:$C, 0)))))</f>
        <v>3.9287491768118818</v>
      </c>
      <c r="D540" s="3"/>
      <c r="E540" s="3">
        <f t="shared" si="24"/>
        <v>3.9287491768118818</v>
      </c>
      <c r="F540" s="3">
        <f t="shared" si="25"/>
        <v>3.9287491768118818</v>
      </c>
      <c r="G540" s="3">
        <f>IF($E540="","", DEGREES(ATAN((INDEX([1]Calc!$E:$E, MATCH("KminusZ_m", [1]Calc!$C:$C, 0)) - $E540 + $B540) / INDEX([1]Calc!$E:$E, MATCH("L_ramp_m", [1]Calc!$C:$C, 0)))))</f>
        <v>6.0000000000000027</v>
      </c>
      <c r="H540" s="2" t="str">
        <f>IF($E540="","", IF(AND($E540&gt;=INDEX([1]Calc!$E:$E, MATCH("min_fwd_draft_m", [1]Calc!$C:$C, 0)), $E540&lt;=INDEX([1]Calc!$E:$E, MATCH("max_fwd_draft_m", [1]Calc!$C:$C, 0)), $G540&lt;=INDEX([1]Calc!$E:$E, MATCH("theta_max_deg", [1]Calc!$C:$C, 0))), "OK", "CHECK"))</f>
        <v>CHECK</v>
      </c>
      <c r="I540" s="3">
        <f>IF($E540="","", INDEX([1]Calc!$E:$E, MATCH("D_vessel_m", [1]Calc!$C:$C, 0)) - $E540 + $B540)</f>
        <v>1.911250823188118</v>
      </c>
      <c r="J540" s="3">
        <f>IF($F540="","", INDEX([1]Calc!$E:$E, MATCH("D_vessel_m", [1]Calc!$C:$C, 0)) - $F540 + $B540)</f>
        <v>1.911250823188118</v>
      </c>
      <c r="K540" s="2" t="str">
        <f t="shared" si="26"/>
        <v>Even Keel</v>
      </c>
    </row>
    <row r="541" spans="1:11" x14ac:dyDescent="0.6">
      <c r="A541" s="2" t="str">
        <f>IF('December_Tide_2025 (2)'!A541="","",'December_Tide_2025 (2)'!A541)</f>
        <v>2025-12-23 11:00:00</v>
      </c>
      <c r="B541" s="3">
        <f>IF('December_Tide_2025 (2)'!B541="","",'December_Tide_2025 (2)'!B541)</f>
        <v>1.73</v>
      </c>
      <c r="C541" s="3">
        <f>IF($A541="","", INDEX([1]Calc!$E:$E, MATCH("KminusZ_m", [1]Calc!$C:$C, 0)) + $B541 - INDEX([1]Calc!$E:$E, MATCH("L_ramp_m", [1]Calc!$C:$C, 0)) * TAN(RADIANS(INDEX([1]Calc!$E:$E, MATCH("theta_max_deg", [1]Calc!$C:$C, 0)))))</f>
        <v>3.4687491768118828</v>
      </c>
      <c r="D541" s="3"/>
      <c r="E541" s="3">
        <f t="shared" si="24"/>
        <v>3.4687491768118828</v>
      </c>
      <c r="F541" s="3">
        <f t="shared" si="25"/>
        <v>3.4687491768118828</v>
      </c>
      <c r="G541" s="3">
        <f>IF($E541="","", DEGREES(ATAN((INDEX([1]Calc!$E:$E, MATCH("KminusZ_m", [1]Calc!$C:$C, 0)) - $E541 + $B541) / INDEX([1]Calc!$E:$E, MATCH("L_ramp_m", [1]Calc!$C:$C, 0)))))</f>
        <v>5.9999999999999982</v>
      </c>
      <c r="H541" s="2" t="str">
        <f>IF($E541="","", IF(AND($E541&gt;=INDEX([1]Calc!$E:$E, MATCH("min_fwd_draft_m", [1]Calc!$C:$C, 0)), $E541&lt;=INDEX([1]Calc!$E:$E, MATCH("max_fwd_draft_m", [1]Calc!$C:$C, 0)), $G541&lt;=INDEX([1]Calc!$E:$E, MATCH("theta_max_deg", [1]Calc!$C:$C, 0))), "OK", "CHECK"))</f>
        <v>OK</v>
      </c>
      <c r="I541" s="3">
        <f>IF($E541="","", INDEX([1]Calc!$E:$E, MATCH("D_vessel_m", [1]Calc!$C:$C, 0)) - $E541 + $B541)</f>
        <v>1.9112508231881171</v>
      </c>
      <c r="J541" s="3">
        <f>IF($F541="","", INDEX([1]Calc!$E:$E, MATCH("D_vessel_m", [1]Calc!$C:$C, 0)) - $F541 + $B541)</f>
        <v>1.9112508231881171</v>
      </c>
      <c r="K541" s="2" t="str">
        <f t="shared" si="26"/>
        <v>Even Keel</v>
      </c>
    </row>
    <row r="542" spans="1:11" x14ac:dyDescent="0.6">
      <c r="A542" s="2" t="str">
        <f>IF('December_Tide_2025 (2)'!A542="","",'December_Tide_2025 (2)'!A542)</f>
        <v>2025-12-23 12:00:00</v>
      </c>
      <c r="B542" s="3">
        <f>IF('December_Tide_2025 (2)'!B542="","",'December_Tide_2025 (2)'!B542)</f>
        <v>1.28</v>
      </c>
      <c r="C542" s="3">
        <f>IF($A542="","", INDEX([1]Calc!$E:$E, MATCH("KminusZ_m", [1]Calc!$C:$C, 0)) + $B542 - INDEX([1]Calc!$E:$E, MATCH("L_ramp_m", [1]Calc!$C:$C, 0)) * TAN(RADIANS(INDEX([1]Calc!$E:$E, MATCH("theta_max_deg", [1]Calc!$C:$C, 0)))))</f>
        <v>3.0187491768118826</v>
      </c>
      <c r="D542" s="3"/>
      <c r="E542" s="3">
        <f t="shared" si="24"/>
        <v>3.0187491768118826</v>
      </c>
      <c r="F542" s="3">
        <f t="shared" si="25"/>
        <v>3.0187491768118826</v>
      </c>
      <c r="G542" s="3">
        <f>IF($E542="","", DEGREES(ATAN((INDEX([1]Calc!$E:$E, MATCH("KminusZ_m", [1]Calc!$C:$C, 0)) - $E542 + $B542) / INDEX([1]Calc!$E:$E, MATCH("L_ramp_m", [1]Calc!$C:$C, 0)))))</f>
        <v>6</v>
      </c>
      <c r="H542" s="2" t="str">
        <f>IF($E542="","", IF(AND($E542&gt;=INDEX([1]Calc!$E:$E, MATCH("min_fwd_draft_m", [1]Calc!$C:$C, 0)), $E542&lt;=INDEX([1]Calc!$E:$E, MATCH("max_fwd_draft_m", [1]Calc!$C:$C, 0)), $G542&lt;=INDEX([1]Calc!$E:$E, MATCH("theta_max_deg", [1]Calc!$C:$C, 0))), "OK", "CHECK"))</f>
        <v>OK</v>
      </c>
      <c r="I542" s="3">
        <f>IF($E542="","", INDEX([1]Calc!$E:$E, MATCH("D_vessel_m", [1]Calc!$C:$C, 0)) - $E542 + $B542)</f>
        <v>1.9112508231881173</v>
      </c>
      <c r="J542" s="3">
        <f>IF($F542="","", INDEX([1]Calc!$E:$E, MATCH("D_vessel_m", [1]Calc!$C:$C, 0)) - $F542 + $B542)</f>
        <v>1.9112508231881173</v>
      </c>
      <c r="K542" s="2" t="str">
        <f t="shared" si="26"/>
        <v>Even Keel</v>
      </c>
    </row>
    <row r="543" spans="1:11" x14ac:dyDescent="0.6">
      <c r="A543" s="2" t="str">
        <f>IF('December_Tide_2025 (2)'!A543="","",'December_Tide_2025 (2)'!A543)</f>
        <v>2025-12-23 13:00:00</v>
      </c>
      <c r="B543" s="3">
        <f>IF('December_Tide_2025 (2)'!B543="","",'December_Tide_2025 (2)'!B543)</f>
        <v>0.97</v>
      </c>
      <c r="C543" s="3">
        <f>IF($A543="","", INDEX([1]Calc!$E:$E, MATCH("KminusZ_m", [1]Calc!$C:$C, 0)) + $B543 - INDEX([1]Calc!$E:$E, MATCH("L_ramp_m", [1]Calc!$C:$C, 0)) * TAN(RADIANS(INDEX([1]Calc!$E:$E, MATCH("theta_max_deg", [1]Calc!$C:$C, 0)))))</f>
        <v>2.7087491768118821</v>
      </c>
      <c r="D543" s="3"/>
      <c r="E543" s="3">
        <f t="shared" si="24"/>
        <v>2.7087491768118821</v>
      </c>
      <c r="F543" s="3">
        <f t="shared" si="25"/>
        <v>2.7087491768118821</v>
      </c>
      <c r="G543" s="3">
        <f>IF($E543="","", DEGREES(ATAN((INDEX([1]Calc!$E:$E, MATCH("KminusZ_m", [1]Calc!$C:$C, 0)) - $E543 + $B543) / INDEX([1]Calc!$E:$E, MATCH("L_ramp_m", [1]Calc!$C:$C, 0)))))</f>
        <v>6.0000000000000009</v>
      </c>
      <c r="H543" s="2" t="str">
        <f>IF($E543="","", IF(AND($E543&gt;=INDEX([1]Calc!$E:$E, MATCH("min_fwd_draft_m", [1]Calc!$C:$C, 0)), $E543&lt;=INDEX([1]Calc!$E:$E, MATCH("max_fwd_draft_m", [1]Calc!$C:$C, 0)), $G543&lt;=INDEX([1]Calc!$E:$E, MATCH("theta_max_deg", [1]Calc!$C:$C, 0))), "OK", "CHECK"))</f>
        <v>OK</v>
      </c>
      <c r="I543" s="3">
        <f>IF($E543="","", INDEX([1]Calc!$E:$E, MATCH("D_vessel_m", [1]Calc!$C:$C, 0)) - $E543 + $B543)</f>
        <v>1.9112508231881178</v>
      </c>
      <c r="J543" s="3">
        <f>IF($F543="","", INDEX([1]Calc!$E:$E, MATCH("D_vessel_m", [1]Calc!$C:$C, 0)) - $F543 + $B543)</f>
        <v>1.9112508231881178</v>
      </c>
      <c r="K543" s="2" t="str">
        <f t="shared" si="26"/>
        <v>Even Keel</v>
      </c>
    </row>
    <row r="544" spans="1:11" x14ac:dyDescent="0.6">
      <c r="A544" s="2" t="str">
        <f>IF('December_Tide_2025 (2)'!A544="","",'December_Tide_2025 (2)'!A544)</f>
        <v>2025-12-23 14:00:00</v>
      </c>
      <c r="B544" s="3">
        <f>IF('December_Tide_2025 (2)'!B544="","",'December_Tide_2025 (2)'!B544)</f>
        <v>0.86</v>
      </c>
      <c r="C544" s="3">
        <f>IF($A544="","", INDEX([1]Calc!$E:$E, MATCH("KminusZ_m", [1]Calc!$C:$C, 0)) + $B544 - INDEX([1]Calc!$E:$E, MATCH("L_ramp_m", [1]Calc!$C:$C, 0)) * TAN(RADIANS(INDEX([1]Calc!$E:$E, MATCH("theta_max_deg", [1]Calc!$C:$C, 0)))))</f>
        <v>2.5987491768118822</v>
      </c>
      <c r="D544" s="3"/>
      <c r="E544" s="3">
        <f t="shared" si="24"/>
        <v>2.5987491768118822</v>
      </c>
      <c r="F544" s="3">
        <f t="shared" si="25"/>
        <v>2.5987491768118822</v>
      </c>
      <c r="G544" s="3">
        <f>IF($E544="","", DEGREES(ATAN((INDEX([1]Calc!$E:$E, MATCH("KminusZ_m", [1]Calc!$C:$C, 0)) - $E544 + $B544) / INDEX([1]Calc!$E:$E, MATCH("L_ramp_m", [1]Calc!$C:$C, 0)))))</f>
        <v>6.0000000000000009</v>
      </c>
      <c r="H544" s="2" t="str">
        <f>IF($E544="","", IF(AND($E544&gt;=INDEX([1]Calc!$E:$E, MATCH("min_fwd_draft_m", [1]Calc!$C:$C, 0)), $E544&lt;=INDEX([1]Calc!$E:$E, MATCH("max_fwd_draft_m", [1]Calc!$C:$C, 0)), $G544&lt;=INDEX([1]Calc!$E:$E, MATCH("theta_max_deg", [1]Calc!$C:$C, 0))), "OK", "CHECK"))</f>
        <v>OK</v>
      </c>
      <c r="I544" s="3">
        <f>IF($E544="","", INDEX([1]Calc!$E:$E, MATCH("D_vessel_m", [1]Calc!$C:$C, 0)) - $E544 + $B544)</f>
        <v>1.9112508231881176</v>
      </c>
      <c r="J544" s="3">
        <f>IF($F544="","", INDEX([1]Calc!$E:$E, MATCH("D_vessel_m", [1]Calc!$C:$C, 0)) - $F544 + $B544)</f>
        <v>1.9112508231881176</v>
      </c>
      <c r="K544" s="2" t="str">
        <f t="shared" si="26"/>
        <v>Even Keel</v>
      </c>
    </row>
    <row r="545" spans="1:11" x14ac:dyDescent="0.6">
      <c r="A545" s="2" t="str">
        <f>IF('December_Tide_2025 (2)'!A545="","",'December_Tide_2025 (2)'!A545)</f>
        <v>2025-12-23 15:00:00</v>
      </c>
      <c r="B545" s="3">
        <f>IF('December_Tide_2025 (2)'!B545="","",'December_Tide_2025 (2)'!B545)</f>
        <v>0.99</v>
      </c>
      <c r="C545" s="3">
        <f>IF($A545="","", INDEX([1]Calc!$E:$E, MATCH("KminusZ_m", [1]Calc!$C:$C, 0)) + $B545 - INDEX([1]Calc!$E:$E, MATCH("L_ramp_m", [1]Calc!$C:$C, 0)) * TAN(RADIANS(INDEX([1]Calc!$E:$E, MATCH("theta_max_deg", [1]Calc!$C:$C, 0)))))</f>
        <v>2.7287491768118826</v>
      </c>
      <c r="D545" s="3"/>
      <c r="E545" s="3">
        <f t="shared" si="24"/>
        <v>2.7287491768118826</v>
      </c>
      <c r="F545" s="3">
        <f t="shared" si="25"/>
        <v>2.7287491768118826</v>
      </c>
      <c r="G545" s="3">
        <f>IF($E545="","", DEGREES(ATAN((INDEX([1]Calc!$E:$E, MATCH("KminusZ_m", [1]Calc!$C:$C, 0)) - $E545 + $B545) / INDEX([1]Calc!$E:$E, MATCH("L_ramp_m", [1]Calc!$C:$C, 0)))))</f>
        <v>6</v>
      </c>
      <c r="H545" s="2" t="str">
        <f>IF($E545="","", IF(AND($E545&gt;=INDEX([1]Calc!$E:$E, MATCH("min_fwd_draft_m", [1]Calc!$C:$C, 0)), $E545&lt;=INDEX([1]Calc!$E:$E, MATCH("max_fwd_draft_m", [1]Calc!$C:$C, 0)), $G545&lt;=INDEX([1]Calc!$E:$E, MATCH("theta_max_deg", [1]Calc!$C:$C, 0))), "OK", "CHECK"))</f>
        <v>OK</v>
      </c>
      <c r="I545" s="3">
        <f>IF($E545="","", INDEX([1]Calc!$E:$E, MATCH("D_vessel_m", [1]Calc!$C:$C, 0)) - $E545 + $B545)</f>
        <v>1.9112508231881173</v>
      </c>
      <c r="J545" s="3">
        <f>IF($F545="","", INDEX([1]Calc!$E:$E, MATCH("D_vessel_m", [1]Calc!$C:$C, 0)) - $F545 + $B545)</f>
        <v>1.9112508231881173</v>
      </c>
      <c r="K545" s="2" t="str">
        <f t="shared" si="26"/>
        <v>Even Keel</v>
      </c>
    </row>
    <row r="546" spans="1:11" x14ac:dyDescent="0.6">
      <c r="A546" s="2" t="str">
        <f>IF('December_Tide_2025 (2)'!A546="","",'December_Tide_2025 (2)'!A546)</f>
        <v>2025-12-23 16:00:00</v>
      </c>
      <c r="B546" s="3">
        <f>IF('December_Tide_2025 (2)'!B546="","",'December_Tide_2025 (2)'!B546)</f>
        <v>1.33</v>
      </c>
      <c r="C546" s="3">
        <f>IF($A546="","", INDEX([1]Calc!$E:$E, MATCH("KminusZ_m", [1]Calc!$C:$C, 0)) + $B546 - INDEX([1]Calc!$E:$E, MATCH("L_ramp_m", [1]Calc!$C:$C, 0)) * TAN(RADIANS(INDEX([1]Calc!$E:$E, MATCH("theta_max_deg", [1]Calc!$C:$C, 0)))))</f>
        <v>3.0687491768118824</v>
      </c>
      <c r="D546" s="3"/>
      <c r="E546" s="3">
        <f t="shared" si="24"/>
        <v>3.0687491768118824</v>
      </c>
      <c r="F546" s="3">
        <f t="shared" si="25"/>
        <v>3.0687491768118824</v>
      </c>
      <c r="G546" s="3">
        <f>IF($E546="","", DEGREES(ATAN((INDEX([1]Calc!$E:$E, MATCH("KminusZ_m", [1]Calc!$C:$C, 0)) - $E546 + $B546) / INDEX([1]Calc!$E:$E, MATCH("L_ramp_m", [1]Calc!$C:$C, 0)))))</f>
        <v>6.0000000000000009</v>
      </c>
      <c r="H546" s="2" t="str">
        <f>IF($E546="","", IF(AND($E546&gt;=INDEX([1]Calc!$E:$E, MATCH("min_fwd_draft_m", [1]Calc!$C:$C, 0)), $E546&lt;=INDEX([1]Calc!$E:$E, MATCH("max_fwd_draft_m", [1]Calc!$C:$C, 0)), $G546&lt;=INDEX([1]Calc!$E:$E, MATCH("theta_max_deg", [1]Calc!$C:$C, 0))), "OK", "CHECK"))</f>
        <v>OK</v>
      </c>
      <c r="I546" s="3">
        <f>IF($E546="","", INDEX([1]Calc!$E:$E, MATCH("D_vessel_m", [1]Calc!$C:$C, 0)) - $E546 + $B546)</f>
        <v>1.9112508231881176</v>
      </c>
      <c r="J546" s="3">
        <f>IF($F546="","", INDEX([1]Calc!$E:$E, MATCH("D_vessel_m", [1]Calc!$C:$C, 0)) - $F546 + $B546)</f>
        <v>1.9112508231881176</v>
      </c>
      <c r="K546" s="2" t="str">
        <f t="shared" si="26"/>
        <v>Even Keel</v>
      </c>
    </row>
    <row r="547" spans="1:11" x14ac:dyDescent="0.6">
      <c r="A547" s="2" t="str">
        <f>IF('December_Tide_2025 (2)'!A547="","",'December_Tide_2025 (2)'!A547)</f>
        <v>2025-12-23 17:00:00</v>
      </c>
      <c r="B547" s="3">
        <f>IF('December_Tide_2025 (2)'!B547="","",'December_Tide_2025 (2)'!B547)</f>
        <v>1.78</v>
      </c>
      <c r="C547" s="3">
        <f>IF($A547="","", INDEX([1]Calc!$E:$E, MATCH("KminusZ_m", [1]Calc!$C:$C, 0)) + $B547 - INDEX([1]Calc!$E:$E, MATCH("L_ramp_m", [1]Calc!$C:$C, 0)) * TAN(RADIANS(INDEX([1]Calc!$E:$E, MATCH("theta_max_deg", [1]Calc!$C:$C, 0)))))</f>
        <v>3.5187491768118826</v>
      </c>
      <c r="D547" s="3"/>
      <c r="E547" s="3">
        <f t="shared" si="24"/>
        <v>3.5187491768118826</v>
      </c>
      <c r="F547" s="3">
        <f t="shared" si="25"/>
        <v>3.5187491768118826</v>
      </c>
      <c r="G547" s="3">
        <f>IF($E547="","", DEGREES(ATAN((INDEX([1]Calc!$E:$E, MATCH("KminusZ_m", [1]Calc!$C:$C, 0)) - $E547 + $B547) / INDEX([1]Calc!$E:$E, MATCH("L_ramp_m", [1]Calc!$C:$C, 0)))))</f>
        <v>6</v>
      </c>
      <c r="H547" s="2" t="str">
        <f>IF($E547="","", IF(AND($E547&gt;=INDEX([1]Calc!$E:$E, MATCH("min_fwd_draft_m", [1]Calc!$C:$C, 0)), $E547&lt;=INDEX([1]Calc!$E:$E, MATCH("max_fwd_draft_m", [1]Calc!$C:$C, 0)), $G547&lt;=INDEX([1]Calc!$E:$E, MATCH("theta_max_deg", [1]Calc!$C:$C, 0))), "OK", "CHECK"))</f>
        <v>CHECK</v>
      </c>
      <c r="I547" s="3">
        <f>IF($E547="","", INDEX([1]Calc!$E:$E, MATCH("D_vessel_m", [1]Calc!$C:$C, 0)) - $E547 + $B547)</f>
        <v>1.9112508231881173</v>
      </c>
      <c r="J547" s="3">
        <f>IF($F547="","", INDEX([1]Calc!$E:$E, MATCH("D_vessel_m", [1]Calc!$C:$C, 0)) - $F547 + $B547)</f>
        <v>1.9112508231881173</v>
      </c>
      <c r="K547" s="2" t="str">
        <f t="shared" si="26"/>
        <v>Even Keel</v>
      </c>
    </row>
    <row r="548" spans="1:11" x14ac:dyDescent="0.6">
      <c r="A548" s="2" t="str">
        <f>IF('December_Tide_2025 (2)'!A548="","",'December_Tide_2025 (2)'!A548)</f>
        <v>2025-12-23 18:00:00</v>
      </c>
      <c r="B548" s="3">
        <f>IF('December_Tide_2025 (2)'!B548="","",'December_Tide_2025 (2)'!B548)</f>
        <v>2.2400000000000002</v>
      </c>
      <c r="C548" s="3">
        <f>IF($A548="","", INDEX([1]Calc!$E:$E, MATCH("KminusZ_m", [1]Calc!$C:$C, 0)) + $B548 - INDEX([1]Calc!$E:$E, MATCH("L_ramp_m", [1]Calc!$C:$C, 0)) * TAN(RADIANS(INDEX([1]Calc!$E:$E, MATCH("theta_max_deg", [1]Calc!$C:$C, 0)))))</f>
        <v>3.9787491768118826</v>
      </c>
      <c r="D548" s="3"/>
      <c r="E548" s="3">
        <f t="shared" si="24"/>
        <v>3.9787491768118826</v>
      </c>
      <c r="F548" s="3">
        <f t="shared" si="25"/>
        <v>3.9787491768118826</v>
      </c>
      <c r="G548" s="3">
        <f>IF($E548="","", DEGREES(ATAN((INDEX([1]Calc!$E:$E, MATCH("KminusZ_m", [1]Calc!$C:$C, 0)) - $E548 + $B548) / INDEX([1]Calc!$E:$E, MATCH("L_ramp_m", [1]Calc!$C:$C, 0)))))</f>
        <v>6.0000000000000009</v>
      </c>
      <c r="H548" s="2" t="str">
        <f>IF($E548="","", IF(AND($E548&gt;=INDEX([1]Calc!$E:$E, MATCH("min_fwd_draft_m", [1]Calc!$C:$C, 0)), $E548&lt;=INDEX([1]Calc!$E:$E, MATCH("max_fwd_draft_m", [1]Calc!$C:$C, 0)), $G548&lt;=INDEX([1]Calc!$E:$E, MATCH("theta_max_deg", [1]Calc!$C:$C, 0))), "OK", "CHECK"))</f>
        <v>CHECK</v>
      </c>
      <c r="I548" s="3">
        <f>IF($E548="","", INDEX([1]Calc!$E:$E, MATCH("D_vessel_m", [1]Calc!$C:$C, 0)) - $E548 + $B548)</f>
        <v>1.9112508231881176</v>
      </c>
      <c r="J548" s="3">
        <f>IF($F548="","", INDEX([1]Calc!$E:$E, MATCH("D_vessel_m", [1]Calc!$C:$C, 0)) - $F548 + $B548)</f>
        <v>1.9112508231881176</v>
      </c>
      <c r="K548" s="2" t="str">
        <f t="shared" si="26"/>
        <v>Even Keel</v>
      </c>
    </row>
    <row r="549" spans="1:11" x14ac:dyDescent="0.6">
      <c r="A549" s="2" t="str">
        <f>IF('December_Tide_2025 (2)'!A549="","",'December_Tide_2025 (2)'!A549)</f>
        <v>2025-12-23 19:00:00</v>
      </c>
      <c r="B549" s="3">
        <f>IF('December_Tide_2025 (2)'!B549="","",'December_Tide_2025 (2)'!B549)</f>
        <v>2.58</v>
      </c>
      <c r="C549" s="3">
        <f>IF($A549="","", INDEX([1]Calc!$E:$E, MATCH("KminusZ_m", [1]Calc!$C:$C, 0)) + $B549 - INDEX([1]Calc!$E:$E, MATCH("L_ramp_m", [1]Calc!$C:$C, 0)) * TAN(RADIANS(INDEX([1]Calc!$E:$E, MATCH("theta_max_deg", [1]Calc!$C:$C, 0)))))</f>
        <v>4.3187491768118829</v>
      </c>
      <c r="D549" s="3"/>
      <c r="E549" s="3">
        <f t="shared" si="24"/>
        <v>4.3187491768118829</v>
      </c>
      <c r="F549" s="3">
        <f t="shared" si="25"/>
        <v>4.3187491768118829</v>
      </c>
      <c r="G549" s="3">
        <f>IF($E549="","", DEGREES(ATAN((INDEX([1]Calc!$E:$E, MATCH("KminusZ_m", [1]Calc!$C:$C, 0)) - $E549 + $B549) / INDEX([1]Calc!$E:$E, MATCH("L_ramp_m", [1]Calc!$C:$C, 0)))))</f>
        <v>5.9999999999999982</v>
      </c>
      <c r="H549" s="2" t="str">
        <f>IF($E549="","", IF(AND($E549&gt;=INDEX([1]Calc!$E:$E, MATCH("min_fwd_draft_m", [1]Calc!$C:$C, 0)), $E549&lt;=INDEX([1]Calc!$E:$E, MATCH("max_fwd_draft_m", [1]Calc!$C:$C, 0)), $G549&lt;=INDEX([1]Calc!$E:$E, MATCH("theta_max_deg", [1]Calc!$C:$C, 0))), "OK", "CHECK"))</f>
        <v>CHECK</v>
      </c>
      <c r="I549" s="3">
        <f>IF($E549="","", INDEX([1]Calc!$E:$E, MATCH("D_vessel_m", [1]Calc!$C:$C, 0)) - $E549 + $B549)</f>
        <v>1.9112508231881171</v>
      </c>
      <c r="J549" s="3">
        <f>IF($F549="","", INDEX([1]Calc!$E:$E, MATCH("D_vessel_m", [1]Calc!$C:$C, 0)) - $F549 + $B549)</f>
        <v>1.9112508231881171</v>
      </c>
      <c r="K549" s="2" t="str">
        <f t="shared" si="26"/>
        <v>Even Keel</v>
      </c>
    </row>
    <row r="550" spans="1:11" x14ac:dyDescent="0.6">
      <c r="A550" s="2" t="str">
        <f>IF('December_Tide_2025 (2)'!A550="","",'December_Tide_2025 (2)'!A550)</f>
        <v>2025-12-23 20:00:00</v>
      </c>
      <c r="B550" s="3">
        <f>IF('December_Tide_2025 (2)'!B550="","",'December_Tide_2025 (2)'!B550)</f>
        <v>2.73</v>
      </c>
      <c r="C550" s="3">
        <f>IF($A550="","", INDEX([1]Calc!$E:$E, MATCH("KminusZ_m", [1]Calc!$C:$C, 0)) + $B550 - INDEX([1]Calc!$E:$E, MATCH("L_ramp_m", [1]Calc!$C:$C, 0)) * TAN(RADIANS(INDEX([1]Calc!$E:$E, MATCH("theta_max_deg", [1]Calc!$C:$C, 0)))))</f>
        <v>4.4687491768118832</v>
      </c>
      <c r="D550" s="3"/>
      <c r="E550" s="3">
        <f t="shared" si="24"/>
        <v>4.4687491768118832</v>
      </c>
      <c r="F550" s="3">
        <f t="shared" si="25"/>
        <v>4.4687491768118832</v>
      </c>
      <c r="G550" s="3">
        <f>IF($E550="","", DEGREES(ATAN((INDEX([1]Calc!$E:$E, MATCH("KminusZ_m", [1]Calc!$C:$C, 0)) - $E550 + $B550) / INDEX([1]Calc!$E:$E, MATCH("L_ramp_m", [1]Calc!$C:$C, 0)))))</f>
        <v>5.9999999999999964</v>
      </c>
      <c r="H550" s="2" t="str">
        <f>IF($E550="","", IF(AND($E550&gt;=INDEX([1]Calc!$E:$E, MATCH("min_fwd_draft_m", [1]Calc!$C:$C, 0)), $E550&lt;=INDEX([1]Calc!$E:$E, MATCH("max_fwd_draft_m", [1]Calc!$C:$C, 0)), $G550&lt;=INDEX([1]Calc!$E:$E, MATCH("theta_max_deg", [1]Calc!$C:$C, 0))), "OK", "CHECK"))</f>
        <v>CHECK</v>
      </c>
      <c r="I550" s="3">
        <f>IF($E550="","", INDEX([1]Calc!$E:$E, MATCH("D_vessel_m", [1]Calc!$C:$C, 0)) - $E550 + $B550)</f>
        <v>1.9112508231881167</v>
      </c>
      <c r="J550" s="3">
        <f>IF($F550="","", INDEX([1]Calc!$E:$E, MATCH("D_vessel_m", [1]Calc!$C:$C, 0)) - $F550 + $B550)</f>
        <v>1.9112508231881167</v>
      </c>
      <c r="K550" s="2" t="str">
        <f t="shared" si="26"/>
        <v>Even Keel</v>
      </c>
    </row>
    <row r="551" spans="1:11" x14ac:dyDescent="0.6">
      <c r="A551" s="2" t="str">
        <f>IF('December_Tide_2025 (2)'!A551="","",'December_Tide_2025 (2)'!A551)</f>
        <v>2025-12-23 21:00:00</v>
      </c>
      <c r="B551" s="3">
        <f>IF('December_Tide_2025 (2)'!B551="","",'December_Tide_2025 (2)'!B551)</f>
        <v>2.65</v>
      </c>
      <c r="C551" s="3">
        <f>IF($A551="","", INDEX([1]Calc!$E:$E, MATCH("KminusZ_m", [1]Calc!$C:$C, 0)) + $B551 - INDEX([1]Calc!$E:$E, MATCH("L_ramp_m", [1]Calc!$C:$C, 0)) * TAN(RADIANS(INDEX([1]Calc!$E:$E, MATCH("theta_max_deg", [1]Calc!$C:$C, 0)))))</f>
        <v>4.3887491768118831</v>
      </c>
      <c r="D551" s="3"/>
      <c r="E551" s="3">
        <f t="shared" si="24"/>
        <v>4.3887491768118831</v>
      </c>
      <c r="F551" s="3">
        <f t="shared" si="25"/>
        <v>4.3887491768118831</v>
      </c>
      <c r="G551" s="3">
        <f>IF($E551="","", DEGREES(ATAN((INDEX([1]Calc!$E:$E, MATCH("KminusZ_m", [1]Calc!$C:$C, 0)) - $E551 + $B551) / INDEX([1]Calc!$E:$E, MATCH("L_ramp_m", [1]Calc!$C:$C, 0)))))</f>
        <v>5.9999999999999964</v>
      </c>
      <c r="H551" s="2" t="str">
        <f>IF($E551="","", IF(AND($E551&gt;=INDEX([1]Calc!$E:$E, MATCH("min_fwd_draft_m", [1]Calc!$C:$C, 0)), $E551&lt;=INDEX([1]Calc!$E:$E, MATCH("max_fwd_draft_m", [1]Calc!$C:$C, 0)), $G551&lt;=INDEX([1]Calc!$E:$E, MATCH("theta_max_deg", [1]Calc!$C:$C, 0))), "OK", "CHECK"))</f>
        <v>CHECK</v>
      </c>
      <c r="I551" s="3">
        <f>IF($E551="","", INDEX([1]Calc!$E:$E, MATCH("D_vessel_m", [1]Calc!$C:$C, 0)) - $E551 + $B551)</f>
        <v>1.9112508231881167</v>
      </c>
      <c r="J551" s="3">
        <f>IF($F551="","", INDEX([1]Calc!$E:$E, MATCH("D_vessel_m", [1]Calc!$C:$C, 0)) - $F551 + $B551)</f>
        <v>1.9112508231881167</v>
      </c>
      <c r="K551" s="2" t="str">
        <f t="shared" si="26"/>
        <v>Even Keel</v>
      </c>
    </row>
    <row r="552" spans="1:11" x14ac:dyDescent="0.6">
      <c r="A552" s="2" t="str">
        <f>IF('December_Tide_2025 (2)'!A552="","",'December_Tide_2025 (2)'!A552)</f>
        <v>2025-12-23 22:00:00</v>
      </c>
      <c r="B552" s="3">
        <f>IF('December_Tide_2025 (2)'!B552="","",'December_Tide_2025 (2)'!B552)</f>
        <v>2.35</v>
      </c>
      <c r="C552" s="3">
        <f>IF($A552="","", INDEX([1]Calc!$E:$E, MATCH("KminusZ_m", [1]Calc!$C:$C, 0)) + $B552 - INDEX([1]Calc!$E:$E, MATCH("L_ramp_m", [1]Calc!$C:$C, 0)) * TAN(RADIANS(INDEX([1]Calc!$E:$E, MATCH("theta_max_deg", [1]Calc!$C:$C, 0)))))</f>
        <v>4.0887491768118824</v>
      </c>
      <c r="D552" s="3"/>
      <c r="E552" s="3">
        <f t="shared" si="24"/>
        <v>4.0887491768118824</v>
      </c>
      <c r="F552" s="3">
        <f t="shared" si="25"/>
        <v>4.0887491768118824</v>
      </c>
      <c r="G552" s="3">
        <f>IF($E552="","", DEGREES(ATAN((INDEX([1]Calc!$E:$E, MATCH("KminusZ_m", [1]Calc!$C:$C, 0)) - $E552 + $B552) / INDEX([1]Calc!$E:$E, MATCH("L_ramp_m", [1]Calc!$C:$C, 0)))))</f>
        <v>6.0000000000000009</v>
      </c>
      <c r="H552" s="2" t="str">
        <f>IF($E552="","", IF(AND($E552&gt;=INDEX([1]Calc!$E:$E, MATCH("min_fwd_draft_m", [1]Calc!$C:$C, 0)), $E552&lt;=INDEX([1]Calc!$E:$E, MATCH("max_fwd_draft_m", [1]Calc!$C:$C, 0)), $G552&lt;=INDEX([1]Calc!$E:$E, MATCH("theta_max_deg", [1]Calc!$C:$C, 0))), "OK", "CHECK"))</f>
        <v>CHECK</v>
      </c>
      <c r="I552" s="3">
        <f>IF($E552="","", INDEX([1]Calc!$E:$E, MATCH("D_vessel_m", [1]Calc!$C:$C, 0)) - $E552 + $B552)</f>
        <v>1.9112508231881176</v>
      </c>
      <c r="J552" s="3">
        <f>IF($F552="","", INDEX([1]Calc!$E:$E, MATCH("D_vessel_m", [1]Calc!$C:$C, 0)) - $F552 + $B552)</f>
        <v>1.9112508231881176</v>
      </c>
      <c r="K552" s="2" t="str">
        <f t="shared" si="26"/>
        <v>Even Keel</v>
      </c>
    </row>
    <row r="553" spans="1:11" x14ac:dyDescent="0.6">
      <c r="A553" s="2" t="str">
        <f>IF('December_Tide_2025 (2)'!A553="","",'December_Tide_2025 (2)'!A553)</f>
        <v>2025-12-23 23:00:00</v>
      </c>
      <c r="B553" s="3">
        <f>IF('December_Tide_2025 (2)'!B553="","",'December_Tide_2025 (2)'!B553)</f>
        <v>1.92</v>
      </c>
      <c r="C553" s="3">
        <f>IF($A553="","", INDEX([1]Calc!$E:$E, MATCH("KminusZ_m", [1]Calc!$C:$C, 0)) + $B553 - INDEX([1]Calc!$E:$E, MATCH("L_ramp_m", [1]Calc!$C:$C, 0)) * TAN(RADIANS(INDEX([1]Calc!$E:$E, MATCH("theta_max_deg", [1]Calc!$C:$C, 0)))))</f>
        <v>3.6587491768118823</v>
      </c>
      <c r="D553" s="3"/>
      <c r="E553" s="3">
        <f t="shared" si="24"/>
        <v>3.6587491768118823</v>
      </c>
      <c r="F553" s="3">
        <f t="shared" si="25"/>
        <v>3.6587491768118823</v>
      </c>
      <c r="G553" s="3">
        <f>IF($E553="","", DEGREES(ATAN((INDEX([1]Calc!$E:$E, MATCH("KminusZ_m", [1]Calc!$C:$C, 0)) - $E553 + $B553) / INDEX([1]Calc!$E:$E, MATCH("L_ramp_m", [1]Calc!$C:$C, 0)))))</f>
        <v>6.0000000000000009</v>
      </c>
      <c r="H553" s="2" t="str">
        <f>IF($E553="","", IF(AND($E553&gt;=INDEX([1]Calc!$E:$E, MATCH("min_fwd_draft_m", [1]Calc!$C:$C, 0)), $E553&lt;=INDEX([1]Calc!$E:$E, MATCH("max_fwd_draft_m", [1]Calc!$C:$C, 0)), $G553&lt;=INDEX([1]Calc!$E:$E, MATCH("theta_max_deg", [1]Calc!$C:$C, 0))), "OK", "CHECK"))</f>
        <v>CHECK</v>
      </c>
      <c r="I553" s="3">
        <f>IF($E553="","", INDEX([1]Calc!$E:$E, MATCH("D_vessel_m", [1]Calc!$C:$C, 0)) - $E553 + $B553)</f>
        <v>1.9112508231881176</v>
      </c>
      <c r="J553" s="3">
        <f>IF($F553="","", INDEX([1]Calc!$E:$E, MATCH("D_vessel_m", [1]Calc!$C:$C, 0)) - $F553 + $B553)</f>
        <v>1.9112508231881176</v>
      </c>
      <c r="K553" s="2" t="str">
        <f t="shared" si="26"/>
        <v>Even Keel</v>
      </c>
    </row>
    <row r="554" spans="1:11" x14ac:dyDescent="0.6">
      <c r="A554" s="2" t="str">
        <f>IF('December_Tide_2025 (2)'!A554="","",'December_Tide_2025 (2)'!A554)</f>
        <v>2025-12-24 00:00:00</v>
      </c>
      <c r="B554" s="3">
        <f>IF('December_Tide_2025 (2)'!B554="","",'December_Tide_2025 (2)'!B554)</f>
        <v>1.45</v>
      </c>
      <c r="C554" s="3">
        <f>IF($A554="","", INDEX([1]Calc!$E:$E, MATCH("KminusZ_m", [1]Calc!$C:$C, 0)) + $B554 - INDEX([1]Calc!$E:$E, MATCH("L_ramp_m", [1]Calc!$C:$C, 0)) * TAN(RADIANS(INDEX([1]Calc!$E:$E, MATCH("theta_max_deg", [1]Calc!$C:$C, 0)))))</f>
        <v>3.1887491768118825</v>
      </c>
      <c r="D554" s="3"/>
      <c r="E554" s="3">
        <f t="shared" si="24"/>
        <v>3.1887491768118825</v>
      </c>
      <c r="F554" s="3">
        <f t="shared" si="25"/>
        <v>3.1887491768118825</v>
      </c>
      <c r="G554" s="3">
        <f>IF($E554="","", DEGREES(ATAN((INDEX([1]Calc!$E:$E, MATCH("KminusZ_m", [1]Calc!$C:$C, 0)) - $E554 + $B554) / INDEX([1]Calc!$E:$E, MATCH("L_ramp_m", [1]Calc!$C:$C, 0)))))</f>
        <v>6</v>
      </c>
      <c r="H554" s="2" t="str">
        <f>IF($E554="","", IF(AND($E554&gt;=INDEX([1]Calc!$E:$E, MATCH("min_fwd_draft_m", [1]Calc!$C:$C, 0)), $E554&lt;=INDEX([1]Calc!$E:$E, MATCH("max_fwd_draft_m", [1]Calc!$C:$C, 0)), $G554&lt;=INDEX([1]Calc!$E:$E, MATCH("theta_max_deg", [1]Calc!$C:$C, 0))), "OK", "CHECK"))</f>
        <v>OK</v>
      </c>
      <c r="I554" s="3">
        <f>IF($E554="","", INDEX([1]Calc!$E:$E, MATCH("D_vessel_m", [1]Calc!$C:$C, 0)) - $E554 + $B554)</f>
        <v>1.9112508231881173</v>
      </c>
      <c r="J554" s="3">
        <f>IF($F554="","", INDEX([1]Calc!$E:$E, MATCH("D_vessel_m", [1]Calc!$C:$C, 0)) - $F554 + $B554)</f>
        <v>1.9112508231881173</v>
      </c>
      <c r="K554" s="2" t="str">
        <f t="shared" si="26"/>
        <v>Even Keel</v>
      </c>
    </row>
    <row r="555" spans="1:11" x14ac:dyDescent="0.6">
      <c r="A555" s="2" t="str">
        <f>IF('December_Tide_2025 (2)'!A555="","",'December_Tide_2025 (2)'!A555)</f>
        <v>2025-12-24 01:00:00</v>
      </c>
      <c r="B555" s="3">
        <f>IF('December_Tide_2025 (2)'!B555="","",'December_Tide_2025 (2)'!B555)</f>
        <v>1.07</v>
      </c>
      <c r="C555" s="3">
        <f>IF($A555="","", INDEX([1]Calc!$E:$E, MATCH("KminusZ_m", [1]Calc!$C:$C, 0)) + $B555 - INDEX([1]Calc!$E:$E, MATCH("L_ramp_m", [1]Calc!$C:$C, 0)) * TAN(RADIANS(INDEX([1]Calc!$E:$E, MATCH("theta_max_deg", [1]Calc!$C:$C, 0)))))</f>
        <v>2.8087491768118826</v>
      </c>
      <c r="D555" s="3"/>
      <c r="E555" s="3">
        <f t="shared" si="24"/>
        <v>2.8087491768118826</v>
      </c>
      <c r="F555" s="3">
        <f t="shared" si="25"/>
        <v>2.8087491768118826</v>
      </c>
      <c r="G555" s="3">
        <f>IF($E555="","", DEGREES(ATAN((INDEX([1]Calc!$E:$E, MATCH("KminusZ_m", [1]Calc!$C:$C, 0)) - $E555 + $B555) / INDEX([1]Calc!$E:$E, MATCH("L_ramp_m", [1]Calc!$C:$C, 0)))))</f>
        <v>6</v>
      </c>
      <c r="H555" s="2" t="str">
        <f>IF($E555="","", IF(AND($E555&gt;=INDEX([1]Calc!$E:$E, MATCH("min_fwd_draft_m", [1]Calc!$C:$C, 0)), $E555&lt;=INDEX([1]Calc!$E:$E, MATCH("max_fwd_draft_m", [1]Calc!$C:$C, 0)), $G555&lt;=INDEX([1]Calc!$E:$E, MATCH("theta_max_deg", [1]Calc!$C:$C, 0))), "OK", "CHECK"))</f>
        <v>OK</v>
      </c>
      <c r="I555" s="3">
        <f>IF($E555="","", INDEX([1]Calc!$E:$E, MATCH("D_vessel_m", [1]Calc!$C:$C, 0)) - $E555 + $B555)</f>
        <v>1.9112508231881173</v>
      </c>
      <c r="J555" s="3">
        <f>IF($F555="","", INDEX([1]Calc!$E:$E, MATCH("D_vessel_m", [1]Calc!$C:$C, 0)) - $F555 + $B555)</f>
        <v>1.9112508231881173</v>
      </c>
      <c r="K555" s="2" t="str">
        <f t="shared" si="26"/>
        <v>Even Keel</v>
      </c>
    </row>
    <row r="556" spans="1:11" x14ac:dyDescent="0.6">
      <c r="A556" s="2" t="str">
        <f>IF('December_Tide_2025 (2)'!A556="","",'December_Tide_2025 (2)'!A556)</f>
        <v>2025-12-24 02:00:00</v>
      </c>
      <c r="B556" s="3">
        <f>IF('December_Tide_2025 (2)'!B556="","",'December_Tide_2025 (2)'!B556)</f>
        <v>0.88</v>
      </c>
      <c r="C556" s="3">
        <f>IF($A556="","", INDEX([1]Calc!$E:$E, MATCH("KminusZ_m", [1]Calc!$C:$C, 0)) + $B556 - INDEX([1]Calc!$E:$E, MATCH("L_ramp_m", [1]Calc!$C:$C, 0)) * TAN(RADIANS(INDEX([1]Calc!$E:$E, MATCH("theta_max_deg", [1]Calc!$C:$C, 0)))))</f>
        <v>2.6187491768118822</v>
      </c>
      <c r="D556" s="3"/>
      <c r="E556" s="3">
        <f t="shared" si="24"/>
        <v>2.6187491768118822</v>
      </c>
      <c r="F556" s="3">
        <f t="shared" si="25"/>
        <v>2.6187491768118822</v>
      </c>
      <c r="G556" s="3">
        <f>IF($E556="","", DEGREES(ATAN((INDEX([1]Calc!$E:$E, MATCH("KminusZ_m", [1]Calc!$C:$C, 0)) - $E556 + $B556) / INDEX([1]Calc!$E:$E, MATCH("L_ramp_m", [1]Calc!$C:$C, 0)))))</f>
        <v>6.0000000000000009</v>
      </c>
      <c r="H556" s="2" t="str">
        <f>IF($E556="","", IF(AND($E556&gt;=INDEX([1]Calc!$E:$E, MATCH("min_fwd_draft_m", [1]Calc!$C:$C, 0)), $E556&lt;=INDEX([1]Calc!$E:$E, MATCH("max_fwd_draft_m", [1]Calc!$C:$C, 0)), $G556&lt;=INDEX([1]Calc!$E:$E, MATCH("theta_max_deg", [1]Calc!$C:$C, 0))), "OK", "CHECK"))</f>
        <v>OK</v>
      </c>
      <c r="I556" s="3">
        <f>IF($E556="","", INDEX([1]Calc!$E:$E, MATCH("D_vessel_m", [1]Calc!$C:$C, 0)) - $E556 + $B556)</f>
        <v>1.9112508231881176</v>
      </c>
      <c r="J556" s="3">
        <f>IF($F556="","", INDEX([1]Calc!$E:$E, MATCH("D_vessel_m", [1]Calc!$C:$C, 0)) - $F556 + $B556)</f>
        <v>1.9112508231881176</v>
      </c>
      <c r="K556" s="2" t="str">
        <f t="shared" si="26"/>
        <v>Even Keel</v>
      </c>
    </row>
    <row r="557" spans="1:11" x14ac:dyDescent="0.6">
      <c r="A557" s="2" t="str">
        <f>IF('December_Tide_2025 (2)'!A557="","",'December_Tide_2025 (2)'!A557)</f>
        <v>2025-12-24 03:00:00</v>
      </c>
      <c r="B557" s="3">
        <f>IF('December_Tide_2025 (2)'!B557="","",'December_Tide_2025 (2)'!B557)</f>
        <v>0.91</v>
      </c>
      <c r="C557" s="3">
        <f>IF($A557="","", INDEX([1]Calc!$E:$E, MATCH("KminusZ_m", [1]Calc!$C:$C, 0)) + $B557 - INDEX([1]Calc!$E:$E, MATCH("L_ramp_m", [1]Calc!$C:$C, 0)) * TAN(RADIANS(INDEX([1]Calc!$E:$E, MATCH("theta_max_deg", [1]Calc!$C:$C, 0)))))</f>
        <v>2.6487491768118825</v>
      </c>
      <c r="D557" s="3"/>
      <c r="E557" s="3">
        <f t="shared" si="24"/>
        <v>2.6487491768118825</v>
      </c>
      <c r="F557" s="3">
        <f t="shared" si="25"/>
        <v>2.6487491768118825</v>
      </c>
      <c r="G557" s="3">
        <f>IF($E557="","", DEGREES(ATAN((INDEX([1]Calc!$E:$E, MATCH("KminusZ_m", [1]Calc!$C:$C, 0)) - $E557 + $B557) / INDEX([1]Calc!$E:$E, MATCH("L_ramp_m", [1]Calc!$C:$C, 0)))))</f>
        <v>6.0000000000000009</v>
      </c>
      <c r="H557" s="2" t="str">
        <f>IF($E557="","", IF(AND($E557&gt;=INDEX([1]Calc!$E:$E, MATCH("min_fwd_draft_m", [1]Calc!$C:$C, 0)), $E557&lt;=INDEX([1]Calc!$E:$E, MATCH("max_fwd_draft_m", [1]Calc!$C:$C, 0)), $G557&lt;=INDEX([1]Calc!$E:$E, MATCH("theta_max_deg", [1]Calc!$C:$C, 0))), "OK", "CHECK"))</f>
        <v>OK</v>
      </c>
      <c r="I557" s="3">
        <f>IF($E557="","", INDEX([1]Calc!$E:$E, MATCH("D_vessel_m", [1]Calc!$C:$C, 0)) - $E557 + $B557)</f>
        <v>1.9112508231881176</v>
      </c>
      <c r="J557" s="3">
        <f>IF($F557="","", INDEX([1]Calc!$E:$E, MATCH("D_vessel_m", [1]Calc!$C:$C, 0)) - $F557 + $B557)</f>
        <v>1.9112508231881176</v>
      </c>
      <c r="K557" s="2" t="str">
        <f t="shared" si="26"/>
        <v>Even Keel</v>
      </c>
    </row>
    <row r="558" spans="1:11" x14ac:dyDescent="0.6">
      <c r="A558" s="2" t="str">
        <f>IF('December_Tide_2025 (2)'!A558="","",'December_Tide_2025 (2)'!A558)</f>
        <v>2025-12-24 04:00:00</v>
      </c>
      <c r="B558" s="3">
        <f>IF('December_Tide_2025 (2)'!B558="","",'December_Tide_2025 (2)'!B558)</f>
        <v>1.17</v>
      </c>
      <c r="C558" s="3">
        <f>IF($A558="","", INDEX([1]Calc!$E:$E, MATCH("KminusZ_m", [1]Calc!$C:$C, 0)) + $B558 - INDEX([1]Calc!$E:$E, MATCH("L_ramp_m", [1]Calc!$C:$C, 0)) * TAN(RADIANS(INDEX([1]Calc!$E:$E, MATCH("theta_max_deg", [1]Calc!$C:$C, 0)))))</f>
        <v>2.9087491768118823</v>
      </c>
      <c r="D558" s="3"/>
      <c r="E558" s="3">
        <f t="shared" si="24"/>
        <v>2.9087491768118823</v>
      </c>
      <c r="F558" s="3">
        <f t="shared" si="25"/>
        <v>2.9087491768118823</v>
      </c>
      <c r="G558" s="3">
        <f>IF($E558="","", DEGREES(ATAN((INDEX([1]Calc!$E:$E, MATCH("KminusZ_m", [1]Calc!$C:$C, 0)) - $E558 + $B558) / INDEX([1]Calc!$E:$E, MATCH("L_ramp_m", [1]Calc!$C:$C, 0)))))</f>
        <v>6.0000000000000009</v>
      </c>
      <c r="H558" s="2" t="str">
        <f>IF($E558="","", IF(AND($E558&gt;=INDEX([1]Calc!$E:$E, MATCH("min_fwd_draft_m", [1]Calc!$C:$C, 0)), $E558&lt;=INDEX([1]Calc!$E:$E, MATCH("max_fwd_draft_m", [1]Calc!$C:$C, 0)), $G558&lt;=INDEX([1]Calc!$E:$E, MATCH("theta_max_deg", [1]Calc!$C:$C, 0))), "OK", "CHECK"))</f>
        <v>OK</v>
      </c>
      <c r="I558" s="3">
        <f>IF($E558="","", INDEX([1]Calc!$E:$E, MATCH("D_vessel_m", [1]Calc!$C:$C, 0)) - $E558 + $B558)</f>
        <v>1.9112508231881176</v>
      </c>
      <c r="J558" s="3">
        <f>IF($F558="","", INDEX([1]Calc!$E:$E, MATCH("D_vessel_m", [1]Calc!$C:$C, 0)) - $F558 + $B558)</f>
        <v>1.9112508231881176</v>
      </c>
      <c r="K558" s="2" t="str">
        <f t="shared" si="26"/>
        <v>Even Keel</v>
      </c>
    </row>
    <row r="559" spans="1:11" x14ac:dyDescent="0.6">
      <c r="A559" s="2" t="str">
        <f>IF('December_Tide_2025 (2)'!A559="","",'December_Tide_2025 (2)'!A559)</f>
        <v>2025-12-24 05:00:00</v>
      </c>
      <c r="B559" s="3">
        <f>IF('December_Tide_2025 (2)'!B559="","",'December_Tide_2025 (2)'!B559)</f>
        <v>1.59</v>
      </c>
      <c r="C559" s="3">
        <f>IF($A559="","", INDEX([1]Calc!$E:$E, MATCH("KminusZ_m", [1]Calc!$C:$C, 0)) + $B559 - INDEX([1]Calc!$E:$E, MATCH("L_ramp_m", [1]Calc!$C:$C, 0)) * TAN(RADIANS(INDEX([1]Calc!$E:$E, MATCH("theta_max_deg", [1]Calc!$C:$C, 0)))))</f>
        <v>3.3287491768118822</v>
      </c>
      <c r="D559" s="3"/>
      <c r="E559" s="3">
        <f t="shared" si="24"/>
        <v>3.3287491768118822</v>
      </c>
      <c r="F559" s="3">
        <f t="shared" si="25"/>
        <v>3.3287491768118822</v>
      </c>
      <c r="G559" s="3">
        <f>IF($E559="","", DEGREES(ATAN((INDEX([1]Calc!$E:$E, MATCH("KminusZ_m", [1]Calc!$C:$C, 0)) - $E559 + $B559) / INDEX([1]Calc!$E:$E, MATCH("L_ramp_m", [1]Calc!$C:$C, 0)))))</f>
        <v>6.0000000000000009</v>
      </c>
      <c r="H559" s="2" t="str">
        <f>IF($E559="","", IF(AND($E559&gt;=INDEX([1]Calc!$E:$E, MATCH("min_fwd_draft_m", [1]Calc!$C:$C, 0)), $E559&lt;=INDEX([1]Calc!$E:$E, MATCH("max_fwd_draft_m", [1]Calc!$C:$C, 0)), $G559&lt;=INDEX([1]Calc!$E:$E, MATCH("theta_max_deg", [1]Calc!$C:$C, 0))), "OK", "CHECK"))</f>
        <v>OK</v>
      </c>
      <c r="I559" s="3">
        <f>IF($E559="","", INDEX([1]Calc!$E:$E, MATCH("D_vessel_m", [1]Calc!$C:$C, 0)) - $E559 + $B559)</f>
        <v>1.9112508231881178</v>
      </c>
      <c r="J559" s="3">
        <f>IF($F559="","", INDEX([1]Calc!$E:$E, MATCH("D_vessel_m", [1]Calc!$C:$C, 0)) - $F559 + $B559)</f>
        <v>1.9112508231881178</v>
      </c>
      <c r="K559" s="2" t="str">
        <f t="shared" si="26"/>
        <v>Even Keel</v>
      </c>
    </row>
    <row r="560" spans="1:11" x14ac:dyDescent="0.6">
      <c r="A560" s="2" t="str">
        <f>IF('December_Tide_2025 (2)'!A560="","",'December_Tide_2025 (2)'!A560)</f>
        <v>2025-12-24 06:00:00</v>
      </c>
      <c r="B560" s="3">
        <f>IF('December_Tide_2025 (2)'!B560="","",'December_Tide_2025 (2)'!B560)</f>
        <v>2.06</v>
      </c>
      <c r="C560" s="3">
        <f>IF($A560="","", INDEX([1]Calc!$E:$E, MATCH("KminusZ_m", [1]Calc!$C:$C, 0)) + $B560 - INDEX([1]Calc!$E:$E, MATCH("L_ramp_m", [1]Calc!$C:$C, 0)) * TAN(RADIANS(INDEX([1]Calc!$E:$E, MATCH("theta_max_deg", [1]Calc!$C:$C, 0)))))</f>
        <v>3.7987491768118828</v>
      </c>
      <c r="D560" s="3"/>
      <c r="E560" s="3">
        <f t="shared" si="24"/>
        <v>3.7987491768118828</v>
      </c>
      <c r="F560" s="3">
        <f t="shared" si="25"/>
        <v>3.7987491768118828</v>
      </c>
      <c r="G560" s="3">
        <f>IF($E560="","", DEGREES(ATAN((INDEX([1]Calc!$E:$E, MATCH("KminusZ_m", [1]Calc!$C:$C, 0)) - $E560 + $B560) / INDEX([1]Calc!$E:$E, MATCH("L_ramp_m", [1]Calc!$C:$C, 0)))))</f>
        <v>5.9999999999999982</v>
      </c>
      <c r="H560" s="2" t="str">
        <f>IF($E560="","", IF(AND($E560&gt;=INDEX([1]Calc!$E:$E, MATCH("min_fwd_draft_m", [1]Calc!$C:$C, 0)), $E560&lt;=INDEX([1]Calc!$E:$E, MATCH("max_fwd_draft_m", [1]Calc!$C:$C, 0)), $G560&lt;=INDEX([1]Calc!$E:$E, MATCH("theta_max_deg", [1]Calc!$C:$C, 0))), "OK", "CHECK"))</f>
        <v>CHECK</v>
      </c>
      <c r="I560" s="3">
        <f>IF($E560="","", INDEX([1]Calc!$E:$E, MATCH("D_vessel_m", [1]Calc!$C:$C, 0)) - $E560 + $B560)</f>
        <v>1.9112508231881171</v>
      </c>
      <c r="J560" s="3">
        <f>IF($F560="","", INDEX([1]Calc!$E:$E, MATCH("D_vessel_m", [1]Calc!$C:$C, 0)) - $F560 + $B560)</f>
        <v>1.9112508231881171</v>
      </c>
      <c r="K560" s="2" t="str">
        <f t="shared" si="26"/>
        <v>Even Keel</v>
      </c>
    </row>
    <row r="561" spans="1:11" x14ac:dyDescent="0.6">
      <c r="A561" s="2" t="str">
        <f>IF('December_Tide_2025 (2)'!A561="","",'December_Tide_2025 (2)'!A561)</f>
        <v>2025-12-24 07:00:00</v>
      </c>
      <c r="B561" s="3">
        <f>IF('December_Tide_2025 (2)'!B561="","",'December_Tide_2025 (2)'!B561)</f>
        <v>2.46</v>
      </c>
      <c r="C561" s="3">
        <f>IF($A561="","", INDEX([1]Calc!$E:$E, MATCH("KminusZ_m", [1]Calc!$C:$C, 0)) + $B561 - INDEX([1]Calc!$E:$E, MATCH("L_ramp_m", [1]Calc!$C:$C, 0)) * TAN(RADIANS(INDEX([1]Calc!$E:$E, MATCH("theta_max_deg", [1]Calc!$C:$C, 0)))))</f>
        <v>4.1987491768118819</v>
      </c>
      <c r="D561" s="3"/>
      <c r="E561" s="3">
        <f t="shared" si="24"/>
        <v>4.1987491768118819</v>
      </c>
      <c r="F561" s="3">
        <f t="shared" si="25"/>
        <v>4.1987491768118819</v>
      </c>
      <c r="G561" s="3">
        <f>IF($E561="","", DEGREES(ATAN((INDEX([1]Calc!$E:$E, MATCH("KminusZ_m", [1]Calc!$C:$C, 0)) - $E561 + $B561) / INDEX([1]Calc!$E:$E, MATCH("L_ramp_m", [1]Calc!$C:$C, 0)))))</f>
        <v>6.0000000000000027</v>
      </c>
      <c r="H561" s="2" t="str">
        <f>IF($E561="","", IF(AND($E561&gt;=INDEX([1]Calc!$E:$E, MATCH("min_fwd_draft_m", [1]Calc!$C:$C, 0)), $E561&lt;=INDEX([1]Calc!$E:$E, MATCH("max_fwd_draft_m", [1]Calc!$C:$C, 0)), $G561&lt;=INDEX([1]Calc!$E:$E, MATCH("theta_max_deg", [1]Calc!$C:$C, 0))), "OK", "CHECK"))</f>
        <v>CHECK</v>
      </c>
      <c r="I561" s="3">
        <f>IF($E561="","", INDEX([1]Calc!$E:$E, MATCH("D_vessel_m", [1]Calc!$C:$C, 0)) - $E561 + $B561)</f>
        <v>1.911250823188118</v>
      </c>
      <c r="J561" s="3">
        <f>IF($F561="","", INDEX([1]Calc!$E:$E, MATCH("D_vessel_m", [1]Calc!$C:$C, 0)) - $F561 + $B561)</f>
        <v>1.911250823188118</v>
      </c>
      <c r="K561" s="2" t="str">
        <f t="shared" si="26"/>
        <v>Even Keel</v>
      </c>
    </row>
    <row r="562" spans="1:11" x14ac:dyDescent="0.6">
      <c r="A562" s="2" t="str">
        <f>IF('December_Tide_2025 (2)'!A562="","",'December_Tide_2025 (2)'!A562)</f>
        <v>2025-12-24 08:00:00</v>
      </c>
      <c r="B562" s="3">
        <f>IF('December_Tide_2025 (2)'!B562="","",'December_Tide_2025 (2)'!B562)</f>
        <v>2.7</v>
      </c>
      <c r="C562" s="3">
        <f>IF($A562="","", INDEX([1]Calc!$E:$E, MATCH("KminusZ_m", [1]Calc!$C:$C, 0)) + $B562 - INDEX([1]Calc!$E:$E, MATCH("L_ramp_m", [1]Calc!$C:$C, 0)) * TAN(RADIANS(INDEX([1]Calc!$E:$E, MATCH("theta_max_deg", [1]Calc!$C:$C, 0)))))</f>
        <v>4.4387491768118821</v>
      </c>
      <c r="D562" s="3"/>
      <c r="E562" s="3">
        <f t="shared" si="24"/>
        <v>4.4387491768118821</v>
      </c>
      <c r="F562" s="3">
        <f t="shared" si="25"/>
        <v>4.4387491768118821</v>
      </c>
      <c r="G562" s="3">
        <f>IF($E562="","", DEGREES(ATAN((INDEX([1]Calc!$E:$E, MATCH("KminusZ_m", [1]Calc!$C:$C, 0)) - $E562 + $B562) / INDEX([1]Calc!$E:$E, MATCH("L_ramp_m", [1]Calc!$C:$C, 0)))))</f>
        <v>6.0000000000000027</v>
      </c>
      <c r="H562" s="2" t="str">
        <f>IF($E562="","", IF(AND($E562&gt;=INDEX([1]Calc!$E:$E, MATCH("min_fwd_draft_m", [1]Calc!$C:$C, 0)), $E562&lt;=INDEX([1]Calc!$E:$E, MATCH("max_fwd_draft_m", [1]Calc!$C:$C, 0)), $G562&lt;=INDEX([1]Calc!$E:$E, MATCH("theta_max_deg", [1]Calc!$C:$C, 0))), "OK", "CHECK"))</f>
        <v>CHECK</v>
      </c>
      <c r="I562" s="3">
        <f>IF($E562="","", INDEX([1]Calc!$E:$E, MATCH("D_vessel_m", [1]Calc!$C:$C, 0)) - $E562 + $B562)</f>
        <v>1.911250823188118</v>
      </c>
      <c r="J562" s="3">
        <f>IF($F562="","", INDEX([1]Calc!$E:$E, MATCH("D_vessel_m", [1]Calc!$C:$C, 0)) - $F562 + $B562)</f>
        <v>1.911250823188118</v>
      </c>
      <c r="K562" s="2" t="str">
        <f t="shared" si="26"/>
        <v>Even Keel</v>
      </c>
    </row>
    <row r="563" spans="1:11" x14ac:dyDescent="0.6">
      <c r="A563" s="2" t="str">
        <f>IF('December_Tide_2025 (2)'!A563="","",'December_Tide_2025 (2)'!A563)</f>
        <v>2025-12-24 09:00:00</v>
      </c>
      <c r="B563" s="3">
        <f>IF('December_Tide_2025 (2)'!B563="","",'December_Tide_2025 (2)'!B563)</f>
        <v>2.71</v>
      </c>
      <c r="C563" s="3">
        <f>IF($A563="","", INDEX([1]Calc!$E:$E, MATCH("KminusZ_m", [1]Calc!$C:$C, 0)) + $B563 - INDEX([1]Calc!$E:$E, MATCH("L_ramp_m", [1]Calc!$C:$C, 0)) * TAN(RADIANS(INDEX([1]Calc!$E:$E, MATCH("theta_max_deg", [1]Calc!$C:$C, 0)))))</f>
        <v>4.4487491768118819</v>
      </c>
      <c r="D563" s="3"/>
      <c r="E563" s="3">
        <f t="shared" si="24"/>
        <v>4.4487491768118819</v>
      </c>
      <c r="F563" s="3">
        <f t="shared" si="25"/>
        <v>4.4487491768118819</v>
      </c>
      <c r="G563" s="3">
        <f>IF($E563="","", DEGREES(ATAN((INDEX([1]Calc!$E:$E, MATCH("KminusZ_m", [1]Calc!$C:$C, 0)) - $E563 + $B563) / INDEX([1]Calc!$E:$E, MATCH("L_ramp_m", [1]Calc!$C:$C, 0)))))</f>
        <v>6.0000000000000027</v>
      </c>
      <c r="H563" s="2" t="str">
        <f>IF($E563="","", IF(AND($E563&gt;=INDEX([1]Calc!$E:$E, MATCH("min_fwd_draft_m", [1]Calc!$C:$C, 0)), $E563&lt;=INDEX([1]Calc!$E:$E, MATCH("max_fwd_draft_m", [1]Calc!$C:$C, 0)), $G563&lt;=INDEX([1]Calc!$E:$E, MATCH("theta_max_deg", [1]Calc!$C:$C, 0))), "OK", "CHECK"))</f>
        <v>CHECK</v>
      </c>
      <c r="I563" s="3">
        <f>IF($E563="","", INDEX([1]Calc!$E:$E, MATCH("D_vessel_m", [1]Calc!$C:$C, 0)) - $E563 + $B563)</f>
        <v>1.911250823188118</v>
      </c>
      <c r="J563" s="3">
        <f>IF($F563="","", INDEX([1]Calc!$E:$E, MATCH("D_vessel_m", [1]Calc!$C:$C, 0)) - $F563 + $B563)</f>
        <v>1.911250823188118</v>
      </c>
      <c r="K563" s="2" t="str">
        <f t="shared" si="26"/>
        <v>Even Keel</v>
      </c>
    </row>
    <row r="564" spans="1:11" x14ac:dyDescent="0.6">
      <c r="A564" s="2" t="str">
        <f>IF('December_Tide_2025 (2)'!A564="","",'December_Tide_2025 (2)'!A564)</f>
        <v>2025-12-24 10:00:00</v>
      </c>
      <c r="B564" s="3">
        <f>IF('December_Tide_2025 (2)'!B564="","",'December_Tide_2025 (2)'!B564)</f>
        <v>2.4900000000000002</v>
      </c>
      <c r="C564" s="3">
        <f>IF($A564="","", INDEX([1]Calc!$E:$E, MATCH("KminusZ_m", [1]Calc!$C:$C, 0)) + $B564 - INDEX([1]Calc!$E:$E, MATCH("L_ramp_m", [1]Calc!$C:$C, 0)) * TAN(RADIANS(INDEX([1]Calc!$E:$E, MATCH("theta_max_deg", [1]Calc!$C:$C, 0)))))</f>
        <v>4.228749176811883</v>
      </c>
      <c r="D564" s="3"/>
      <c r="E564" s="3">
        <f t="shared" si="24"/>
        <v>4.228749176811883</v>
      </c>
      <c r="F564" s="3">
        <f t="shared" si="25"/>
        <v>4.228749176811883</v>
      </c>
      <c r="G564" s="3">
        <f>IF($E564="","", DEGREES(ATAN((INDEX([1]Calc!$E:$E, MATCH("KminusZ_m", [1]Calc!$C:$C, 0)) - $E564 + $B564) / INDEX([1]Calc!$E:$E, MATCH("L_ramp_m", [1]Calc!$C:$C, 0)))))</f>
        <v>5.9999999999999982</v>
      </c>
      <c r="H564" s="2" t="str">
        <f>IF($E564="","", IF(AND($E564&gt;=INDEX([1]Calc!$E:$E, MATCH("min_fwd_draft_m", [1]Calc!$C:$C, 0)), $E564&lt;=INDEX([1]Calc!$E:$E, MATCH("max_fwd_draft_m", [1]Calc!$C:$C, 0)), $G564&lt;=INDEX([1]Calc!$E:$E, MATCH("theta_max_deg", [1]Calc!$C:$C, 0))), "OK", "CHECK"))</f>
        <v>CHECK</v>
      </c>
      <c r="I564" s="3">
        <f>IF($E564="","", INDEX([1]Calc!$E:$E, MATCH("D_vessel_m", [1]Calc!$C:$C, 0)) - $E564 + $B564)</f>
        <v>1.9112508231881171</v>
      </c>
      <c r="J564" s="3">
        <f>IF($F564="","", INDEX([1]Calc!$E:$E, MATCH("D_vessel_m", [1]Calc!$C:$C, 0)) - $F564 + $B564)</f>
        <v>1.9112508231881171</v>
      </c>
      <c r="K564" s="2" t="str">
        <f t="shared" si="26"/>
        <v>Even Keel</v>
      </c>
    </row>
    <row r="565" spans="1:11" x14ac:dyDescent="0.6">
      <c r="A565" s="2" t="str">
        <f>IF('December_Tide_2025 (2)'!A565="","",'December_Tide_2025 (2)'!A565)</f>
        <v>2025-12-24 11:00:00</v>
      </c>
      <c r="B565" s="3">
        <f>IF('December_Tide_2025 (2)'!B565="","",'December_Tide_2025 (2)'!B565)</f>
        <v>2.1</v>
      </c>
      <c r="C565" s="3">
        <f>IF($A565="","", INDEX([1]Calc!$E:$E, MATCH("KminusZ_m", [1]Calc!$C:$C, 0)) + $B565 - INDEX([1]Calc!$E:$E, MATCH("L_ramp_m", [1]Calc!$C:$C, 0)) * TAN(RADIANS(INDEX([1]Calc!$E:$E, MATCH("theta_max_deg", [1]Calc!$C:$C, 0)))))</f>
        <v>3.838749176811882</v>
      </c>
      <c r="D565" s="3"/>
      <c r="E565" s="3">
        <f t="shared" si="24"/>
        <v>3.838749176811882</v>
      </c>
      <c r="F565" s="3">
        <f t="shared" si="25"/>
        <v>3.838749176811882</v>
      </c>
      <c r="G565" s="3">
        <f>IF($E565="","", DEGREES(ATAN((INDEX([1]Calc!$E:$E, MATCH("KminusZ_m", [1]Calc!$C:$C, 0)) - $E565 + $B565) / INDEX([1]Calc!$E:$E, MATCH("L_ramp_m", [1]Calc!$C:$C, 0)))))</f>
        <v>6.0000000000000027</v>
      </c>
      <c r="H565" s="2" t="str">
        <f>IF($E565="","", IF(AND($E565&gt;=INDEX([1]Calc!$E:$E, MATCH("min_fwd_draft_m", [1]Calc!$C:$C, 0)), $E565&lt;=INDEX([1]Calc!$E:$E, MATCH("max_fwd_draft_m", [1]Calc!$C:$C, 0)), $G565&lt;=INDEX([1]Calc!$E:$E, MATCH("theta_max_deg", [1]Calc!$C:$C, 0))), "OK", "CHECK"))</f>
        <v>CHECK</v>
      </c>
      <c r="I565" s="3">
        <f>IF($E565="","", INDEX([1]Calc!$E:$E, MATCH("D_vessel_m", [1]Calc!$C:$C, 0)) - $E565 + $B565)</f>
        <v>1.911250823188118</v>
      </c>
      <c r="J565" s="3">
        <f>IF($F565="","", INDEX([1]Calc!$E:$E, MATCH("D_vessel_m", [1]Calc!$C:$C, 0)) - $F565 + $B565)</f>
        <v>1.911250823188118</v>
      </c>
      <c r="K565" s="2" t="str">
        <f t="shared" si="26"/>
        <v>Even Keel</v>
      </c>
    </row>
    <row r="566" spans="1:11" x14ac:dyDescent="0.6">
      <c r="A566" s="2" t="str">
        <f>IF('December_Tide_2025 (2)'!A566="","",'December_Tide_2025 (2)'!A566)</f>
        <v>2025-12-24 12:00:00</v>
      </c>
      <c r="B566" s="3">
        <f>IF('December_Tide_2025 (2)'!B566="","",'December_Tide_2025 (2)'!B566)</f>
        <v>1.63</v>
      </c>
      <c r="C566" s="3">
        <f>IF($A566="","", INDEX([1]Calc!$E:$E, MATCH("KminusZ_m", [1]Calc!$C:$C, 0)) + $B566 - INDEX([1]Calc!$E:$E, MATCH("L_ramp_m", [1]Calc!$C:$C, 0)) * TAN(RADIANS(INDEX([1]Calc!$E:$E, MATCH("theta_max_deg", [1]Calc!$C:$C, 0)))))</f>
        <v>3.3687491768118822</v>
      </c>
      <c r="D566" s="3"/>
      <c r="E566" s="3">
        <f t="shared" si="24"/>
        <v>3.3687491768118822</v>
      </c>
      <c r="F566" s="3">
        <f t="shared" si="25"/>
        <v>3.3687491768118822</v>
      </c>
      <c r="G566" s="3">
        <f>IF($E566="","", DEGREES(ATAN((INDEX([1]Calc!$E:$E, MATCH("KminusZ_m", [1]Calc!$C:$C, 0)) - $E566 + $B566) / INDEX([1]Calc!$E:$E, MATCH("L_ramp_m", [1]Calc!$C:$C, 0)))))</f>
        <v>6.0000000000000009</v>
      </c>
      <c r="H566" s="2" t="str">
        <f>IF($E566="","", IF(AND($E566&gt;=INDEX([1]Calc!$E:$E, MATCH("min_fwd_draft_m", [1]Calc!$C:$C, 0)), $E566&lt;=INDEX([1]Calc!$E:$E, MATCH("max_fwd_draft_m", [1]Calc!$C:$C, 0)), $G566&lt;=INDEX([1]Calc!$E:$E, MATCH("theta_max_deg", [1]Calc!$C:$C, 0))), "OK", "CHECK"))</f>
        <v>OK</v>
      </c>
      <c r="I566" s="3">
        <f>IF($E566="","", INDEX([1]Calc!$E:$E, MATCH("D_vessel_m", [1]Calc!$C:$C, 0)) - $E566 + $B566)</f>
        <v>1.9112508231881176</v>
      </c>
      <c r="J566" s="3">
        <f>IF($F566="","", INDEX([1]Calc!$E:$E, MATCH("D_vessel_m", [1]Calc!$C:$C, 0)) - $F566 + $B566)</f>
        <v>1.9112508231881176</v>
      </c>
      <c r="K566" s="2" t="str">
        <f t="shared" si="26"/>
        <v>Even Keel</v>
      </c>
    </row>
    <row r="567" spans="1:11" x14ac:dyDescent="0.6">
      <c r="A567" s="2" t="str">
        <f>IF('December_Tide_2025 (2)'!A567="","",'December_Tide_2025 (2)'!A567)</f>
        <v>2025-12-24 13:00:00</v>
      </c>
      <c r="B567" s="3">
        <f>IF('December_Tide_2025 (2)'!B567="","",'December_Tide_2025 (2)'!B567)</f>
        <v>1.21</v>
      </c>
      <c r="C567" s="3">
        <f>IF($A567="","", INDEX([1]Calc!$E:$E, MATCH("KminusZ_m", [1]Calc!$C:$C, 0)) + $B567 - INDEX([1]Calc!$E:$E, MATCH("L_ramp_m", [1]Calc!$C:$C, 0)) * TAN(RADIANS(INDEX([1]Calc!$E:$E, MATCH("theta_max_deg", [1]Calc!$C:$C, 0)))))</f>
        <v>2.9487491768118823</v>
      </c>
      <c r="D567" s="3"/>
      <c r="E567" s="3">
        <f t="shared" si="24"/>
        <v>2.9487491768118823</v>
      </c>
      <c r="F567" s="3">
        <f t="shared" si="25"/>
        <v>2.9487491768118823</v>
      </c>
      <c r="G567" s="3">
        <f>IF($E567="","", DEGREES(ATAN((INDEX([1]Calc!$E:$E, MATCH("KminusZ_m", [1]Calc!$C:$C, 0)) - $E567 + $B567) / INDEX([1]Calc!$E:$E, MATCH("L_ramp_m", [1]Calc!$C:$C, 0)))))</f>
        <v>6.0000000000000009</v>
      </c>
      <c r="H567" s="2" t="str">
        <f>IF($E567="","", IF(AND($E567&gt;=INDEX([1]Calc!$E:$E, MATCH("min_fwd_draft_m", [1]Calc!$C:$C, 0)), $E567&lt;=INDEX([1]Calc!$E:$E, MATCH("max_fwd_draft_m", [1]Calc!$C:$C, 0)), $G567&lt;=INDEX([1]Calc!$E:$E, MATCH("theta_max_deg", [1]Calc!$C:$C, 0))), "OK", "CHECK"))</f>
        <v>OK</v>
      </c>
      <c r="I567" s="3">
        <f>IF($E567="","", INDEX([1]Calc!$E:$E, MATCH("D_vessel_m", [1]Calc!$C:$C, 0)) - $E567 + $B567)</f>
        <v>1.9112508231881176</v>
      </c>
      <c r="J567" s="3">
        <f>IF($F567="","", INDEX([1]Calc!$E:$E, MATCH("D_vessel_m", [1]Calc!$C:$C, 0)) - $F567 + $B567)</f>
        <v>1.9112508231881176</v>
      </c>
      <c r="K567" s="2" t="str">
        <f t="shared" si="26"/>
        <v>Even Keel</v>
      </c>
    </row>
    <row r="568" spans="1:11" x14ac:dyDescent="0.6">
      <c r="A568" s="2" t="str">
        <f>IF('December_Tide_2025 (2)'!A568="","",'December_Tide_2025 (2)'!A568)</f>
        <v>2025-12-24 14:00:00</v>
      </c>
      <c r="B568" s="3">
        <f>IF('December_Tide_2025 (2)'!B568="","",'December_Tide_2025 (2)'!B568)</f>
        <v>0.93</v>
      </c>
      <c r="C568" s="3">
        <f>IF($A568="","", INDEX([1]Calc!$E:$E, MATCH("KminusZ_m", [1]Calc!$C:$C, 0)) + $B568 - INDEX([1]Calc!$E:$E, MATCH("L_ramp_m", [1]Calc!$C:$C, 0)) * TAN(RADIANS(INDEX([1]Calc!$E:$E, MATCH("theta_max_deg", [1]Calc!$C:$C, 0)))))</f>
        <v>2.6687491768118825</v>
      </c>
      <c r="D568" s="3"/>
      <c r="E568" s="3">
        <f t="shared" si="24"/>
        <v>2.6687491768118825</v>
      </c>
      <c r="F568" s="3">
        <f t="shared" si="25"/>
        <v>2.6687491768118825</v>
      </c>
      <c r="G568" s="3">
        <f>IF($E568="","", DEGREES(ATAN((INDEX([1]Calc!$E:$E, MATCH("KminusZ_m", [1]Calc!$C:$C, 0)) - $E568 + $B568) / INDEX([1]Calc!$E:$E, MATCH("L_ramp_m", [1]Calc!$C:$C, 0)))))</f>
        <v>6.0000000000000009</v>
      </c>
      <c r="H568" s="2" t="str">
        <f>IF($E568="","", IF(AND($E568&gt;=INDEX([1]Calc!$E:$E, MATCH("min_fwd_draft_m", [1]Calc!$C:$C, 0)), $E568&lt;=INDEX([1]Calc!$E:$E, MATCH("max_fwd_draft_m", [1]Calc!$C:$C, 0)), $G568&lt;=INDEX([1]Calc!$E:$E, MATCH("theta_max_deg", [1]Calc!$C:$C, 0))), "OK", "CHECK"))</f>
        <v>OK</v>
      </c>
      <c r="I568" s="3">
        <f>IF($E568="","", INDEX([1]Calc!$E:$E, MATCH("D_vessel_m", [1]Calc!$C:$C, 0)) - $E568 + $B568)</f>
        <v>1.9112508231881176</v>
      </c>
      <c r="J568" s="3">
        <f>IF($F568="","", INDEX([1]Calc!$E:$E, MATCH("D_vessel_m", [1]Calc!$C:$C, 0)) - $F568 + $B568)</f>
        <v>1.9112508231881176</v>
      </c>
      <c r="K568" s="2" t="str">
        <f t="shared" si="26"/>
        <v>Even Keel</v>
      </c>
    </row>
    <row r="569" spans="1:11" x14ac:dyDescent="0.6">
      <c r="A569" s="2" t="str">
        <f>IF('December_Tide_2025 (2)'!A569="","",'December_Tide_2025 (2)'!A569)</f>
        <v>2025-12-24 15:00:00</v>
      </c>
      <c r="B569" s="3">
        <f>IF('December_Tide_2025 (2)'!B569="","",'December_Tide_2025 (2)'!B569)</f>
        <v>0.87</v>
      </c>
      <c r="C569" s="3">
        <f>IF($A569="","", INDEX([1]Calc!$E:$E, MATCH("KminusZ_m", [1]Calc!$C:$C, 0)) + $B569 - INDEX([1]Calc!$E:$E, MATCH("L_ramp_m", [1]Calc!$C:$C, 0)) * TAN(RADIANS(INDEX([1]Calc!$E:$E, MATCH("theta_max_deg", [1]Calc!$C:$C, 0)))))</f>
        <v>2.6087491768118825</v>
      </c>
      <c r="D569" s="3"/>
      <c r="E569" s="3">
        <f t="shared" si="24"/>
        <v>2.6087491768118825</v>
      </c>
      <c r="F569" s="3">
        <f t="shared" si="25"/>
        <v>2.6087491768118825</v>
      </c>
      <c r="G569" s="3">
        <f>IF($E569="","", DEGREES(ATAN((INDEX([1]Calc!$E:$E, MATCH("KminusZ_m", [1]Calc!$C:$C, 0)) - $E569 + $B569) / INDEX([1]Calc!$E:$E, MATCH("L_ramp_m", [1]Calc!$C:$C, 0)))))</f>
        <v>6.0000000000000009</v>
      </c>
      <c r="H569" s="2" t="str">
        <f>IF($E569="","", IF(AND($E569&gt;=INDEX([1]Calc!$E:$E, MATCH("min_fwd_draft_m", [1]Calc!$C:$C, 0)), $E569&lt;=INDEX([1]Calc!$E:$E, MATCH("max_fwd_draft_m", [1]Calc!$C:$C, 0)), $G569&lt;=INDEX([1]Calc!$E:$E, MATCH("theta_max_deg", [1]Calc!$C:$C, 0))), "OK", "CHECK"))</f>
        <v>OK</v>
      </c>
      <c r="I569" s="3">
        <f>IF($E569="","", INDEX([1]Calc!$E:$E, MATCH("D_vessel_m", [1]Calc!$C:$C, 0)) - $E569 + $B569)</f>
        <v>1.9112508231881176</v>
      </c>
      <c r="J569" s="3">
        <f>IF($F569="","", INDEX([1]Calc!$E:$E, MATCH("D_vessel_m", [1]Calc!$C:$C, 0)) - $F569 + $B569)</f>
        <v>1.9112508231881176</v>
      </c>
      <c r="K569" s="2" t="str">
        <f t="shared" si="26"/>
        <v>Even Keel</v>
      </c>
    </row>
    <row r="570" spans="1:11" x14ac:dyDescent="0.6">
      <c r="A570" s="2" t="str">
        <f>IF('December_Tide_2025 (2)'!A570="","",'December_Tide_2025 (2)'!A570)</f>
        <v>2025-12-24 16:00:00</v>
      </c>
      <c r="B570" s="3">
        <f>IF('December_Tide_2025 (2)'!B570="","",'December_Tide_2025 (2)'!B570)</f>
        <v>1.05</v>
      </c>
      <c r="C570" s="3">
        <f>IF($A570="","", INDEX([1]Calc!$E:$E, MATCH("KminusZ_m", [1]Calc!$C:$C, 0)) + $B570 - INDEX([1]Calc!$E:$E, MATCH("L_ramp_m", [1]Calc!$C:$C, 0)) * TAN(RADIANS(INDEX([1]Calc!$E:$E, MATCH("theta_max_deg", [1]Calc!$C:$C, 0)))))</f>
        <v>2.7887491768118822</v>
      </c>
      <c r="D570" s="3"/>
      <c r="E570" s="3">
        <f t="shared" si="24"/>
        <v>2.7887491768118822</v>
      </c>
      <c r="F570" s="3">
        <f t="shared" si="25"/>
        <v>2.7887491768118822</v>
      </c>
      <c r="G570" s="3">
        <f>IF($E570="","", DEGREES(ATAN((INDEX([1]Calc!$E:$E, MATCH("KminusZ_m", [1]Calc!$C:$C, 0)) - $E570 + $B570) / INDEX([1]Calc!$E:$E, MATCH("L_ramp_m", [1]Calc!$C:$C, 0)))))</f>
        <v>6.0000000000000009</v>
      </c>
      <c r="H570" s="2" t="str">
        <f>IF($E570="","", IF(AND($E570&gt;=INDEX([1]Calc!$E:$E, MATCH("min_fwd_draft_m", [1]Calc!$C:$C, 0)), $E570&lt;=INDEX([1]Calc!$E:$E, MATCH("max_fwd_draft_m", [1]Calc!$C:$C, 0)), $G570&lt;=INDEX([1]Calc!$E:$E, MATCH("theta_max_deg", [1]Calc!$C:$C, 0))), "OK", "CHECK"))</f>
        <v>OK</v>
      </c>
      <c r="I570" s="3">
        <f>IF($E570="","", INDEX([1]Calc!$E:$E, MATCH("D_vessel_m", [1]Calc!$C:$C, 0)) - $E570 + $B570)</f>
        <v>1.9112508231881178</v>
      </c>
      <c r="J570" s="3">
        <f>IF($F570="","", INDEX([1]Calc!$E:$E, MATCH("D_vessel_m", [1]Calc!$C:$C, 0)) - $F570 + $B570)</f>
        <v>1.9112508231881178</v>
      </c>
      <c r="K570" s="2" t="str">
        <f t="shared" si="26"/>
        <v>Even Keel</v>
      </c>
    </row>
    <row r="571" spans="1:11" x14ac:dyDescent="0.6">
      <c r="A571" s="2" t="str">
        <f>IF('December_Tide_2025 (2)'!A571="","",'December_Tide_2025 (2)'!A571)</f>
        <v>2025-12-24 17:00:00</v>
      </c>
      <c r="B571" s="3">
        <f>IF('December_Tide_2025 (2)'!B571="","",'December_Tide_2025 (2)'!B571)</f>
        <v>1.41</v>
      </c>
      <c r="C571" s="3">
        <f>IF($A571="","", INDEX([1]Calc!$E:$E, MATCH("KminusZ_m", [1]Calc!$C:$C, 0)) + $B571 - INDEX([1]Calc!$E:$E, MATCH("L_ramp_m", [1]Calc!$C:$C, 0)) * TAN(RADIANS(INDEX([1]Calc!$E:$E, MATCH("theta_max_deg", [1]Calc!$C:$C, 0)))))</f>
        <v>3.1487491768118825</v>
      </c>
      <c r="D571" s="3"/>
      <c r="E571" s="3">
        <f t="shared" si="24"/>
        <v>3.1487491768118825</v>
      </c>
      <c r="F571" s="3">
        <f t="shared" si="25"/>
        <v>3.1487491768118825</v>
      </c>
      <c r="G571" s="3">
        <f>IF($E571="","", DEGREES(ATAN((INDEX([1]Calc!$E:$E, MATCH("KminusZ_m", [1]Calc!$C:$C, 0)) - $E571 + $B571) / INDEX([1]Calc!$E:$E, MATCH("L_ramp_m", [1]Calc!$C:$C, 0)))))</f>
        <v>6</v>
      </c>
      <c r="H571" s="2" t="str">
        <f>IF($E571="","", IF(AND($E571&gt;=INDEX([1]Calc!$E:$E, MATCH("min_fwd_draft_m", [1]Calc!$C:$C, 0)), $E571&lt;=INDEX([1]Calc!$E:$E, MATCH("max_fwd_draft_m", [1]Calc!$C:$C, 0)), $G571&lt;=INDEX([1]Calc!$E:$E, MATCH("theta_max_deg", [1]Calc!$C:$C, 0))), "OK", "CHECK"))</f>
        <v>OK</v>
      </c>
      <c r="I571" s="3">
        <f>IF($E571="","", INDEX([1]Calc!$E:$E, MATCH("D_vessel_m", [1]Calc!$C:$C, 0)) - $E571 + $B571)</f>
        <v>1.9112508231881173</v>
      </c>
      <c r="J571" s="3">
        <f>IF($F571="","", INDEX([1]Calc!$E:$E, MATCH("D_vessel_m", [1]Calc!$C:$C, 0)) - $F571 + $B571)</f>
        <v>1.9112508231881173</v>
      </c>
      <c r="K571" s="2" t="str">
        <f t="shared" si="26"/>
        <v>Even Keel</v>
      </c>
    </row>
    <row r="572" spans="1:11" x14ac:dyDescent="0.6">
      <c r="A572" s="2" t="str">
        <f>IF('December_Tide_2025 (2)'!A572="","",'December_Tide_2025 (2)'!A572)</f>
        <v>2025-12-24 18:00:00</v>
      </c>
      <c r="B572" s="3">
        <f>IF('December_Tide_2025 (2)'!B572="","",'December_Tide_2025 (2)'!B572)</f>
        <v>1.87</v>
      </c>
      <c r="C572" s="3">
        <f>IF($A572="","", INDEX([1]Calc!$E:$E, MATCH("KminusZ_m", [1]Calc!$C:$C, 0)) + $B572 - INDEX([1]Calc!$E:$E, MATCH("L_ramp_m", [1]Calc!$C:$C, 0)) * TAN(RADIANS(INDEX([1]Calc!$E:$E, MATCH("theta_max_deg", [1]Calc!$C:$C, 0)))))</f>
        <v>3.6087491768118825</v>
      </c>
      <c r="D572" s="3"/>
      <c r="E572" s="3">
        <f t="shared" si="24"/>
        <v>3.6087491768118825</v>
      </c>
      <c r="F572" s="3">
        <f t="shared" si="25"/>
        <v>3.6087491768118825</v>
      </c>
      <c r="G572" s="3">
        <f>IF($E572="","", DEGREES(ATAN((INDEX([1]Calc!$E:$E, MATCH("KminusZ_m", [1]Calc!$C:$C, 0)) - $E572 + $B572) / INDEX([1]Calc!$E:$E, MATCH("L_ramp_m", [1]Calc!$C:$C, 0)))))</f>
        <v>6.0000000000000009</v>
      </c>
      <c r="H572" s="2" t="str">
        <f>IF($E572="","", IF(AND($E572&gt;=INDEX([1]Calc!$E:$E, MATCH("min_fwd_draft_m", [1]Calc!$C:$C, 0)), $E572&lt;=INDEX([1]Calc!$E:$E, MATCH("max_fwd_draft_m", [1]Calc!$C:$C, 0)), $G572&lt;=INDEX([1]Calc!$E:$E, MATCH("theta_max_deg", [1]Calc!$C:$C, 0))), "OK", "CHECK"))</f>
        <v>CHECK</v>
      </c>
      <c r="I572" s="3">
        <f>IF($E572="","", INDEX([1]Calc!$E:$E, MATCH("D_vessel_m", [1]Calc!$C:$C, 0)) - $E572 + $B572)</f>
        <v>1.9112508231881176</v>
      </c>
      <c r="J572" s="3">
        <f>IF($F572="","", INDEX([1]Calc!$E:$E, MATCH("D_vessel_m", [1]Calc!$C:$C, 0)) - $F572 + $B572)</f>
        <v>1.9112508231881176</v>
      </c>
      <c r="K572" s="2" t="str">
        <f t="shared" si="26"/>
        <v>Even Keel</v>
      </c>
    </row>
    <row r="573" spans="1:11" x14ac:dyDescent="0.6">
      <c r="A573" s="2" t="str">
        <f>IF('December_Tide_2025 (2)'!A573="","",'December_Tide_2025 (2)'!A573)</f>
        <v>2025-12-24 19:00:00</v>
      </c>
      <c r="B573" s="3">
        <f>IF('December_Tide_2025 (2)'!B573="","",'December_Tide_2025 (2)'!B573)</f>
        <v>2.3199999999999998</v>
      </c>
      <c r="C573" s="3">
        <f>IF($A573="","", INDEX([1]Calc!$E:$E, MATCH("KminusZ_m", [1]Calc!$C:$C, 0)) + $B573 - INDEX([1]Calc!$E:$E, MATCH("L_ramp_m", [1]Calc!$C:$C, 0)) * TAN(RADIANS(INDEX([1]Calc!$E:$E, MATCH("theta_max_deg", [1]Calc!$C:$C, 0)))))</f>
        <v>4.0587491768118831</v>
      </c>
      <c r="D573" s="3"/>
      <c r="E573" s="3">
        <f t="shared" si="24"/>
        <v>4.0587491768118831</v>
      </c>
      <c r="F573" s="3">
        <f t="shared" si="25"/>
        <v>4.0587491768118831</v>
      </c>
      <c r="G573" s="3">
        <f>IF($E573="","", DEGREES(ATAN((INDEX([1]Calc!$E:$E, MATCH("KminusZ_m", [1]Calc!$C:$C, 0)) - $E573 + $B573) / INDEX([1]Calc!$E:$E, MATCH("L_ramp_m", [1]Calc!$C:$C, 0)))))</f>
        <v>5.9999999999999964</v>
      </c>
      <c r="H573" s="2" t="str">
        <f>IF($E573="","", IF(AND($E573&gt;=INDEX([1]Calc!$E:$E, MATCH("min_fwd_draft_m", [1]Calc!$C:$C, 0)), $E573&lt;=INDEX([1]Calc!$E:$E, MATCH("max_fwd_draft_m", [1]Calc!$C:$C, 0)), $G573&lt;=INDEX([1]Calc!$E:$E, MATCH("theta_max_deg", [1]Calc!$C:$C, 0))), "OK", "CHECK"))</f>
        <v>CHECK</v>
      </c>
      <c r="I573" s="3">
        <f>IF($E573="","", INDEX([1]Calc!$E:$E, MATCH("D_vessel_m", [1]Calc!$C:$C, 0)) - $E573 + $B573)</f>
        <v>1.9112508231881167</v>
      </c>
      <c r="J573" s="3">
        <f>IF($F573="","", INDEX([1]Calc!$E:$E, MATCH("D_vessel_m", [1]Calc!$C:$C, 0)) - $F573 + $B573)</f>
        <v>1.9112508231881167</v>
      </c>
      <c r="K573" s="2" t="str">
        <f t="shared" si="26"/>
        <v>Even Keel</v>
      </c>
    </row>
    <row r="574" spans="1:11" x14ac:dyDescent="0.6">
      <c r="A574" s="2" t="str">
        <f>IF('December_Tide_2025 (2)'!A574="","",'December_Tide_2025 (2)'!A574)</f>
        <v>2025-12-24 20:00:00</v>
      </c>
      <c r="B574" s="3">
        <f>IF('December_Tide_2025 (2)'!B574="","",'December_Tide_2025 (2)'!B574)</f>
        <v>2.63</v>
      </c>
      <c r="C574" s="3">
        <f>IF($A574="","", INDEX([1]Calc!$E:$E, MATCH("KminusZ_m", [1]Calc!$C:$C, 0)) + $B574 - INDEX([1]Calc!$E:$E, MATCH("L_ramp_m", [1]Calc!$C:$C, 0)) * TAN(RADIANS(INDEX([1]Calc!$E:$E, MATCH("theta_max_deg", [1]Calc!$C:$C, 0)))))</f>
        <v>4.3687491768118818</v>
      </c>
      <c r="D574" s="3"/>
      <c r="E574" s="3">
        <f t="shared" si="24"/>
        <v>4.3687491768118818</v>
      </c>
      <c r="F574" s="3">
        <f t="shared" si="25"/>
        <v>4.3687491768118818</v>
      </c>
      <c r="G574" s="3">
        <f>IF($E574="","", DEGREES(ATAN((INDEX([1]Calc!$E:$E, MATCH("KminusZ_m", [1]Calc!$C:$C, 0)) - $E574 + $B574) / INDEX([1]Calc!$E:$E, MATCH("L_ramp_m", [1]Calc!$C:$C, 0)))))</f>
        <v>6.0000000000000027</v>
      </c>
      <c r="H574" s="2" t="str">
        <f>IF($E574="","", IF(AND($E574&gt;=INDEX([1]Calc!$E:$E, MATCH("min_fwd_draft_m", [1]Calc!$C:$C, 0)), $E574&lt;=INDEX([1]Calc!$E:$E, MATCH("max_fwd_draft_m", [1]Calc!$C:$C, 0)), $G574&lt;=INDEX([1]Calc!$E:$E, MATCH("theta_max_deg", [1]Calc!$C:$C, 0))), "OK", "CHECK"))</f>
        <v>CHECK</v>
      </c>
      <c r="I574" s="3">
        <f>IF($E574="","", INDEX([1]Calc!$E:$E, MATCH("D_vessel_m", [1]Calc!$C:$C, 0)) - $E574 + $B574)</f>
        <v>1.911250823188118</v>
      </c>
      <c r="J574" s="3">
        <f>IF($F574="","", INDEX([1]Calc!$E:$E, MATCH("D_vessel_m", [1]Calc!$C:$C, 0)) - $F574 + $B574)</f>
        <v>1.911250823188118</v>
      </c>
      <c r="K574" s="2" t="str">
        <f t="shared" si="26"/>
        <v>Even Keel</v>
      </c>
    </row>
    <row r="575" spans="1:11" x14ac:dyDescent="0.6">
      <c r="A575" s="2" t="str">
        <f>IF('December_Tide_2025 (2)'!A575="","",'December_Tide_2025 (2)'!A575)</f>
        <v>2025-12-24 21:00:00</v>
      </c>
      <c r="B575" s="3">
        <f>IF('December_Tide_2025 (2)'!B575="","",'December_Tide_2025 (2)'!B575)</f>
        <v>2.74</v>
      </c>
      <c r="C575" s="3">
        <f>IF($A575="","", INDEX([1]Calc!$E:$E, MATCH("KminusZ_m", [1]Calc!$C:$C, 0)) + $B575 - INDEX([1]Calc!$E:$E, MATCH("L_ramp_m", [1]Calc!$C:$C, 0)) * TAN(RADIANS(INDEX([1]Calc!$E:$E, MATCH("theta_max_deg", [1]Calc!$C:$C, 0)))))</f>
        <v>4.478749176811883</v>
      </c>
      <c r="D575" s="3"/>
      <c r="E575" s="3">
        <f t="shared" si="24"/>
        <v>4.478749176811883</v>
      </c>
      <c r="F575" s="3">
        <f t="shared" si="25"/>
        <v>4.478749176811883</v>
      </c>
      <c r="G575" s="3">
        <f>IF($E575="","", DEGREES(ATAN((INDEX([1]Calc!$E:$E, MATCH("KminusZ_m", [1]Calc!$C:$C, 0)) - $E575 + $B575) / INDEX([1]Calc!$E:$E, MATCH("L_ramp_m", [1]Calc!$C:$C, 0)))))</f>
        <v>5.9999999999999982</v>
      </c>
      <c r="H575" s="2" t="str">
        <f>IF($E575="","", IF(AND($E575&gt;=INDEX([1]Calc!$E:$E, MATCH("min_fwd_draft_m", [1]Calc!$C:$C, 0)), $E575&lt;=INDEX([1]Calc!$E:$E, MATCH("max_fwd_draft_m", [1]Calc!$C:$C, 0)), $G575&lt;=INDEX([1]Calc!$E:$E, MATCH("theta_max_deg", [1]Calc!$C:$C, 0))), "OK", "CHECK"))</f>
        <v>CHECK</v>
      </c>
      <c r="I575" s="3">
        <f>IF($E575="","", INDEX([1]Calc!$E:$E, MATCH("D_vessel_m", [1]Calc!$C:$C, 0)) - $E575 + $B575)</f>
        <v>1.9112508231881171</v>
      </c>
      <c r="J575" s="3">
        <f>IF($F575="","", INDEX([1]Calc!$E:$E, MATCH("D_vessel_m", [1]Calc!$C:$C, 0)) - $F575 + $B575)</f>
        <v>1.9112508231881171</v>
      </c>
      <c r="K575" s="2" t="str">
        <f t="shared" si="26"/>
        <v>Even Keel</v>
      </c>
    </row>
    <row r="576" spans="1:11" x14ac:dyDescent="0.6">
      <c r="A576" s="2" t="str">
        <f>IF('December_Tide_2025 (2)'!A576="","",'December_Tide_2025 (2)'!A576)</f>
        <v>2025-12-24 22:00:00</v>
      </c>
      <c r="B576" s="3">
        <f>IF('December_Tide_2025 (2)'!B576="","",'December_Tide_2025 (2)'!B576)</f>
        <v>2.61</v>
      </c>
      <c r="C576" s="3">
        <f>IF($A576="","", INDEX([1]Calc!$E:$E, MATCH("KminusZ_m", [1]Calc!$C:$C, 0)) + $B576 - INDEX([1]Calc!$E:$E, MATCH("L_ramp_m", [1]Calc!$C:$C, 0)) * TAN(RADIANS(INDEX([1]Calc!$E:$E, MATCH("theta_max_deg", [1]Calc!$C:$C, 0)))))</f>
        <v>4.3487491768118822</v>
      </c>
      <c r="D576" s="3"/>
      <c r="E576" s="3">
        <f t="shared" si="24"/>
        <v>4.3487491768118822</v>
      </c>
      <c r="F576" s="3">
        <f t="shared" si="25"/>
        <v>4.3487491768118822</v>
      </c>
      <c r="G576" s="3">
        <f>IF($E576="","", DEGREES(ATAN((INDEX([1]Calc!$E:$E, MATCH("KminusZ_m", [1]Calc!$C:$C, 0)) - $E576 + $B576) / INDEX([1]Calc!$E:$E, MATCH("L_ramp_m", [1]Calc!$C:$C, 0)))))</f>
        <v>6.0000000000000009</v>
      </c>
      <c r="H576" s="2" t="str">
        <f>IF($E576="","", IF(AND($E576&gt;=INDEX([1]Calc!$E:$E, MATCH("min_fwd_draft_m", [1]Calc!$C:$C, 0)), $E576&lt;=INDEX([1]Calc!$E:$E, MATCH("max_fwd_draft_m", [1]Calc!$C:$C, 0)), $G576&lt;=INDEX([1]Calc!$E:$E, MATCH("theta_max_deg", [1]Calc!$C:$C, 0))), "OK", "CHECK"))</f>
        <v>CHECK</v>
      </c>
      <c r="I576" s="3">
        <f>IF($E576="","", INDEX([1]Calc!$E:$E, MATCH("D_vessel_m", [1]Calc!$C:$C, 0)) - $E576 + $B576)</f>
        <v>1.9112508231881176</v>
      </c>
      <c r="J576" s="3">
        <f>IF($F576="","", INDEX([1]Calc!$E:$E, MATCH("D_vessel_m", [1]Calc!$C:$C, 0)) - $F576 + $B576)</f>
        <v>1.9112508231881176</v>
      </c>
      <c r="K576" s="2" t="str">
        <f t="shared" si="26"/>
        <v>Even Keel</v>
      </c>
    </row>
    <row r="577" spans="1:11" x14ac:dyDescent="0.6">
      <c r="A577" s="2" t="str">
        <f>IF('December_Tide_2025 (2)'!A577="","",'December_Tide_2025 (2)'!A577)</f>
        <v>2025-12-24 23:00:00</v>
      </c>
      <c r="B577" s="3">
        <f>IF('December_Tide_2025 (2)'!B577="","",'December_Tide_2025 (2)'!B577)</f>
        <v>2.27</v>
      </c>
      <c r="C577" s="3">
        <f>IF($A577="","", INDEX([1]Calc!$E:$E, MATCH("KminusZ_m", [1]Calc!$C:$C, 0)) + $B577 - INDEX([1]Calc!$E:$E, MATCH("L_ramp_m", [1]Calc!$C:$C, 0)) * TAN(RADIANS(INDEX([1]Calc!$E:$E, MATCH("theta_max_deg", [1]Calc!$C:$C, 0)))))</f>
        <v>4.0087491768118824</v>
      </c>
      <c r="D577" s="3"/>
      <c r="E577" s="3">
        <f t="shared" si="24"/>
        <v>4.0087491768118824</v>
      </c>
      <c r="F577" s="3">
        <f t="shared" si="25"/>
        <v>4.0087491768118824</v>
      </c>
      <c r="G577" s="3">
        <f>IF($E577="","", DEGREES(ATAN((INDEX([1]Calc!$E:$E, MATCH("KminusZ_m", [1]Calc!$C:$C, 0)) - $E577 + $B577) / INDEX([1]Calc!$E:$E, MATCH("L_ramp_m", [1]Calc!$C:$C, 0)))))</f>
        <v>6.0000000000000009</v>
      </c>
      <c r="H577" s="2" t="str">
        <f>IF($E577="","", IF(AND($E577&gt;=INDEX([1]Calc!$E:$E, MATCH("min_fwd_draft_m", [1]Calc!$C:$C, 0)), $E577&lt;=INDEX([1]Calc!$E:$E, MATCH("max_fwd_draft_m", [1]Calc!$C:$C, 0)), $G577&lt;=INDEX([1]Calc!$E:$E, MATCH("theta_max_deg", [1]Calc!$C:$C, 0))), "OK", "CHECK"))</f>
        <v>CHECK</v>
      </c>
      <c r="I577" s="3">
        <f>IF($E577="","", INDEX([1]Calc!$E:$E, MATCH("D_vessel_m", [1]Calc!$C:$C, 0)) - $E577 + $B577)</f>
        <v>1.9112508231881176</v>
      </c>
      <c r="J577" s="3">
        <f>IF($F577="","", INDEX([1]Calc!$E:$E, MATCH("D_vessel_m", [1]Calc!$C:$C, 0)) - $F577 + $B577)</f>
        <v>1.9112508231881176</v>
      </c>
      <c r="K577" s="2" t="str">
        <f t="shared" si="26"/>
        <v>Even Keel</v>
      </c>
    </row>
    <row r="578" spans="1:11" x14ac:dyDescent="0.6">
      <c r="A578" s="2" t="str">
        <f>IF('December_Tide_2025 (2)'!A578="","",'December_Tide_2025 (2)'!A578)</f>
        <v>2025-12-25 00:00:00</v>
      </c>
      <c r="B578" s="3">
        <f>IF('December_Tide_2025 (2)'!B578="","",'December_Tide_2025 (2)'!B578)</f>
        <v>1.82</v>
      </c>
      <c r="C578" s="3">
        <f>IF($A578="","", INDEX([1]Calc!$E:$E, MATCH("KminusZ_m", [1]Calc!$C:$C, 0)) + $B578 - INDEX([1]Calc!$E:$E, MATCH("L_ramp_m", [1]Calc!$C:$C, 0)) * TAN(RADIANS(INDEX([1]Calc!$E:$E, MATCH("theta_max_deg", [1]Calc!$C:$C, 0)))))</f>
        <v>3.5587491768118826</v>
      </c>
      <c r="D578" s="3"/>
      <c r="E578" s="3">
        <f t="shared" ref="E578:E641" si="27">IF($C578="","", IF($D578="", $C578, $C578 - $D578/2))</f>
        <v>3.5587491768118826</v>
      </c>
      <c r="F578" s="3">
        <f t="shared" ref="F578:F641" si="28">IF($C578="","", IF($D578="", $C578, $C578 + $D578/2))</f>
        <v>3.5587491768118826</v>
      </c>
      <c r="G578" s="3">
        <f>IF($E578="","", DEGREES(ATAN((INDEX([1]Calc!$E:$E, MATCH("KminusZ_m", [1]Calc!$C:$C, 0)) - $E578 + $B578) / INDEX([1]Calc!$E:$E, MATCH("L_ramp_m", [1]Calc!$C:$C, 0)))))</f>
        <v>6</v>
      </c>
      <c r="H578" s="2" t="str">
        <f>IF($E578="","", IF(AND($E578&gt;=INDEX([1]Calc!$E:$E, MATCH("min_fwd_draft_m", [1]Calc!$C:$C, 0)), $E578&lt;=INDEX([1]Calc!$E:$E, MATCH("max_fwd_draft_m", [1]Calc!$C:$C, 0)), $G578&lt;=INDEX([1]Calc!$E:$E, MATCH("theta_max_deg", [1]Calc!$C:$C, 0))), "OK", "CHECK"))</f>
        <v>CHECK</v>
      </c>
      <c r="I578" s="3">
        <f>IF($E578="","", INDEX([1]Calc!$E:$E, MATCH("D_vessel_m", [1]Calc!$C:$C, 0)) - $E578 + $B578)</f>
        <v>1.9112508231881173</v>
      </c>
      <c r="J578" s="3">
        <f>IF($F578="","", INDEX([1]Calc!$E:$E, MATCH("D_vessel_m", [1]Calc!$C:$C, 0)) - $F578 + $B578)</f>
        <v>1.9112508231881173</v>
      </c>
      <c r="K578" s="2" t="str">
        <f t="shared" ref="K578:K641" si="29">IF(D578=0, "Even Keel", "")</f>
        <v>Even Keel</v>
      </c>
    </row>
    <row r="579" spans="1:11" x14ac:dyDescent="0.6">
      <c r="A579" s="2" t="str">
        <f>IF('December_Tide_2025 (2)'!A579="","",'December_Tide_2025 (2)'!A579)</f>
        <v>2025-12-25 01:00:00</v>
      </c>
      <c r="B579" s="3">
        <f>IF('December_Tide_2025 (2)'!B579="","",'December_Tide_2025 (2)'!B579)</f>
        <v>1.36</v>
      </c>
      <c r="C579" s="3">
        <f>IF($A579="","", INDEX([1]Calc!$E:$E, MATCH("KminusZ_m", [1]Calc!$C:$C, 0)) + $B579 - INDEX([1]Calc!$E:$E, MATCH("L_ramp_m", [1]Calc!$C:$C, 0)) * TAN(RADIANS(INDEX([1]Calc!$E:$E, MATCH("theta_max_deg", [1]Calc!$C:$C, 0)))))</f>
        <v>3.0987491768118827</v>
      </c>
      <c r="D579" s="3"/>
      <c r="E579" s="3">
        <f t="shared" si="27"/>
        <v>3.0987491768118827</v>
      </c>
      <c r="F579" s="3">
        <f t="shared" si="28"/>
        <v>3.0987491768118827</v>
      </c>
      <c r="G579" s="3">
        <f>IF($E579="","", DEGREES(ATAN((INDEX([1]Calc!$E:$E, MATCH("KminusZ_m", [1]Calc!$C:$C, 0)) - $E579 + $B579) / INDEX([1]Calc!$E:$E, MATCH("L_ramp_m", [1]Calc!$C:$C, 0)))))</f>
        <v>6</v>
      </c>
      <c r="H579" s="2" t="str">
        <f>IF($E579="","", IF(AND($E579&gt;=INDEX([1]Calc!$E:$E, MATCH("min_fwd_draft_m", [1]Calc!$C:$C, 0)), $E579&lt;=INDEX([1]Calc!$E:$E, MATCH("max_fwd_draft_m", [1]Calc!$C:$C, 0)), $G579&lt;=INDEX([1]Calc!$E:$E, MATCH("theta_max_deg", [1]Calc!$C:$C, 0))), "OK", "CHECK"))</f>
        <v>OK</v>
      </c>
      <c r="I579" s="3">
        <f>IF($E579="","", INDEX([1]Calc!$E:$E, MATCH("D_vessel_m", [1]Calc!$C:$C, 0)) - $E579 + $B579)</f>
        <v>1.9112508231881173</v>
      </c>
      <c r="J579" s="3">
        <f>IF($F579="","", INDEX([1]Calc!$E:$E, MATCH("D_vessel_m", [1]Calc!$C:$C, 0)) - $F579 + $B579)</f>
        <v>1.9112508231881173</v>
      </c>
      <c r="K579" s="2" t="str">
        <f t="shared" si="29"/>
        <v>Even Keel</v>
      </c>
    </row>
    <row r="580" spans="1:11" x14ac:dyDescent="0.6">
      <c r="A580" s="2" t="str">
        <f>IF('December_Tide_2025 (2)'!A580="","",'December_Tide_2025 (2)'!A580)</f>
        <v>2025-12-25 02:00:00</v>
      </c>
      <c r="B580" s="3">
        <f>IF('December_Tide_2025 (2)'!B580="","",'December_Tide_2025 (2)'!B580)</f>
        <v>1.02</v>
      </c>
      <c r="C580" s="3">
        <f>IF($A580="","", INDEX([1]Calc!$E:$E, MATCH("KminusZ_m", [1]Calc!$C:$C, 0)) + $B580 - INDEX([1]Calc!$E:$E, MATCH("L_ramp_m", [1]Calc!$C:$C, 0)) * TAN(RADIANS(INDEX([1]Calc!$E:$E, MATCH("theta_max_deg", [1]Calc!$C:$C, 0)))))</f>
        <v>2.7587491768118819</v>
      </c>
      <c r="D580" s="3"/>
      <c r="E580" s="3">
        <f t="shared" si="27"/>
        <v>2.7587491768118819</v>
      </c>
      <c r="F580" s="3">
        <f t="shared" si="28"/>
        <v>2.7587491768118819</v>
      </c>
      <c r="G580" s="3">
        <f>IF($E580="","", DEGREES(ATAN((INDEX([1]Calc!$E:$E, MATCH("KminusZ_m", [1]Calc!$C:$C, 0)) - $E580 + $B580) / INDEX([1]Calc!$E:$E, MATCH("L_ramp_m", [1]Calc!$C:$C, 0)))))</f>
        <v>6.0000000000000027</v>
      </c>
      <c r="H580" s="2" t="str">
        <f>IF($E580="","", IF(AND($E580&gt;=INDEX([1]Calc!$E:$E, MATCH("min_fwd_draft_m", [1]Calc!$C:$C, 0)), $E580&lt;=INDEX([1]Calc!$E:$E, MATCH("max_fwd_draft_m", [1]Calc!$C:$C, 0)), $G580&lt;=INDEX([1]Calc!$E:$E, MATCH("theta_max_deg", [1]Calc!$C:$C, 0))), "OK", "CHECK"))</f>
        <v>OK</v>
      </c>
      <c r="I580" s="3">
        <f>IF($E580="","", INDEX([1]Calc!$E:$E, MATCH("D_vessel_m", [1]Calc!$C:$C, 0)) - $E580 + $B580)</f>
        <v>1.911250823188118</v>
      </c>
      <c r="J580" s="3">
        <f>IF($F580="","", INDEX([1]Calc!$E:$E, MATCH("D_vessel_m", [1]Calc!$C:$C, 0)) - $F580 + $B580)</f>
        <v>1.911250823188118</v>
      </c>
      <c r="K580" s="2" t="str">
        <f t="shared" si="29"/>
        <v>Even Keel</v>
      </c>
    </row>
    <row r="581" spans="1:11" x14ac:dyDescent="0.6">
      <c r="A581" s="2" t="str">
        <f>IF('December_Tide_2025 (2)'!A581="","",'December_Tide_2025 (2)'!A581)</f>
        <v>2025-12-25 03:00:00</v>
      </c>
      <c r="B581" s="3">
        <f>IF('December_Tide_2025 (2)'!B581="","",'December_Tide_2025 (2)'!B581)</f>
        <v>0.87</v>
      </c>
      <c r="C581" s="3">
        <f>IF($A581="","", INDEX([1]Calc!$E:$E, MATCH("KminusZ_m", [1]Calc!$C:$C, 0)) + $B581 - INDEX([1]Calc!$E:$E, MATCH("L_ramp_m", [1]Calc!$C:$C, 0)) * TAN(RADIANS(INDEX([1]Calc!$E:$E, MATCH("theta_max_deg", [1]Calc!$C:$C, 0)))))</f>
        <v>2.6087491768118825</v>
      </c>
      <c r="D581" s="3"/>
      <c r="E581" s="3">
        <f t="shared" si="27"/>
        <v>2.6087491768118825</v>
      </c>
      <c r="F581" s="3">
        <f t="shared" si="28"/>
        <v>2.6087491768118825</v>
      </c>
      <c r="G581" s="3">
        <f>IF($E581="","", DEGREES(ATAN((INDEX([1]Calc!$E:$E, MATCH("KminusZ_m", [1]Calc!$C:$C, 0)) - $E581 + $B581) / INDEX([1]Calc!$E:$E, MATCH("L_ramp_m", [1]Calc!$C:$C, 0)))))</f>
        <v>6.0000000000000009</v>
      </c>
      <c r="H581" s="2" t="str">
        <f>IF($E581="","", IF(AND($E581&gt;=INDEX([1]Calc!$E:$E, MATCH("min_fwd_draft_m", [1]Calc!$C:$C, 0)), $E581&lt;=INDEX([1]Calc!$E:$E, MATCH("max_fwd_draft_m", [1]Calc!$C:$C, 0)), $G581&lt;=INDEX([1]Calc!$E:$E, MATCH("theta_max_deg", [1]Calc!$C:$C, 0))), "OK", "CHECK"))</f>
        <v>OK</v>
      </c>
      <c r="I581" s="3">
        <f>IF($E581="","", INDEX([1]Calc!$E:$E, MATCH("D_vessel_m", [1]Calc!$C:$C, 0)) - $E581 + $B581)</f>
        <v>1.9112508231881176</v>
      </c>
      <c r="J581" s="3">
        <f>IF($F581="","", INDEX([1]Calc!$E:$E, MATCH("D_vessel_m", [1]Calc!$C:$C, 0)) - $F581 + $B581)</f>
        <v>1.9112508231881176</v>
      </c>
      <c r="K581" s="2" t="str">
        <f t="shared" si="29"/>
        <v>Even Keel</v>
      </c>
    </row>
    <row r="582" spans="1:11" x14ac:dyDescent="0.6">
      <c r="A582" s="2" t="str">
        <f>IF('December_Tide_2025 (2)'!A582="","",'December_Tide_2025 (2)'!A582)</f>
        <v>2025-12-25 04:00:00</v>
      </c>
      <c r="B582" s="3">
        <f>IF('December_Tide_2025 (2)'!B582="","",'December_Tide_2025 (2)'!B582)</f>
        <v>0.95</v>
      </c>
      <c r="C582" s="3">
        <f>IF($A582="","", INDEX([1]Calc!$E:$E, MATCH("KminusZ_m", [1]Calc!$C:$C, 0)) + $B582 - INDEX([1]Calc!$E:$E, MATCH("L_ramp_m", [1]Calc!$C:$C, 0)) * TAN(RADIANS(INDEX([1]Calc!$E:$E, MATCH("theta_max_deg", [1]Calc!$C:$C, 0)))))</f>
        <v>2.6887491768118825</v>
      </c>
      <c r="D582" s="3"/>
      <c r="E582" s="3">
        <f t="shared" si="27"/>
        <v>2.6887491768118825</v>
      </c>
      <c r="F582" s="3">
        <f t="shared" si="28"/>
        <v>2.6887491768118825</v>
      </c>
      <c r="G582" s="3">
        <f>IF($E582="","", DEGREES(ATAN((INDEX([1]Calc!$E:$E, MATCH("KminusZ_m", [1]Calc!$C:$C, 0)) - $E582 + $B582) / INDEX([1]Calc!$E:$E, MATCH("L_ramp_m", [1]Calc!$C:$C, 0)))))</f>
        <v>6</v>
      </c>
      <c r="H582" s="2" t="str">
        <f>IF($E582="","", IF(AND($E582&gt;=INDEX([1]Calc!$E:$E, MATCH("min_fwd_draft_m", [1]Calc!$C:$C, 0)), $E582&lt;=INDEX([1]Calc!$E:$E, MATCH("max_fwd_draft_m", [1]Calc!$C:$C, 0)), $G582&lt;=INDEX([1]Calc!$E:$E, MATCH("theta_max_deg", [1]Calc!$C:$C, 0))), "OK", "CHECK"))</f>
        <v>OK</v>
      </c>
      <c r="I582" s="3">
        <f>IF($E582="","", INDEX([1]Calc!$E:$E, MATCH("D_vessel_m", [1]Calc!$C:$C, 0)) - $E582 + $B582)</f>
        <v>1.9112508231881173</v>
      </c>
      <c r="J582" s="3">
        <f>IF($F582="","", INDEX([1]Calc!$E:$E, MATCH("D_vessel_m", [1]Calc!$C:$C, 0)) - $F582 + $B582)</f>
        <v>1.9112508231881173</v>
      </c>
      <c r="K582" s="2" t="str">
        <f t="shared" si="29"/>
        <v>Even Keel</v>
      </c>
    </row>
    <row r="583" spans="1:11" x14ac:dyDescent="0.6">
      <c r="A583" s="2" t="str">
        <f>IF('December_Tide_2025 (2)'!A583="","",'December_Tide_2025 (2)'!A583)</f>
        <v>2025-12-25 05:00:00</v>
      </c>
      <c r="B583" s="3">
        <f>IF('December_Tide_2025 (2)'!B583="","",'December_Tide_2025 (2)'!B583)</f>
        <v>1.25</v>
      </c>
      <c r="C583" s="3">
        <f>IF($A583="","", INDEX([1]Calc!$E:$E, MATCH("KminusZ_m", [1]Calc!$C:$C, 0)) + $B583 - INDEX([1]Calc!$E:$E, MATCH("L_ramp_m", [1]Calc!$C:$C, 0)) * TAN(RADIANS(INDEX([1]Calc!$E:$E, MATCH("theta_max_deg", [1]Calc!$C:$C, 0)))))</f>
        <v>2.9887491768118823</v>
      </c>
      <c r="D583" s="3"/>
      <c r="E583" s="3">
        <f t="shared" si="27"/>
        <v>2.9887491768118823</v>
      </c>
      <c r="F583" s="3">
        <f t="shared" si="28"/>
        <v>2.9887491768118823</v>
      </c>
      <c r="G583" s="3">
        <f>IF($E583="","", DEGREES(ATAN((INDEX([1]Calc!$E:$E, MATCH("KminusZ_m", [1]Calc!$C:$C, 0)) - $E583 + $B583) / INDEX([1]Calc!$E:$E, MATCH("L_ramp_m", [1]Calc!$C:$C, 0)))))</f>
        <v>6.0000000000000009</v>
      </c>
      <c r="H583" s="2" t="str">
        <f>IF($E583="","", IF(AND($E583&gt;=INDEX([1]Calc!$E:$E, MATCH("min_fwd_draft_m", [1]Calc!$C:$C, 0)), $E583&lt;=INDEX([1]Calc!$E:$E, MATCH("max_fwd_draft_m", [1]Calc!$C:$C, 0)), $G583&lt;=INDEX([1]Calc!$E:$E, MATCH("theta_max_deg", [1]Calc!$C:$C, 0))), "OK", "CHECK"))</f>
        <v>OK</v>
      </c>
      <c r="I583" s="3">
        <f>IF($E583="","", INDEX([1]Calc!$E:$E, MATCH("D_vessel_m", [1]Calc!$C:$C, 0)) - $E583 + $B583)</f>
        <v>1.9112508231881176</v>
      </c>
      <c r="J583" s="3">
        <f>IF($F583="","", INDEX([1]Calc!$E:$E, MATCH("D_vessel_m", [1]Calc!$C:$C, 0)) - $F583 + $B583)</f>
        <v>1.9112508231881176</v>
      </c>
      <c r="K583" s="2" t="str">
        <f t="shared" si="29"/>
        <v>Even Keel</v>
      </c>
    </row>
    <row r="584" spans="1:11" x14ac:dyDescent="0.6">
      <c r="A584" s="2" t="str">
        <f>IF('December_Tide_2025 (2)'!A584="","",'December_Tide_2025 (2)'!A584)</f>
        <v>2025-12-25 06:00:00</v>
      </c>
      <c r="B584" s="3">
        <f>IF('December_Tide_2025 (2)'!B584="","",'December_Tide_2025 (2)'!B584)</f>
        <v>1.68</v>
      </c>
      <c r="C584" s="3">
        <f>IF($A584="","", INDEX([1]Calc!$E:$E, MATCH("KminusZ_m", [1]Calc!$C:$C, 0)) + $B584 - INDEX([1]Calc!$E:$E, MATCH("L_ramp_m", [1]Calc!$C:$C, 0)) * TAN(RADIANS(INDEX([1]Calc!$E:$E, MATCH("theta_max_deg", [1]Calc!$C:$C, 0)))))</f>
        <v>3.4187491768118821</v>
      </c>
      <c r="D584" s="3"/>
      <c r="E584" s="3">
        <f t="shared" si="27"/>
        <v>3.4187491768118821</v>
      </c>
      <c r="F584" s="3">
        <f t="shared" si="28"/>
        <v>3.4187491768118821</v>
      </c>
      <c r="G584" s="3">
        <f>IF($E584="","", DEGREES(ATAN((INDEX([1]Calc!$E:$E, MATCH("KminusZ_m", [1]Calc!$C:$C, 0)) - $E584 + $B584) / INDEX([1]Calc!$E:$E, MATCH("L_ramp_m", [1]Calc!$C:$C, 0)))))</f>
        <v>6.0000000000000009</v>
      </c>
      <c r="H584" s="2" t="str">
        <f>IF($E584="","", IF(AND($E584&gt;=INDEX([1]Calc!$E:$E, MATCH("min_fwd_draft_m", [1]Calc!$C:$C, 0)), $E584&lt;=INDEX([1]Calc!$E:$E, MATCH("max_fwd_draft_m", [1]Calc!$C:$C, 0)), $G584&lt;=INDEX([1]Calc!$E:$E, MATCH("theta_max_deg", [1]Calc!$C:$C, 0))), "OK", "CHECK"))</f>
        <v>OK</v>
      </c>
      <c r="I584" s="3">
        <f>IF($E584="","", INDEX([1]Calc!$E:$E, MATCH("D_vessel_m", [1]Calc!$C:$C, 0)) - $E584 + $B584)</f>
        <v>1.9112508231881178</v>
      </c>
      <c r="J584" s="3">
        <f>IF($F584="","", INDEX([1]Calc!$E:$E, MATCH("D_vessel_m", [1]Calc!$C:$C, 0)) - $F584 + $B584)</f>
        <v>1.9112508231881178</v>
      </c>
      <c r="K584" s="2" t="str">
        <f t="shared" si="29"/>
        <v>Even Keel</v>
      </c>
    </row>
    <row r="585" spans="1:11" x14ac:dyDescent="0.6">
      <c r="A585" s="2" t="str">
        <f>IF('December_Tide_2025 (2)'!A585="","",'December_Tide_2025 (2)'!A585)</f>
        <v>2025-12-25 07:00:00</v>
      </c>
      <c r="B585" s="3">
        <f>IF('December_Tide_2025 (2)'!B585="","",'December_Tide_2025 (2)'!B585)</f>
        <v>2.15</v>
      </c>
      <c r="C585" s="3">
        <f>IF($A585="","", INDEX([1]Calc!$E:$E, MATCH("KminusZ_m", [1]Calc!$C:$C, 0)) + $B585 - INDEX([1]Calc!$E:$E, MATCH("L_ramp_m", [1]Calc!$C:$C, 0)) * TAN(RADIANS(INDEX([1]Calc!$E:$E, MATCH("theta_max_deg", [1]Calc!$C:$C, 0)))))</f>
        <v>3.8887491768118827</v>
      </c>
      <c r="D585" s="3"/>
      <c r="E585" s="3">
        <f t="shared" si="27"/>
        <v>3.8887491768118827</v>
      </c>
      <c r="F585" s="3">
        <f t="shared" si="28"/>
        <v>3.8887491768118827</v>
      </c>
      <c r="G585" s="3">
        <f>IF($E585="","", DEGREES(ATAN((INDEX([1]Calc!$E:$E, MATCH("KminusZ_m", [1]Calc!$C:$C, 0)) - $E585 + $B585) / INDEX([1]Calc!$E:$E, MATCH("L_ramp_m", [1]Calc!$C:$C, 0)))))</f>
        <v>5.9999999999999982</v>
      </c>
      <c r="H585" s="2" t="str">
        <f>IF($E585="","", IF(AND($E585&gt;=INDEX([1]Calc!$E:$E, MATCH("min_fwd_draft_m", [1]Calc!$C:$C, 0)), $E585&lt;=INDEX([1]Calc!$E:$E, MATCH("max_fwd_draft_m", [1]Calc!$C:$C, 0)), $G585&lt;=INDEX([1]Calc!$E:$E, MATCH("theta_max_deg", [1]Calc!$C:$C, 0))), "OK", "CHECK"))</f>
        <v>CHECK</v>
      </c>
      <c r="I585" s="3">
        <f>IF($E585="","", INDEX([1]Calc!$E:$E, MATCH("D_vessel_m", [1]Calc!$C:$C, 0)) - $E585 + $B585)</f>
        <v>1.9112508231881171</v>
      </c>
      <c r="J585" s="3">
        <f>IF($F585="","", INDEX([1]Calc!$E:$E, MATCH("D_vessel_m", [1]Calc!$C:$C, 0)) - $F585 + $B585)</f>
        <v>1.9112508231881171</v>
      </c>
      <c r="K585" s="2" t="str">
        <f t="shared" si="29"/>
        <v>Even Keel</v>
      </c>
    </row>
    <row r="586" spans="1:11" x14ac:dyDescent="0.6">
      <c r="A586" s="2" t="str">
        <f>IF('December_Tide_2025 (2)'!A586="","",'December_Tide_2025 (2)'!A586)</f>
        <v>2025-12-25 08:00:00</v>
      </c>
      <c r="B586" s="3">
        <f>IF('December_Tide_2025 (2)'!B586="","",'December_Tide_2025 (2)'!B586)</f>
        <v>2.5299999999999998</v>
      </c>
      <c r="C586" s="3">
        <f>IF($A586="","", INDEX([1]Calc!$E:$E, MATCH("KminusZ_m", [1]Calc!$C:$C, 0)) + $B586 - INDEX([1]Calc!$E:$E, MATCH("L_ramp_m", [1]Calc!$C:$C, 0)) * TAN(RADIANS(INDEX([1]Calc!$E:$E, MATCH("theta_max_deg", [1]Calc!$C:$C, 0)))))</f>
        <v>4.2687491768118822</v>
      </c>
      <c r="D586" s="3"/>
      <c r="E586" s="3">
        <f t="shared" si="27"/>
        <v>4.2687491768118822</v>
      </c>
      <c r="F586" s="3">
        <f t="shared" si="28"/>
        <v>4.2687491768118822</v>
      </c>
      <c r="G586" s="3">
        <f>IF($E586="","", DEGREES(ATAN((INDEX([1]Calc!$E:$E, MATCH("KminusZ_m", [1]Calc!$C:$C, 0)) - $E586 + $B586) / INDEX([1]Calc!$E:$E, MATCH("L_ramp_m", [1]Calc!$C:$C, 0)))))</f>
        <v>6.0000000000000009</v>
      </c>
      <c r="H586" s="2" t="str">
        <f>IF($E586="","", IF(AND($E586&gt;=INDEX([1]Calc!$E:$E, MATCH("min_fwd_draft_m", [1]Calc!$C:$C, 0)), $E586&lt;=INDEX([1]Calc!$E:$E, MATCH("max_fwd_draft_m", [1]Calc!$C:$C, 0)), $G586&lt;=INDEX([1]Calc!$E:$E, MATCH("theta_max_deg", [1]Calc!$C:$C, 0))), "OK", "CHECK"))</f>
        <v>CHECK</v>
      </c>
      <c r="I586" s="3">
        <f>IF($E586="","", INDEX([1]Calc!$E:$E, MATCH("D_vessel_m", [1]Calc!$C:$C, 0)) - $E586 + $B586)</f>
        <v>1.9112508231881176</v>
      </c>
      <c r="J586" s="3">
        <f>IF($F586="","", INDEX([1]Calc!$E:$E, MATCH("D_vessel_m", [1]Calc!$C:$C, 0)) - $F586 + $B586)</f>
        <v>1.9112508231881176</v>
      </c>
      <c r="K586" s="2" t="str">
        <f t="shared" si="29"/>
        <v>Even Keel</v>
      </c>
    </row>
    <row r="587" spans="1:11" x14ac:dyDescent="0.6">
      <c r="A587" s="2" t="str">
        <f>IF('December_Tide_2025 (2)'!A587="","",'December_Tide_2025 (2)'!A587)</f>
        <v>2025-12-25 09:00:00</v>
      </c>
      <c r="B587" s="3">
        <f>IF('December_Tide_2025 (2)'!B587="","",'December_Tide_2025 (2)'!B587)</f>
        <v>2.72</v>
      </c>
      <c r="C587" s="3">
        <f>IF($A587="","", INDEX([1]Calc!$E:$E, MATCH("KminusZ_m", [1]Calc!$C:$C, 0)) + $B587 - INDEX([1]Calc!$E:$E, MATCH("L_ramp_m", [1]Calc!$C:$C, 0)) * TAN(RADIANS(INDEX([1]Calc!$E:$E, MATCH("theta_max_deg", [1]Calc!$C:$C, 0)))))</f>
        <v>4.4587491768118834</v>
      </c>
      <c r="D587" s="3"/>
      <c r="E587" s="3">
        <f t="shared" si="27"/>
        <v>4.4587491768118834</v>
      </c>
      <c r="F587" s="3">
        <f t="shared" si="28"/>
        <v>4.4587491768118834</v>
      </c>
      <c r="G587" s="3">
        <f>IF($E587="","", DEGREES(ATAN((INDEX([1]Calc!$E:$E, MATCH("KminusZ_m", [1]Calc!$C:$C, 0)) - $E587 + $B587) / INDEX([1]Calc!$E:$E, MATCH("L_ramp_m", [1]Calc!$C:$C, 0)))))</f>
        <v>5.9999999999999964</v>
      </c>
      <c r="H587" s="2" t="str">
        <f>IF($E587="","", IF(AND($E587&gt;=INDEX([1]Calc!$E:$E, MATCH("min_fwd_draft_m", [1]Calc!$C:$C, 0)), $E587&lt;=INDEX([1]Calc!$E:$E, MATCH("max_fwd_draft_m", [1]Calc!$C:$C, 0)), $G587&lt;=INDEX([1]Calc!$E:$E, MATCH("theta_max_deg", [1]Calc!$C:$C, 0))), "OK", "CHECK"))</f>
        <v>CHECK</v>
      </c>
      <c r="I587" s="3">
        <f>IF($E587="","", INDEX([1]Calc!$E:$E, MATCH("D_vessel_m", [1]Calc!$C:$C, 0)) - $E587 + $B587)</f>
        <v>1.9112508231881167</v>
      </c>
      <c r="J587" s="3">
        <f>IF($F587="","", INDEX([1]Calc!$E:$E, MATCH("D_vessel_m", [1]Calc!$C:$C, 0)) - $F587 + $B587)</f>
        <v>1.9112508231881167</v>
      </c>
      <c r="K587" s="2" t="str">
        <f t="shared" si="29"/>
        <v>Even Keel</v>
      </c>
    </row>
    <row r="588" spans="1:11" x14ac:dyDescent="0.6">
      <c r="A588" s="2" t="str">
        <f>IF('December_Tide_2025 (2)'!A588="","",'December_Tide_2025 (2)'!A588)</f>
        <v>2025-12-25 10:00:00</v>
      </c>
      <c r="B588" s="3">
        <f>IF('December_Tide_2025 (2)'!B588="","",'December_Tide_2025 (2)'!B588)</f>
        <v>2.69</v>
      </c>
      <c r="C588" s="3">
        <f>IF($A588="","", INDEX([1]Calc!$E:$E, MATCH("KminusZ_m", [1]Calc!$C:$C, 0)) + $B588 - INDEX([1]Calc!$E:$E, MATCH("L_ramp_m", [1]Calc!$C:$C, 0)) * TAN(RADIANS(INDEX([1]Calc!$E:$E, MATCH("theta_max_deg", [1]Calc!$C:$C, 0)))))</f>
        <v>4.4287491768118823</v>
      </c>
      <c r="D588" s="3"/>
      <c r="E588" s="3">
        <f t="shared" si="27"/>
        <v>4.4287491768118823</v>
      </c>
      <c r="F588" s="3">
        <f t="shared" si="28"/>
        <v>4.4287491768118823</v>
      </c>
      <c r="G588" s="3">
        <f>IF($E588="","", DEGREES(ATAN((INDEX([1]Calc!$E:$E, MATCH("KminusZ_m", [1]Calc!$C:$C, 0)) - $E588 + $B588) / INDEX([1]Calc!$E:$E, MATCH("L_ramp_m", [1]Calc!$C:$C, 0)))))</f>
        <v>6.0000000000000009</v>
      </c>
      <c r="H588" s="2" t="str">
        <f>IF($E588="","", IF(AND($E588&gt;=INDEX([1]Calc!$E:$E, MATCH("min_fwd_draft_m", [1]Calc!$C:$C, 0)), $E588&lt;=INDEX([1]Calc!$E:$E, MATCH("max_fwd_draft_m", [1]Calc!$C:$C, 0)), $G588&lt;=INDEX([1]Calc!$E:$E, MATCH("theta_max_deg", [1]Calc!$C:$C, 0))), "OK", "CHECK"))</f>
        <v>CHECK</v>
      </c>
      <c r="I588" s="3">
        <f>IF($E588="","", INDEX([1]Calc!$E:$E, MATCH("D_vessel_m", [1]Calc!$C:$C, 0)) - $E588 + $B588)</f>
        <v>1.9112508231881176</v>
      </c>
      <c r="J588" s="3">
        <f>IF($F588="","", INDEX([1]Calc!$E:$E, MATCH("D_vessel_m", [1]Calc!$C:$C, 0)) - $F588 + $B588)</f>
        <v>1.9112508231881176</v>
      </c>
      <c r="K588" s="2" t="str">
        <f t="shared" si="29"/>
        <v>Even Keel</v>
      </c>
    </row>
    <row r="589" spans="1:11" x14ac:dyDescent="0.6">
      <c r="A589" s="2" t="str">
        <f>IF('December_Tide_2025 (2)'!A589="","",'December_Tide_2025 (2)'!A589)</f>
        <v>2025-12-25 11:00:00</v>
      </c>
      <c r="B589" s="3">
        <f>IF('December_Tide_2025 (2)'!B589="","",'December_Tide_2025 (2)'!B589)</f>
        <v>2.4300000000000002</v>
      </c>
      <c r="C589" s="3">
        <f>IF($A589="","", INDEX([1]Calc!$E:$E, MATCH("KminusZ_m", [1]Calc!$C:$C, 0)) + $B589 - INDEX([1]Calc!$E:$E, MATCH("L_ramp_m", [1]Calc!$C:$C, 0)) * TAN(RADIANS(INDEX([1]Calc!$E:$E, MATCH("theta_max_deg", [1]Calc!$C:$C, 0)))))</f>
        <v>4.1687491768118825</v>
      </c>
      <c r="D589" s="3"/>
      <c r="E589" s="3">
        <f t="shared" si="27"/>
        <v>4.1687491768118825</v>
      </c>
      <c r="F589" s="3">
        <f t="shared" si="28"/>
        <v>4.1687491768118825</v>
      </c>
      <c r="G589" s="3">
        <f>IF($E589="","", DEGREES(ATAN((INDEX([1]Calc!$E:$E, MATCH("KminusZ_m", [1]Calc!$C:$C, 0)) - $E589 + $B589) / INDEX([1]Calc!$E:$E, MATCH("L_ramp_m", [1]Calc!$C:$C, 0)))))</f>
        <v>6.0000000000000009</v>
      </c>
      <c r="H589" s="2" t="str">
        <f>IF($E589="","", IF(AND($E589&gt;=INDEX([1]Calc!$E:$E, MATCH("min_fwd_draft_m", [1]Calc!$C:$C, 0)), $E589&lt;=INDEX([1]Calc!$E:$E, MATCH("max_fwd_draft_m", [1]Calc!$C:$C, 0)), $G589&lt;=INDEX([1]Calc!$E:$E, MATCH("theta_max_deg", [1]Calc!$C:$C, 0))), "OK", "CHECK"))</f>
        <v>CHECK</v>
      </c>
      <c r="I589" s="3">
        <f>IF($E589="","", INDEX([1]Calc!$E:$E, MATCH("D_vessel_m", [1]Calc!$C:$C, 0)) - $E589 + $B589)</f>
        <v>1.9112508231881176</v>
      </c>
      <c r="J589" s="3">
        <f>IF($F589="","", INDEX([1]Calc!$E:$E, MATCH("D_vessel_m", [1]Calc!$C:$C, 0)) - $F589 + $B589)</f>
        <v>1.9112508231881176</v>
      </c>
      <c r="K589" s="2" t="str">
        <f t="shared" si="29"/>
        <v>Even Keel</v>
      </c>
    </row>
    <row r="590" spans="1:11" x14ac:dyDescent="0.6">
      <c r="A590" s="2" t="str">
        <f>IF('December_Tide_2025 (2)'!A590="","",'December_Tide_2025 (2)'!A590)</f>
        <v>2025-12-25 12:00:00</v>
      </c>
      <c r="B590" s="3">
        <f>IF('December_Tide_2025 (2)'!B590="","",'December_Tide_2025 (2)'!B590)</f>
        <v>2.0099999999999998</v>
      </c>
      <c r="C590" s="3">
        <f>IF($A590="","", INDEX([1]Calc!$E:$E, MATCH("KminusZ_m", [1]Calc!$C:$C, 0)) + $B590 - INDEX([1]Calc!$E:$E, MATCH("L_ramp_m", [1]Calc!$C:$C, 0)) * TAN(RADIANS(INDEX([1]Calc!$E:$E, MATCH("theta_max_deg", [1]Calc!$C:$C, 0)))))</f>
        <v>3.7487491768118821</v>
      </c>
      <c r="D590" s="3"/>
      <c r="E590" s="3">
        <f t="shared" si="27"/>
        <v>3.7487491768118821</v>
      </c>
      <c r="F590" s="3">
        <f t="shared" si="28"/>
        <v>3.7487491768118821</v>
      </c>
      <c r="G590" s="3">
        <f>IF($E590="","", DEGREES(ATAN((INDEX([1]Calc!$E:$E, MATCH("KminusZ_m", [1]Calc!$C:$C, 0)) - $E590 + $B590) / INDEX([1]Calc!$E:$E, MATCH("L_ramp_m", [1]Calc!$C:$C, 0)))))</f>
        <v>6.0000000000000009</v>
      </c>
      <c r="H590" s="2" t="str">
        <f>IF($E590="","", IF(AND($E590&gt;=INDEX([1]Calc!$E:$E, MATCH("min_fwd_draft_m", [1]Calc!$C:$C, 0)), $E590&lt;=INDEX([1]Calc!$E:$E, MATCH("max_fwd_draft_m", [1]Calc!$C:$C, 0)), $G590&lt;=INDEX([1]Calc!$E:$E, MATCH("theta_max_deg", [1]Calc!$C:$C, 0))), "OK", "CHECK"))</f>
        <v>CHECK</v>
      </c>
      <c r="I590" s="3">
        <f>IF($E590="","", INDEX([1]Calc!$E:$E, MATCH("D_vessel_m", [1]Calc!$C:$C, 0)) - $E590 + $B590)</f>
        <v>1.9112508231881176</v>
      </c>
      <c r="J590" s="3">
        <f>IF($F590="","", INDEX([1]Calc!$E:$E, MATCH("D_vessel_m", [1]Calc!$C:$C, 0)) - $F590 + $B590)</f>
        <v>1.9112508231881176</v>
      </c>
      <c r="K590" s="2" t="str">
        <f t="shared" si="29"/>
        <v>Even Keel</v>
      </c>
    </row>
    <row r="591" spans="1:11" x14ac:dyDescent="0.6">
      <c r="A591" s="2" t="str">
        <f>IF('December_Tide_2025 (2)'!A591="","",'December_Tide_2025 (2)'!A591)</f>
        <v>2025-12-25 13:00:00</v>
      </c>
      <c r="B591" s="3">
        <f>IF('December_Tide_2025 (2)'!B591="","",'December_Tide_2025 (2)'!B591)</f>
        <v>1.54</v>
      </c>
      <c r="C591" s="3">
        <f>IF($A591="","", INDEX([1]Calc!$E:$E, MATCH("KminusZ_m", [1]Calc!$C:$C, 0)) + $B591 - INDEX([1]Calc!$E:$E, MATCH("L_ramp_m", [1]Calc!$C:$C, 0)) * TAN(RADIANS(INDEX([1]Calc!$E:$E, MATCH("theta_max_deg", [1]Calc!$C:$C, 0)))))</f>
        <v>3.2787491768118824</v>
      </c>
      <c r="D591" s="3"/>
      <c r="E591" s="3">
        <f t="shared" si="27"/>
        <v>3.2787491768118824</v>
      </c>
      <c r="F591" s="3">
        <f t="shared" si="28"/>
        <v>3.2787491768118824</v>
      </c>
      <c r="G591" s="3">
        <f>IF($E591="","", DEGREES(ATAN((INDEX([1]Calc!$E:$E, MATCH("KminusZ_m", [1]Calc!$C:$C, 0)) - $E591 + $B591) / INDEX([1]Calc!$E:$E, MATCH("L_ramp_m", [1]Calc!$C:$C, 0)))))</f>
        <v>6.0000000000000009</v>
      </c>
      <c r="H591" s="2" t="str">
        <f>IF($E591="","", IF(AND($E591&gt;=INDEX([1]Calc!$E:$E, MATCH("min_fwd_draft_m", [1]Calc!$C:$C, 0)), $E591&lt;=INDEX([1]Calc!$E:$E, MATCH("max_fwd_draft_m", [1]Calc!$C:$C, 0)), $G591&lt;=INDEX([1]Calc!$E:$E, MATCH("theta_max_deg", [1]Calc!$C:$C, 0))), "OK", "CHECK"))</f>
        <v>OK</v>
      </c>
      <c r="I591" s="3">
        <f>IF($E591="","", INDEX([1]Calc!$E:$E, MATCH("D_vessel_m", [1]Calc!$C:$C, 0)) - $E591 + $B591)</f>
        <v>1.9112508231881176</v>
      </c>
      <c r="J591" s="3">
        <f>IF($F591="","", INDEX([1]Calc!$E:$E, MATCH("D_vessel_m", [1]Calc!$C:$C, 0)) - $F591 + $B591)</f>
        <v>1.9112508231881176</v>
      </c>
      <c r="K591" s="2" t="str">
        <f t="shared" si="29"/>
        <v>Even Keel</v>
      </c>
    </row>
    <row r="592" spans="1:11" x14ac:dyDescent="0.6">
      <c r="A592" s="2" t="str">
        <f>IF('December_Tide_2025 (2)'!A592="","",'December_Tide_2025 (2)'!A592)</f>
        <v>2025-12-25 14:00:00</v>
      </c>
      <c r="B592" s="3">
        <f>IF('December_Tide_2025 (2)'!B592="","",'December_Tide_2025 (2)'!B592)</f>
        <v>1.1399999999999999</v>
      </c>
      <c r="C592" s="3">
        <f>IF($A592="","", INDEX([1]Calc!$E:$E, MATCH("KminusZ_m", [1]Calc!$C:$C, 0)) + $B592 - INDEX([1]Calc!$E:$E, MATCH("L_ramp_m", [1]Calc!$C:$C, 0)) * TAN(RADIANS(INDEX([1]Calc!$E:$E, MATCH("theta_max_deg", [1]Calc!$C:$C, 0)))))</f>
        <v>2.878749176811882</v>
      </c>
      <c r="D592" s="3"/>
      <c r="E592" s="3">
        <f t="shared" si="27"/>
        <v>2.878749176811882</v>
      </c>
      <c r="F592" s="3">
        <f t="shared" si="28"/>
        <v>2.878749176811882</v>
      </c>
      <c r="G592" s="3">
        <f>IF($E592="","", DEGREES(ATAN((INDEX([1]Calc!$E:$E, MATCH("KminusZ_m", [1]Calc!$C:$C, 0)) - $E592 + $B592) / INDEX([1]Calc!$E:$E, MATCH("L_ramp_m", [1]Calc!$C:$C, 0)))))</f>
        <v>6.0000000000000009</v>
      </c>
      <c r="H592" s="2" t="str">
        <f>IF($E592="","", IF(AND($E592&gt;=INDEX([1]Calc!$E:$E, MATCH("min_fwd_draft_m", [1]Calc!$C:$C, 0)), $E592&lt;=INDEX([1]Calc!$E:$E, MATCH("max_fwd_draft_m", [1]Calc!$C:$C, 0)), $G592&lt;=INDEX([1]Calc!$E:$E, MATCH("theta_max_deg", [1]Calc!$C:$C, 0))), "OK", "CHECK"))</f>
        <v>OK</v>
      </c>
      <c r="I592" s="3">
        <f>IF($E592="","", INDEX([1]Calc!$E:$E, MATCH("D_vessel_m", [1]Calc!$C:$C, 0)) - $E592 + $B592)</f>
        <v>1.9112508231881178</v>
      </c>
      <c r="J592" s="3">
        <f>IF($F592="","", INDEX([1]Calc!$E:$E, MATCH("D_vessel_m", [1]Calc!$C:$C, 0)) - $F592 + $B592)</f>
        <v>1.9112508231881178</v>
      </c>
      <c r="K592" s="2" t="str">
        <f t="shared" si="29"/>
        <v>Even Keel</v>
      </c>
    </row>
    <row r="593" spans="1:11" x14ac:dyDescent="0.6">
      <c r="A593" s="2" t="str">
        <f>IF('December_Tide_2025 (2)'!A593="","",'December_Tide_2025 (2)'!A593)</f>
        <v>2025-12-25 15:00:00</v>
      </c>
      <c r="B593" s="3">
        <f>IF('December_Tide_2025 (2)'!B593="","",'December_Tide_2025 (2)'!B593)</f>
        <v>0.9</v>
      </c>
      <c r="C593" s="3">
        <f>IF($A593="","", INDEX([1]Calc!$E:$E, MATCH("KminusZ_m", [1]Calc!$C:$C, 0)) + $B593 - INDEX([1]Calc!$E:$E, MATCH("L_ramp_m", [1]Calc!$C:$C, 0)) * TAN(RADIANS(INDEX([1]Calc!$E:$E, MATCH("theta_max_deg", [1]Calc!$C:$C, 0)))))</f>
        <v>2.6387491768118823</v>
      </c>
      <c r="D593" s="3"/>
      <c r="E593" s="3">
        <f t="shared" si="27"/>
        <v>2.6387491768118823</v>
      </c>
      <c r="F593" s="3">
        <f t="shared" si="28"/>
        <v>2.6387491768118823</v>
      </c>
      <c r="G593" s="3">
        <f>IF($E593="","", DEGREES(ATAN((INDEX([1]Calc!$E:$E, MATCH("KminusZ_m", [1]Calc!$C:$C, 0)) - $E593 + $B593) / INDEX([1]Calc!$E:$E, MATCH("L_ramp_m", [1]Calc!$C:$C, 0)))))</f>
        <v>6.0000000000000009</v>
      </c>
      <c r="H593" s="2" t="str">
        <f>IF($E593="","", IF(AND($E593&gt;=INDEX([1]Calc!$E:$E, MATCH("min_fwd_draft_m", [1]Calc!$C:$C, 0)), $E593&lt;=INDEX([1]Calc!$E:$E, MATCH("max_fwd_draft_m", [1]Calc!$C:$C, 0)), $G593&lt;=INDEX([1]Calc!$E:$E, MATCH("theta_max_deg", [1]Calc!$C:$C, 0))), "OK", "CHECK"))</f>
        <v>OK</v>
      </c>
      <c r="I593" s="3">
        <f>IF($E593="","", INDEX([1]Calc!$E:$E, MATCH("D_vessel_m", [1]Calc!$C:$C, 0)) - $E593 + $B593)</f>
        <v>1.9112508231881176</v>
      </c>
      <c r="J593" s="3">
        <f>IF($F593="","", INDEX([1]Calc!$E:$E, MATCH("D_vessel_m", [1]Calc!$C:$C, 0)) - $F593 + $B593)</f>
        <v>1.9112508231881176</v>
      </c>
      <c r="K593" s="2" t="str">
        <f t="shared" si="29"/>
        <v>Even Keel</v>
      </c>
    </row>
    <row r="594" spans="1:11" x14ac:dyDescent="0.6">
      <c r="A594" s="2" t="str">
        <f>IF('December_Tide_2025 (2)'!A594="","",'December_Tide_2025 (2)'!A594)</f>
        <v>2025-12-25 16:00:00</v>
      </c>
      <c r="B594" s="3">
        <f>IF('December_Tide_2025 (2)'!B594="","",'December_Tide_2025 (2)'!B594)</f>
        <v>0.89</v>
      </c>
      <c r="C594" s="3">
        <f>IF($A594="","", INDEX([1]Calc!$E:$E, MATCH("KminusZ_m", [1]Calc!$C:$C, 0)) + $B594 - INDEX([1]Calc!$E:$E, MATCH("L_ramp_m", [1]Calc!$C:$C, 0)) * TAN(RADIANS(INDEX([1]Calc!$E:$E, MATCH("theta_max_deg", [1]Calc!$C:$C, 0)))))</f>
        <v>2.6287491768118825</v>
      </c>
      <c r="D594" s="3"/>
      <c r="E594" s="3">
        <f t="shared" si="27"/>
        <v>2.6287491768118825</v>
      </c>
      <c r="F594" s="3">
        <f t="shared" si="28"/>
        <v>2.6287491768118825</v>
      </c>
      <c r="G594" s="3">
        <f>IF($E594="","", DEGREES(ATAN((INDEX([1]Calc!$E:$E, MATCH("KminusZ_m", [1]Calc!$C:$C, 0)) - $E594 + $B594) / INDEX([1]Calc!$E:$E, MATCH("L_ramp_m", [1]Calc!$C:$C, 0)))))</f>
        <v>6.0000000000000009</v>
      </c>
      <c r="H594" s="2" t="str">
        <f>IF($E594="","", IF(AND($E594&gt;=INDEX([1]Calc!$E:$E, MATCH("min_fwd_draft_m", [1]Calc!$C:$C, 0)), $E594&lt;=INDEX([1]Calc!$E:$E, MATCH("max_fwd_draft_m", [1]Calc!$C:$C, 0)), $G594&lt;=INDEX([1]Calc!$E:$E, MATCH("theta_max_deg", [1]Calc!$C:$C, 0))), "OK", "CHECK"))</f>
        <v>OK</v>
      </c>
      <c r="I594" s="3">
        <f>IF($E594="","", INDEX([1]Calc!$E:$E, MATCH("D_vessel_m", [1]Calc!$C:$C, 0)) - $E594 + $B594)</f>
        <v>1.9112508231881176</v>
      </c>
      <c r="J594" s="3">
        <f>IF($F594="","", INDEX([1]Calc!$E:$E, MATCH("D_vessel_m", [1]Calc!$C:$C, 0)) - $F594 + $B594)</f>
        <v>1.9112508231881176</v>
      </c>
      <c r="K594" s="2" t="str">
        <f t="shared" si="29"/>
        <v>Even Keel</v>
      </c>
    </row>
    <row r="595" spans="1:11" x14ac:dyDescent="0.6">
      <c r="A595" s="2" t="str">
        <f>IF('December_Tide_2025 (2)'!A595="","",'December_Tide_2025 (2)'!A595)</f>
        <v>2025-12-25 17:00:00</v>
      </c>
      <c r="B595" s="3">
        <f>IF('December_Tide_2025 (2)'!B595="","",'December_Tide_2025 (2)'!B595)</f>
        <v>1.1100000000000001</v>
      </c>
      <c r="C595" s="3">
        <f>IF($A595="","", INDEX([1]Calc!$E:$E, MATCH("KminusZ_m", [1]Calc!$C:$C, 0)) + $B595 - INDEX([1]Calc!$E:$E, MATCH("L_ramp_m", [1]Calc!$C:$C, 0)) * TAN(RADIANS(INDEX([1]Calc!$E:$E, MATCH("theta_max_deg", [1]Calc!$C:$C, 0)))))</f>
        <v>2.8487491768118827</v>
      </c>
      <c r="D595" s="3"/>
      <c r="E595" s="3">
        <f t="shared" si="27"/>
        <v>2.8487491768118827</v>
      </c>
      <c r="F595" s="3">
        <f t="shared" si="28"/>
        <v>2.8487491768118827</v>
      </c>
      <c r="G595" s="3">
        <f>IF($E595="","", DEGREES(ATAN((INDEX([1]Calc!$E:$E, MATCH("KminusZ_m", [1]Calc!$C:$C, 0)) - $E595 + $B595) / INDEX([1]Calc!$E:$E, MATCH("L_ramp_m", [1]Calc!$C:$C, 0)))))</f>
        <v>6</v>
      </c>
      <c r="H595" s="2" t="str">
        <f>IF($E595="","", IF(AND($E595&gt;=INDEX([1]Calc!$E:$E, MATCH("min_fwd_draft_m", [1]Calc!$C:$C, 0)), $E595&lt;=INDEX([1]Calc!$E:$E, MATCH("max_fwd_draft_m", [1]Calc!$C:$C, 0)), $G595&lt;=INDEX([1]Calc!$E:$E, MATCH("theta_max_deg", [1]Calc!$C:$C, 0))), "OK", "CHECK"))</f>
        <v>OK</v>
      </c>
      <c r="I595" s="3">
        <f>IF($E595="","", INDEX([1]Calc!$E:$E, MATCH("D_vessel_m", [1]Calc!$C:$C, 0)) - $E595 + $B595)</f>
        <v>1.9112508231881173</v>
      </c>
      <c r="J595" s="3">
        <f>IF($F595="","", INDEX([1]Calc!$E:$E, MATCH("D_vessel_m", [1]Calc!$C:$C, 0)) - $F595 + $B595)</f>
        <v>1.9112508231881173</v>
      </c>
      <c r="K595" s="2" t="str">
        <f t="shared" si="29"/>
        <v>Even Keel</v>
      </c>
    </row>
    <row r="596" spans="1:11" x14ac:dyDescent="0.6">
      <c r="A596" s="2" t="str">
        <f>IF('December_Tide_2025 (2)'!A596="","",'December_Tide_2025 (2)'!A596)</f>
        <v>2025-12-25 18:00:00</v>
      </c>
      <c r="B596" s="3">
        <f>IF('December_Tide_2025 (2)'!B596="","",'December_Tide_2025 (2)'!B596)</f>
        <v>1.5</v>
      </c>
      <c r="C596" s="3">
        <f>IF($A596="","", INDEX([1]Calc!$E:$E, MATCH("KminusZ_m", [1]Calc!$C:$C, 0)) + $B596 - INDEX([1]Calc!$E:$E, MATCH("L_ramp_m", [1]Calc!$C:$C, 0)) * TAN(RADIANS(INDEX([1]Calc!$E:$E, MATCH("theta_max_deg", [1]Calc!$C:$C, 0)))))</f>
        <v>3.2387491768118823</v>
      </c>
      <c r="D596" s="3"/>
      <c r="E596" s="3">
        <f t="shared" si="27"/>
        <v>3.2387491768118823</v>
      </c>
      <c r="F596" s="3">
        <f t="shared" si="28"/>
        <v>3.2387491768118823</v>
      </c>
      <c r="G596" s="3">
        <f>IF($E596="","", DEGREES(ATAN((INDEX([1]Calc!$E:$E, MATCH("KminusZ_m", [1]Calc!$C:$C, 0)) - $E596 + $B596) / INDEX([1]Calc!$E:$E, MATCH("L_ramp_m", [1]Calc!$C:$C, 0)))))</f>
        <v>6.0000000000000009</v>
      </c>
      <c r="H596" s="2" t="str">
        <f>IF($E596="","", IF(AND($E596&gt;=INDEX([1]Calc!$E:$E, MATCH("min_fwd_draft_m", [1]Calc!$C:$C, 0)), $E596&lt;=INDEX([1]Calc!$E:$E, MATCH("max_fwd_draft_m", [1]Calc!$C:$C, 0)), $G596&lt;=INDEX([1]Calc!$E:$E, MATCH("theta_max_deg", [1]Calc!$C:$C, 0))), "OK", "CHECK"))</f>
        <v>OK</v>
      </c>
      <c r="I596" s="3">
        <f>IF($E596="","", INDEX([1]Calc!$E:$E, MATCH("D_vessel_m", [1]Calc!$C:$C, 0)) - $E596 + $B596)</f>
        <v>1.9112508231881176</v>
      </c>
      <c r="J596" s="3">
        <f>IF($F596="","", INDEX([1]Calc!$E:$E, MATCH("D_vessel_m", [1]Calc!$C:$C, 0)) - $F596 + $B596)</f>
        <v>1.9112508231881176</v>
      </c>
      <c r="K596" s="2" t="str">
        <f t="shared" si="29"/>
        <v>Even Keel</v>
      </c>
    </row>
    <row r="597" spans="1:11" x14ac:dyDescent="0.6">
      <c r="A597" s="2" t="str">
        <f>IF('December_Tide_2025 (2)'!A597="","",'December_Tide_2025 (2)'!A597)</f>
        <v>2025-12-25 19:00:00</v>
      </c>
      <c r="B597" s="3">
        <f>IF('December_Tide_2025 (2)'!B597="","",'December_Tide_2025 (2)'!B597)</f>
        <v>1.97</v>
      </c>
      <c r="C597" s="3">
        <f>IF($A597="","", INDEX([1]Calc!$E:$E, MATCH("KminusZ_m", [1]Calc!$C:$C, 0)) + $B597 - INDEX([1]Calc!$E:$E, MATCH("L_ramp_m", [1]Calc!$C:$C, 0)) * TAN(RADIANS(INDEX([1]Calc!$E:$E, MATCH("theta_max_deg", [1]Calc!$C:$C, 0)))))</f>
        <v>3.7087491768118821</v>
      </c>
      <c r="D597" s="3"/>
      <c r="E597" s="3">
        <f t="shared" si="27"/>
        <v>3.7087491768118821</v>
      </c>
      <c r="F597" s="3">
        <f t="shared" si="28"/>
        <v>3.7087491768118821</v>
      </c>
      <c r="G597" s="3">
        <f>IF($E597="","", DEGREES(ATAN((INDEX([1]Calc!$E:$E, MATCH("KminusZ_m", [1]Calc!$C:$C, 0)) - $E597 + $B597) / INDEX([1]Calc!$E:$E, MATCH("L_ramp_m", [1]Calc!$C:$C, 0)))))</f>
        <v>6.0000000000000009</v>
      </c>
      <c r="H597" s="2" t="str">
        <f>IF($E597="","", IF(AND($E597&gt;=INDEX([1]Calc!$E:$E, MATCH("min_fwd_draft_m", [1]Calc!$C:$C, 0)), $E597&lt;=INDEX([1]Calc!$E:$E, MATCH("max_fwd_draft_m", [1]Calc!$C:$C, 0)), $G597&lt;=INDEX([1]Calc!$E:$E, MATCH("theta_max_deg", [1]Calc!$C:$C, 0))), "OK", "CHECK"))</f>
        <v>CHECK</v>
      </c>
      <c r="I597" s="3">
        <f>IF($E597="","", INDEX([1]Calc!$E:$E, MATCH("D_vessel_m", [1]Calc!$C:$C, 0)) - $E597 + $B597)</f>
        <v>1.9112508231881178</v>
      </c>
      <c r="J597" s="3">
        <f>IF($F597="","", INDEX([1]Calc!$E:$E, MATCH("D_vessel_m", [1]Calc!$C:$C, 0)) - $F597 + $B597)</f>
        <v>1.9112508231881178</v>
      </c>
      <c r="K597" s="2" t="str">
        <f t="shared" si="29"/>
        <v>Even Keel</v>
      </c>
    </row>
    <row r="598" spans="1:11" x14ac:dyDescent="0.6">
      <c r="A598" s="2" t="str">
        <f>IF('December_Tide_2025 (2)'!A598="","",'December_Tide_2025 (2)'!A598)</f>
        <v>2025-12-25 20:00:00</v>
      </c>
      <c r="B598" s="3">
        <f>IF('December_Tide_2025 (2)'!B598="","",'December_Tide_2025 (2)'!B598)</f>
        <v>2.39</v>
      </c>
      <c r="C598" s="3">
        <f>IF($A598="","", INDEX([1]Calc!$E:$E, MATCH("KminusZ_m", [1]Calc!$C:$C, 0)) + $B598 - INDEX([1]Calc!$E:$E, MATCH("L_ramp_m", [1]Calc!$C:$C, 0)) * TAN(RADIANS(INDEX([1]Calc!$E:$E, MATCH("theta_max_deg", [1]Calc!$C:$C, 0)))))</f>
        <v>4.1287491768118834</v>
      </c>
      <c r="D598" s="3"/>
      <c r="E598" s="3">
        <f t="shared" si="27"/>
        <v>4.1287491768118834</v>
      </c>
      <c r="F598" s="3">
        <f t="shared" si="28"/>
        <v>4.1287491768118834</v>
      </c>
      <c r="G598" s="3">
        <f>IF($E598="","", DEGREES(ATAN((INDEX([1]Calc!$E:$E, MATCH("KminusZ_m", [1]Calc!$C:$C, 0)) - $E598 + $B598) / INDEX([1]Calc!$E:$E, MATCH("L_ramp_m", [1]Calc!$C:$C, 0)))))</f>
        <v>5.9999999999999964</v>
      </c>
      <c r="H598" s="2" t="str">
        <f>IF($E598="","", IF(AND($E598&gt;=INDEX([1]Calc!$E:$E, MATCH("min_fwd_draft_m", [1]Calc!$C:$C, 0)), $E598&lt;=INDEX([1]Calc!$E:$E, MATCH("max_fwd_draft_m", [1]Calc!$C:$C, 0)), $G598&lt;=INDEX([1]Calc!$E:$E, MATCH("theta_max_deg", [1]Calc!$C:$C, 0))), "OK", "CHECK"))</f>
        <v>CHECK</v>
      </c>
      <c r="I598" s="3">
        <f>IF($E598="","", INDEX([1]Calc!$E:$E, MATCH("D_vessel_m", [1]Calc!$C:$C, 0)) - $E598 + $B598)</f>
        <v>1.9112508231881167</v>
      </c>
      <c r="J598" s="3">
        <f>IF($F598="","", INDEX([1]Calc!$E:$E, MATCH("D_vessel_m", [1]Calc!$C:$C, 0)) - $F598 + $B598)</f>
        <v>1.9112508231881167</v>
      </c>
      <c r="K598" s="2" t="str">
        <f t="shared" si="29"/>
        <v>Even Keel</v>
      </c>
    </row>
    <row r="599" spans="1:11" x14ac:dyDescent="0.6">
      <c r="A599" s="2" t="str">
        <f>IF('December_Tide_2025 (2)'!A599="","",'December_Tide_2025 (2)'!A599)</f>
        <v>2025-12-25 21:00:00</v>
      </c>
      <c r="B599" s="3">
        <f>IF('December_Tide_2025 (2)'!B599="","",'December_Tide_2025 (2)'!B599)</f>
        <v>2.67</v>
      </c>
      <c r="C599" s="3">
        <f>IF($A599="","", INDEX([1]Calc!$E:$E, MATCH("KminusZ_m", [1]Calc!$C:$C, 0)) + $B599 - INDEX([1]Calc!$E:$E, MATCH("L_ramp_m", [1]Calc!$C:$C, 0)) * TAN(RADIANS(INDEX([1]Calc!$E:$E, MATCH("theta_max_deg", [1]Calc!$C:$C, 0)))))</f>
        <v>4.4087491768118827</v>
      </c>
      <c r="D599" s="3"/>
      <c r="E599" s="3">
        <f t="shared" si="27"/>
        <v>4.4087491768118827</v>
      </c>
      <c r="F599" s="3">
        <f t="shared" si="28"/>
        <v>4.4087491768118827</v>
      </c>
      <c r="G599" s="3">
        <f>IF($E599="","", DEGREES(ATAN((INDEX([1]Calc!$E:$E, MATCH("KminusZ_m", [1]Calc!$C:$C, 0)) - $E599 + $B599) / INDEX([1]Calc!$E:$E, MATCH("L_ramp_m", [1]Calc!$C:$C, 0)))))</f>
        <v>5.9999999999999982</v>
      </c>
      <c r="H599" s="2" t="str">
        <f>IF($E599="","", IF(AND($E599&gt;=INDEX([1]Calc!$E:$E, MATCH("min_fwd_draft_m", [1]Calc!$C:$C, 0)), $E599&lt;=INDEX([1]Calc!$E:$E, MATCH("max_fwd_draft_m", [1]Calc!$C:$C, 0)), $G599&lt;=INDEX([1]Calc!$E:$E, MATCH("theta_max_deg", [1]Calc!$C:$C, 0))), "OK", "CHECK"))</f>
        <v>CHECK</v>
      </c>
      <c r="I599" s="3">
        <f>IF($E599="","", INDEX([1]Calc!$E:$E, MATCH("D_vessel_m", [1]Calc!$C:$C, 0)) - $E599 + $B599)</f>
        <v>1.9112508231881171</v>
      </c>
      <c r="J599" s="3">
        <f>IF($F599="","", INDEX([1]Calc!$E:$E, MATCH("D_vessel_m", [1]Calc!$C:$C, 0)) - $F599 + $B599)</f>
        <v>1.9112508231881171</v>
      </c>
      <c r="K599" s="2" t="str">
        <f t="shared" si="29"/>
        <v>Even Keel</v>
      </c>
    </row>
    <row r="600" spans="1:11" x14ac:dyDescent="0.6">
      <c r="A600" s="2" t="str">
        <f>IF('December_Tide_2025 (2)'!A600="","",'December_Tide_2025 (2)'!A600)</f>
        <v>2025-12-25 22:00:00</v>
      </c>
      <c r="B600" s="3">
        <f>IF('December_Tide_2025 (2)'!B600="","",'December_Tide_2025 (2)'!B600)</f>
        <v>2.73</v>
      </c>
      <c r="C600" s="3">
        <f>IF($A600="","", INDEX([1]Calc!$E:$E, MATCH("KminusZ_m", [1]Calc!$C:$C, 0)) + $B600 - INDEX([1]Calc!$E:$E, MATCH("L_ramp_m", [1]Calc!$C:$C, 0)) * TAN(RADIANS(INDEX([1]Calc!$E:$E, MATCH("theta_max_deg", [1]Calc!$C:$C, 0)))))</f>
        <v>4.4687491768118832</v>
      </c>
      <c r="D600" s="3"/>
      <c r="E600" s="3">
        <f t="shared" si="27"/>
        <v>4.4687491768118832</v>
      </c>
      <c r="F600" s="3">
        <f t="shared" si="28"/>
        <v>4.4687491768118832</v>
      </c>
      <c r="G600" s="3">
        <f>IF($E600="","", DEGREES(ATAN((INDEX([1]Calc!$E:$E, MATCH("KminusZ_m", [1]Calc!$C:$C, 0)) - $E600 + $B600) / INDEX([1]Calc!$E:$E, MATCH("L_ramp_m", [1]Calc!$C:$C, 0)))))</f>
        <v>5.9999999999999964</v>
      </c>
      <c r="H600" s="2" t="str">
        <f>IF($E600="","", IF(AND($E600&gt;=INDEX([1]Calc!$E:$E, MATCH("min_fwd_draft_m", [1]Calc!$C:$C, 0)), $E600&lt;=INDEX([1]Calc!$E:$E, MATCH("max_fwd_draft_m", [1]Calc!$C:$C, 0)), $G600&lt;=INDEX([1]Calc!$E:$E, MATCH("theta_max_deg", [1]Calc!$C:$C, 0))), "OK", "CHECK"))</f>
        <v>CHECK</v>
      </c>
      <c r="I600" s="3">
        <f>IF($E600="","", INDEX([1]Calc!$E:$E, MATCH("D_vessel_m", [1]Calc!$C:$C, 0)) - $E600 + $B600)</f>
        <v>1.9112508231881167</v>
      </c>
      <c r="J600" s="3">
        <f>IF($F600="","", INDEX([1]Calc!$E:$E, MATCH("D_vessel_m", [1]Calc!$C:$C, 0)) - $F600 + $B600)</f>
        <v>1.9112508231881167</v>
      </c>
      <c r="K600" s="2" t="str">
        <f t="shared" si="29"/>
        <v>Even Keel</v>
      </c>
    </row>
    <row r="601" spans="1:11" x14ac:dyDescent="0.6">
      <c r="A601" s="2" t="str">
        <f>IF('December_Tide_2025 (2)'!A601="","",'December_Tide_2025 (2)'!A601)</f>
        <v>2025-12-25 23:00:00</v>
      </c>
      <c r="B601" s="3">
        <f>IF('December_Tide_2025 (2)'!B601="","",'December_Tide_2025 (2)'!B601)</f>
        <v>2.5499999999999998</v>
      </c>
      <c r="C601" s="3">
        <f>IF($A601="","", INDEX([1]Calc!$E:$E, MATCH("KminusZ_m", [1]Calc!$C:$C, 0)) + $B601 - INDEX([1]Calc!$E:$E, MATCH("L_ramp_m", [1]Calc!$C:$C, 0)) * TAN(RADIANS(INDEX([1]Calc!$E:$E, MATCH("theta_max_deg", [1]Calc!$C:$C, 0)))))</f>
        <v>4.2887491768118817</v>
      </c>
      <c r="D601" s="3"/>
      <c r="E601" s="3">
        <f t="shared" si="27"/>
        <v>4.2887491768118817</v>
      </c>
      <c r="F601" s="3">
        <f t="shared" si="28"/>
        <v>4.2887491768118817</v>
      </c>
      <c r="G601" s="3">
        <f>IF($E601="","", DEGREES(ATAN((INDEX([1]Calc!$E:$E, MATCH("KminusZ_m", [1]Calc!$C:$C, 0)) - $E601 + $B601) / INDEX([1]Calc!$E:$E, MATCH("L_ramp_m", [1]Calc!$C:$C, 0)))))</f>
        <v>6.0000000000000027</v>
      </c>
      <c r="H601" s="2" t="str">
        <f>IF($E601="","", IF(AND($E601&gt;=INDEX([1]Calc!$E:$E, MATCH("min_fwd_draft_m", [1]Calc!$C:$C, 0)), $E601&lt;=INDEX([1]Calc!$E:$E, MATCH("max_fwd_draft_m", [1]Calc!$C:$C, 0)), $G601&lt;=INDEX([1]Calc!$E:$E, MATCH("theta_max_deg", [1]Calc!$C:$C, 0))), "OK", "CHECK"))</f>
        <v>CHECK</v>
      </c>
      <c r="I601" s="3">
        <f>IF($E601="","", INDEX([1]Calc!$E:$E, MATCH("D_vessel_m", [1]Calc!$C:$C, 0)) - $E601 + $B601)</f>
        <v>1.911250823188118</v>
      </c>
      <c r="J601" s="3">
        <f>IF($F601="","", INDEX([1]Calc!$E:$E, MATCH("D_vessel_m", [1]Calc!$C:$C, 0)) - $F601 + $B601)</f>
        <v>1.911250823188118</v>
      </c>
      <c r="K601" s="2" t="str">
        <f t="shared" si="29"/>
        <v>Even Keel</v>
      </c>
    </row>
    <row r="602" spans="1:11" x14ac:dyDescent="0.6">
      <c r="A602" s="2" t="str">
        <f>IF('December_Tide_2025 (2)'!A602="","",'December_Tide_2025 (2)'!A602)</f>
        <v>2025-12-26 00:00:00</v>
      </c>
      <c r="B602" s="3">
        <f>IF('December_Tide_2025 (2)'!B602="","",'December_Tide_2025 (2)'!B602)</f>
        <v>2.19</v>
      </c>
      <c r="C602" s="3">
        <f>IF($A602="","", INDEX([1]Calc!$E:$E, MATCH("KminusZ_m", [1]Calc!$C:$C, 0)) + $B602 - INDEX([1]Calc!$E:$E, MATCH("L_ramp_m", [1]Calc!$C:$C, 0)) * TAN(RADIANS(INDEX([1]Calc!$E:$E, MATCH("theta_max_deg", [1]Calc!$C:$C, 0)))))</f>
        <v>3.9287491768118818</v>
      </c>
      <c r="D602" s="3"/>
      <c r="E602" s="3">
        <f t="shared" si="27"/>
        <v>3.9287491768118818</v>
      </c>
      <c r="F602" s="3">
        <f t="shared" si="28"/>
        <v>3.9287491768118818</v>
      </c>
      <c r="G602" s="3">
        <f>IF($E602="","", DEGREES(ATAN((INDEX([1]Calc!$E:$E, MATCH("KminusZ_m", [1]Calc!$C:$C, 0)) - $E602 + $B602) / INDEX([1]Calc!$E:$E, MATCH("L_ramp_m", [1]Calc!$C:$C, 0)))))</f>
        <v>6.0000000000000027</v>
      </c>
      <c r="H602" s="2" t="str">
        <f>IF($E602="","", IF(AND($E602&gt;=INDEX([1]Calc!$E:$E, MATCH("min_fwd_draft_m", [1]Calc!$C:$C, 0)), $E602&lt;=INDEX([1]Calc!$E:$E, MATCH("max_fwd_draft_m", [1]Calc!$C:$C, 0)), $G602&lt;=INDEX([1]Calc!$E:$E, MATCH("theta_max_deg", [1]Calc!$C:$C, 0))), "OK", "CHECK"))</f>
        <v>CHECK</v>
      </c>
      <c r="I602" s="3">
        <f>IF($E602="","", INDEX([1]Calc!$E:$E, MATCH("D_vessel_m", [1]Calc!$C:$C, 0)) - $E602 + $B602)</f>
        <v>1.911250823188118</v>
      </c>
      <c r="J602" s="3">
        <f>IF($F602="","", INDEX([1]Calc!$E:$E, MATCH("D_vessel_m", [1]Calc!$C:$C, 0)) - $F602 + $B602)</f>
        <v>1.911250823188118</v>
      </c>
      <c r="K602" s="2" t="str">
        <f t="shared" si="29"/>
        <v>Even Keel</v>
      </c>
    </row>
    <row r="603" spans="1:11" x14ac:dyDescent="0.6">
      <c r="A603" s="2" t="str">
        <f>IF('December_Tide_2025 (2)'!A603="","",'December_Tide_2025 (2)'!A603)</f>
        <v>2025-12-26 01:00:00</v>
      </c>
      <c r="B603" s="3">
        <f>IF('December_Tide_2025 (2)'!B603="","",'December_Tide_2025 (2)'!B603)</f>
        <v>1.73</v>
      </c>
      <c r="C603" s="3">
        <f>IF($A603="","", INDEX([1]Calc!$E:$E, MATCH("KminusZ_m", [1]Calc!$C:$C, 0)) + $B603 - INDEX([1]Calc!$E:$E, MATCH("L_ramp_m", [1]Calc!$C:$C, 0)) * TAN(RADIANS(INDEX([1]Calc!$E:$E, MATCH("theta_max_deg", [1]Calc!$C:$C, 0)))))</f>
        <v>3.4687491768118828</v>
      </c>
      <c r="D603" s="3"/>
      <c r="E603" s="3">
        <f t="shared" si="27"/>
        <v>3.4687491768118828</v>
      </c>
      <c r="F603" s="3">
        <f t="shared" si="28"/>
        <v>3.4687491768118828</v>
      </c>
      <c r="G603" s="3">
        <f>IF($E603="","", DEGREES(ATAN((INDEX([1]Calc!$E:$E, MATCH("KminusZ_m", [1]Calc!$C:$C, 0)) - $E603 + $B603) / INDEX([1]Calc!$E:$E, MATCH("L_ramp_m", [1]Calc!$C:$C, 0)))))</f>
        <v>5.9999999999999982</v>
      </c>
      <c r="H603" s="2" t="str">
        <f>IF($E603="","", IF(AND($E603&gt;=INDEX([1]Calc!$E:$E, MATCH("min_fwd_draft_m", [1]Calc!$C:$C, 0)), $E603&lt;=INDEX([1]Calc!$E:$E, MATCH("max_fwd_draft_m", [1]Calc!$C:$C, 0)), $G603&lt;=INDEX([1]Calc!$E:$E, MATCH("theta_max_deg", [1]Calc!$C:$C, 0))), "OK", "CHECK"))</f>
        <v>OK</v>
      </c>
      <c r="I603" s="3">
        <f>IF($E603="","", INDEX([1]Calc!$E:$E, MATCH("D_vessel_m", [1]Calc!$C:$C, 0)) - $E603 + $B603)</f>
        <v>1.9112508231881171</v>
      </c>
      <c r="J603" s="3">
        <f>IF($F603="","", INDEX([1]Calc!$E:$E, MATCH("D_vessel_m", [1]Calc!$C:$C, 0)) - $F603 + $B603)</f>
        <v>1.9112508231881171</v>
      </c>
      <c r="K603" s="2" t="str">
        <f t="shared" si="29"/>
        <v>Even Keel</v>
      </c>
    </row>
    <row r="604" spans="1:11" x14ac:dyDescent="0.6">
      <c r="A604" s="2" t="str">
        <f>IF('December_Tide_2025 (2)'!A604="","",'December_Tide_2025 (2)'!A604)</f>
        <v>2025-12-26 02:00:00</v>
      </c>
      <c r="B604" s="3">
        <f>IF('December_Tide_2025 (2)'!B604="","",'December_Tide_2025 (2)'!B604)</f>
        <v>1.28</v>
      </c>
      <c r="C604" s="3">
        <f>IF($A604="","", INDEX([1]Calc!$E:$E, MATCH("KminusZ_m", [1]Calc!$C:$C, 0)) + $B604 - INDEX([1]Calc!$E:$E, MATCH("L_ramp_m", [1]Calc!$C:$C, 0)) * TAN(RADIANS(INDEX([1]Calc!$E:$E, MATCH("theta_max_deg", [1]Calc!$C:$C, 0)))))</f>
        <v>3.0187491768118826</v>
      </c>
      <c r="D604" s="3"/>
      <c r="E604" s="3">
        <f t="shared" si="27"/>
        <v>3.0187491768118826</v>
      </c>
      <c r="F604" s="3">
        <f t="shared" si="28"/>
        <v>3.0187491768118826</v>
      </c>
      <c r="G604" s="3">
        <f>IF($E604="","", DEGREES(ATAN((INDEX([1]Calc!$E:$E, MATCH("KminusZ_m", [1]Calc!$C:$C, 0)) - $E604 + $B604) / INDEX([1]Calc!$E:$E, MATCH("L_ramp_m", [1]Calc!$C:$C, 0)))))</f>
        <v>6</v>
      </c>
      <c r="H604" s="2" t="str">
        <f>IF($E604="","", IF(AND($E604&gt;=INDEX([1]Calc!$E:$E, MATCH("min_fwd_draft_m", [1]Calc!$C:$C, 0)), $E604&lt;=INDEX([1]Calc!$E:$E, MATCH("max_fwd_draft_m", [1]Calc!$C:$C, 0)), $G604&lt;=INDEX([1]Calc!$E:$E, MATCH("theta_max_deg", [1]Calc!$C:$C, 0))), "OK", "CHECK"))</f>
        <v>OK</v>
      </c>
      <c r="I604" s="3">
        <f>IF($E604="","", INDEX([1]Calc!$E:$E, MATCH("D_vessel_m", [1]Calc!$C:$C, 0)) - $E604 + $B604)</f>
        <v>1.9112508231881173</v>
      </c>
      <c r="J604" s="3">
        <f>IF($F604="","", INDEX([1]Calc!$E:$E, MATCH("D_vessel_m", [1]Calc!$C:$C, 0)) - $F604 + $B604)</f>
        <v>1.9112508231881173</v>
      </c>
      <c r="K604" s="2" t="str">
        <f t="shared" si="29"/>
        <v>Even Keel</v>
      </c>
    </row>
    <row r="605" spans="1:11" x14ac:dyDescent="0.6">
      <c r="A605" s="2" t="str">
        <f>IF('December_Tide_2025 (2)'!A605="","",'December_Tide_2025 (2)'!A605)</f>
        <v>2025-12-26 03:00:00</v>
      </c>
      <c r="B605" s="3">
        <f>IF('December_Tide_2025 (2)'!B605="","",'December_Tide_2025 (2)'!B605)</f>
        <v>0.97</v>
      </c>
      <c r="C605" s="3">
        <f>IF($A605="","", INDEX([1]Calc!$E:$E, MATCH("KminusZ_m", [1]Calc!$C:$C, 0)) + $B605 - INDEX([1]Calc!$E:$E, MATCH("L_ramp_m", [1]Calc!$C:$C, 0)) * TAN(RADIANS(INDEX([1]Calc!$E:$E, MATCH("theta_max_deg", [1]Calc!$C:$C, 0)))))</f>
        <v>2.7087491768118821</v>
      </c>
      <c r="D605" s="3"/>
      <c r="E605" s="3">
        <f t="shared" si="27"/>
        <v>2.7087491768118821</v>
      </c>
      <c r="F605" s="3">
        <f t="shared" si="28"/>
        <v>2.7087491768118821</v>
      </c>
      <c r="G605" s="3">
        <f>IF($E605="","", DEGREES(ATAN((INDEX([1]Calc!$E:$E, MATCH("KminusZ_m", [1]Calc!$C:$C, 0)) - $E605 + $B605) / INDEX([1]Calc!$E:$E, MATCH("L_ramp_m", [1]Calc!$C:$C, 0)))))</f>
        <v>6.0000000000000009</v>
      </c>
      <c r="H605" s="2" t="str">
        <f>IF($E605="","", IF(AND($E605&gt;=INDEX([1]Calc!$E:$E, MATCH("min_fwd_draft_m", [1]Calc!$C:$C, 0)), $E605&lt;=INDEX([1]Calc!$E:$E, MATCH("max_fwd_draft_m", [1]Calc!$C:$C, 0)), $G605&lt;=INDEX([1]Calc!$E:$E, MATCH("theta_max_deg", [1]Calc!$C:$C, 0))), "OK", "CHECK"))</f>
        <v>OK</v>
      </c>
      <c r="I605" s="3">
        <f>IF($E605="","", INDEX([1]Calc!$E:$E, MATCH("D_vessel_m", [1]Calc!$C:$C, 0)) - $E605 + $B605)</f>
        <v>1.9112508231881178</v>
      </c>
      <c r="J605" s="3">
        <f>IF($F605="","", INDEX([1]Calc!$E:$E, MATCH("D_vessel_m", [1]Calc!$C:$C, 0)) - $F605 + $B605)</f>
        <v>1.9112508231881178</v>
      </c>
      <c r="K605" s="2" t="str">
        <f t="shared" si="29"/>
        <v>Even Keel</v>
      </c>
    </row>
    <row r="606" spans="1:11" x14ac:dyDescent="0.6">
      <c r="A606" s="2" t="str">
        <f>IF('December_Tide_2025 (2)'!A606="","",'December_Tide_2025 (2)'!A606)</f>
        <v>2025-12-26 04:00:00</v>
      </c>
      <c r="B606" s="3">
        <f>IF('December_Tide_2025 (2)'!B606="","",'December_Tide_2025 (2)'!B606)</f>
        <v>0.86</v>
      </c>
      <c r="C606" s="3">
        <f>IF($A606="","", INDEX([1]Calc!$E:$E, MATCH("KminusZ_m", [1]Calc!$C:$C, 0)) + $B606 - INDEX([1]Calc!$E:$E, MATCH("L_ramp_m", [1]Calc!$C:$C, 0)) * TAN(RADIANS(INDEX([1]Calc!$E:$E, MATCH("theta_max_deg", [1]Calc!$C:$C, 0)))))</f>
        <v>2.5987491768118822</v>
      </c>
      <c r="D606" s="3"/>
      <c r="E606" s="3">
        <f t="shared" si="27"/>
        <v>2.5987491768118822</v>
      </c>
      <c r="F606" s="3">
        <f t="shared" si="28"/>
        <v>2.5987491768118822</v>
      </c>
      <c r="G606" s="3">
        <f>IF($E606="","", DEGREES(ATAN((INDEX([1]Calc!$E:$E, MATCH("KminusZ_m", [1]Calc!$C:$C, 0)) - $E606 + $B606) / INDEX([1]Calc!$E:$E, MATCH("L_ramp_m", [1]Calc!$C:$C, 0)))))</f>
        <v>6.0000000000000009</v>
      </c>
      <c r="H606" s="2" t="str">
        <f>IF($E606="","", IF(AND($E606&gt;=INDEX([1]Calc!$E:$E, MATCH("min_fwd_draft_m", [1]Calc!$C:$C, 0)), $E606&lt;=INDEX([1]Calc!$E:$E, MATCH("max_fwd_draft_m", [1]Calc!$C:$C, 0)), $G606&lt;=INDEX([1]Calc!$E:$E, MATCH("theta_max_deg", [1]Calc!$C:$C, 0))), "OK", "CHECK"))</f>
        <v>OK</v>
      </c>
      <c r="I606" s="3">
        <f>IF($E606="","", INDEX([1]Calc!$E:$E, MATCH("D_vessel_m", [1]Calc!$C:$C, 0)) - $E606 + $B606)</f>
        <v>1.9112508231881176</v>
      </c>
      <c r="J606" s="3">
        <f>IF($F606="","", INDEX([1]Calc!$E:$E, MATCH("D_vessel_m", [1]Calc!$C:$C, 0)) - $F606 + $B606)</f>
        <v>1.9112508231881176</v>
      </c>
      <c r="K606" s="2" t="str">
        <f t="shared" si="29"/>
        <v>Even Keel</v>
      </c>
    </row>
    <row r="607" spans="1:11" x14ac:dyDescent="0.6">
      <c r="A607" s="2" t="str">
        <f>IF('December_Tide_2025 (2)'!A607="","",'December_Tide_2025 (2)'!A607)</f>
        <v>2025-12-26 05:00:00</v>
      </c>
      <c r="B607" s="3">
        <f>IF('December_Tide_2025 (2)'!B607="","",'December_Tide_2025 (2)'!B607)</f>
        <v>0.99</v>
      </c>
      <c r="C607" s="3">
        <f>IF($A607="","", INDEX([1]Calc!$E:$E, MATCH("KminusZ_m", [1]Calc!$C:$C, 0)) + $B607 - INDEX([1]Calc!$E:$E, MATCH("L_ramp_m", [1]Calc!$C:$C, 0)) * TAN(RADIANS(INDEX([1]Calc!$E:$E, MATCH("theta_max_deg", [1]Calc!$C:$C, 0)))))</f>
        <v>2.7287491768118826</v>
      </c>
      <c r="D607" s="3"/>
      <c r="E607" s="3">
        <f t="shared" si="27"/>
        <v>2.7287491768118826</v>
      </c>
      <c r="F607" s="3">
        <f t="shared" si="28"/>
        <v>2.7287491768118826</v>
      </c>
      <c r="G607" s="3">
        <f>IF($E607="","", DEGREES(ATAN((INDEX([1]Calc!$E:$E, MATCH("KminusZ_m", [1]Calc!$C:$C, 0)) - $E607 + $B607) / INDEX([1]Calc!$E:$E, MATCH("L_ramp_m", [1]Calc!$C:$C, 0)))))</f>
        <v>6</v>
      </c>
      <c r="H607" s="2" t="str">
        <f>IF($E607="","", IF(AND($E607&gt;=INDEX([1]Calc!$E:$E, MATCH("min_fwd_draft_m", [1]Calc!$C:$C, 0)), $E607&lt;=INDEX([1]Calc!$E:$E, MATCH("max_fwd_draft_m", [1]Calc!$C:$C, 0)), $G607&lt;=INDEX([1]Calc!$E:$E, MATCH("theta_max_deg", [1]Calc!$C:$C, 0))), "OK", "CHECK"))</f>
        <v>OK</v>
      </c>
      <c r="I607" s="3">
        <f>IF($E607="","", INDEX([1]Calc!$E:$E, MATCH("D_vessel_m", [1]Calc!$C:$C, 0)) - $E607 + $B607)</f>
        <v>1.9112508231881173</v>
      </c>
      <c r="J607" s="3">
        <f>IF($F607="","", INDEX([1]Calc!$E:$E, MATCH("D_vessel_m", [1]Calc!$C:$C, 0)) - $F607 + $B607)</f>
        <v>1.9112508231881173</v>
      </c>
      <c r="K607" s="2" t="str">
        <f t="shared" si="29"/>
        <v>Even Keel</v>
      </c>
    </row>
    <row r="608" spans="1:11" x14ac:dyDescent="0.6">
      <c r="A608" s="2" t="str">
        <f>IF('December_Tide_2025 (2)'!A608="","",'December_Tide_2025 (2)'!A608)</f>
        <v>2025-12-26 06:00:00</v>
      </c>
      <c r="B608" s="3">
        <f>IF('December_Tide_2025 (2)'!B608="","",'December_Tide_2025 (2)'!B608)</f>
        <v>1.33</v>
      </c>
      <c r="C608" s="3">
        <f>IF($A608="","", INDEX([1]Calc!$E:$E, MATCH("KminusZ_m", [1]Calc!$C:$C, 0)) + $B608 - INDEX([1]Calc!$E:$E, MATCH("L_ramp_m", [1]Calc!$C:$C, 0)) * TAN(RADIANS(INDEX([1]Calc!$E:$E, MATCH("theta_max_deg", [1]Calc!$C:$C, 0)))))</f>
        <v>3.0687491768118824</v>
      </c>
      <c r="D608" s="3"/>
      <c r="E608" s="3">
        <f t="shared" si="27"/>
        <v>3.0687491768118824</v>
      </c>
      <c r="F608" s="3">
        <f t="shared" si="28"/>
        <v>3.0687491768118824</v>
      </c>
      <c r="G608" s="3">
        <f>IF($E608="","", DEGREES(ATAN((INDEX([1]Calc!$E:$E, MATCH("KminusZ_m", [1]Calc!$C:$C, 0)) - $E608 + $B608) / INDEX([1]Calc!$E:$E, MATCH("L_ramp_m", [1]Calc!$C:$C, 0)))))</f>
        <v>6.0000000000000009</v>
      </c>
      <c r="H608" s="2" t="str">
        <f>IF($E608="","", IF(AND($E608&gt;=INDEX([1]Calc!$E:$E, MATCH("min_fwd_draft_m", [1]Calc!$C:$C, 0)), $E608&lt;=INDEX([1]Calc!$E:$E, MATCH("max_fwd_draft_m", [1]Calc!$C:$C, 0)), $G608&lt;=INDEX([1]Calc!$E:$E, MATCH("theta_max_deg", [1]Calc!$C:$C, 0))), "OK", "CHECK"))</f>
        <v>OK</v>
      </c>
      <c r="I608" s="3">
        <f>IF($E608="","", INDEX([1]Calc!$E:$E, MATCH("D_vessel_m", [1]Calc!$C:$C, 0)) - $E608 + $B608)</f>
        <v>1.9112508231881176</v>
      </c>
      <c r="J608" s="3">
        <f>IF($F608="","", INDEX([1]Calc!$E:$E, MATCH("D_vessel_m", [1]Calc!$C:$C, 0)) - $F608 + $B608)</f>
        <v>1.9112508231881176</v>
      </c>
      <c r="K608" s="2" t="str">
        <f t="shared" si="29"/>
        <v>Even Keel</v>
      </c>
    </row>
    <row r="609" spans="1:11" x14ac:dyDescent="0.6">
      <c r="A609" s="2" t="str">
        <f>IF('December_Tide_2025 (2)'!A609="","",'December_Tide_2025 (2)'!A609)</f>
        <v>2025-12-26 07:00:00</v>
      </c>
      <c r="B609" s="3">
        <f>IF('December_Tide_2025 (2)'!B609="","",'December_Tide_2025 (2)'!B609)</f>
        <v>1.78</v>
      </c>
      <c r="C609" s="3">
        <f>IF($A609="","", INDEX([1]Calc!$E:$E, MATCH("KminusZ_m", [1]Calc!$C:$C, 0)) + $B609 - INDEX([1]Calc!$E:$E, MATCH("L_ramp_m", [1]Calc!$C:$C, 0)) * TAN(RADIANS(INDEX([1]Calc!$E:$E, MATCH("theta_max_deg", [1]Calc!$C:$C, 0)))))</f>
        <v>3.5187491768118826</v>
      </c>
      <c r="D609" s="3"/>
      <c r="E609" s="3">
        <f t="shared" si="27"/>
        <v>3.5187491768118826</v>
      </c>
      <c r="F609" s="3">
        <f t="shared" si="28"/>
        <v>3.5187491768118826</v>
      </c>
      <c r="G609" s="3">
        <f>IF($E609="","", DEGREES(ATAN((INDEX([1]Calc!$E:$E, MATCH("KminusZ_m", [1]Calc!$C:$C, 0)) - $E609 + $B609) / INDEX([1]Calc!$E:$E, MATCH("L_ramp_m", [1]Calc!$C:$C, 0)))))</f>
        <v>6</v>
      </c>
      <c r="H609" s="2" t="str">
        <f>IF($E609="","", IF(AND($E609&gt;=INDEX([1]Calc!$E:$E, MATCH("min_fwd_draft_m", [1]Calc!$C:$C, 0)), $E609&lt;=INDEX([1]Calc!$E:$E, MATCH("max_fwd_draft_m", [1]Calc!$C:$C, 0)), $G609&lt;=INDEX([1]Calc!$E:$E, MATCH("theta_max_deg", [1]Calc!$C:$C, 0))), "OK", "CHECK"))</f>
        <v>CHECK</v>
      </c>
      <c r="I609" s="3">
        <f>IF($E609="","", INDEX([1]Calc!$E:$E, MATCH("D_vessel_m", [1]Calc!$C:$C, 0)) - $E609 + $B609)</f>
        <v>1.9112508231881173</v>
      </c>
      <c r="J609" s="3">
        <f>IF($F609="","", INDEX([1]Calc!$E:$E, MATCH("D_vessel_m", [1]Calc!$C:$C, 0)) - $F609 + $B609)</f>
        <v>1.9112508231881173</v>
      </c>
      <c r="K609" s="2" t="str">
        <f t="shared" si="29"/>
        <v>Even Keel</v>
      </c>
    </row>
    <row r="610" spans="1:11" x14ac:dyDescent="0.6">
      <c r="A610" s="2" t="str">
        <f>IF('December_Tide_2025 (2)'!A610="","",'December_Tide_2025 (2)'!A610)</f>
        <v>2025-12-26 08:00:00</v>
      </c>
      <c r="B610" s="3">
        <f>IF('December_Tide_2025 (2)'!B610="","",'December_Tide_2025 (2)'!B610)</f>
        <v>2.2400000000000002</v>
      </c>
      <c r="C610" s="3">
        <f>IF($A610="","", INDEX([1]Calc!$E:$E, MATCH("KminusZ_m", [1]Calc!$C:$C, 0)) + $B610 - INDEX([1]Calc!$E:$E, MATCH("L_ramp_m", [1]Calc!$C:$C, 0)) * TAN(RADIANS(INDEX([1]Calc!$E:$E, MATCH("theta_max_deg", [1]Calc!$C:$C, 0)))))</f>
        <v>3.9787491768118826</v>
      </c>
      <c r="D610" s="3"/>
      <c r="E610" s="3">
        <f t="shared" si="27"/>
        <v>3.9787491768118826</v>
      </c>
      <c r="F610" s="3">
        <f t="shared" si="28"/>
        <v>3.9787491768118826</v>
      </c>
      <c r="G610" s="3">
        <f>IF($E610="","", DEGREES(ATAN((INDEX([1]Calc!$E:$E, MATCH("KminusZ_m", [1]Calc!$C:$C, 0)) - $E610 + $B610) / INDEX([1]Calc!$E:$E, MATCH("L_ramp_m", [1]Calc!$C:$C, 0)))))</f>
        <v>6.0000000000000009</v>
      </c>
      <c r="H610" s="2" t="str">
        <f>IF($E610="","", IF(AND($E610&gt;=INDEX([1]Calc!$E:$E, MATCH("min_fwd_draft_m", [1]Calc!$C:$C, 0)), $E610&lt;=INDEX([1]Calc!$E:$E, MATCH("max_fwd_draft_m", [1]Calc!$C:$C, 0)), $G610&lt;=INDEX([1]Calc!$E:$E, MATCH("theta_max_deg", [1]Calc!$C:$C, 0))), "OK", "CHECK"))</f>
        <v>CHECK</v>
      </c>
      <c r="I610" s="3">
        <f>IF($E610="","", INDEX([1]Calc!$E:$E, MATCH("D_vessel_m", [1]Calc!$C:$C, 0)) - $E610 + $B610)</f>
        <v>1.9112508231881176</v>
      </c>
      <c r="J610" s="3">
        <f>IF($F610="","", INDEX([1]Calc!$E:$E, MATCH("D_vessel_m", [1]Calc!$C:$C, 0)) - $F610 + $B610)</f>
        <v>1.9112508231881176</v>
      </c>
      <c r="K610" s="2" t="str">
        <f t="shared" si="29"/>
        <v>Even Keel</v>
      </c>
    </row>
    <row r="611" spans="1:11" x14ac:dyDescent="0.6">
      <c r="A611" s="2" t="str">
        <f>IF('December_Tide_2025 (2)'!A611="","",'December_Tide_2025 (2)'!A611)</f>
        <v>2025-12-26 09:00:00</v>
      </c>
      <c r="B611" s="3">
        <f>IF('December_Tide_2025 (2)'!B611="","",'December_Tide_2025 (2)'!B611)</f>
        <v>2.58</v>
      </c>
      <c r="C611" s="3">
        <f>IF($A611="","", INDEX([1]Calc!$E:$E, MATCH("KminusZ_m", [1]Calc!$C:$C, 0)) + $B611 - INDEX([1]Calc!$E:$E, MATCH("L_ramp_m", [1]Calc!$C:$C, 0)) * TAN(RADIANS(INDEX([1]Calc!$E:$E, MATCH("theta_max_deg", [1]Calc!$C:$C, 0)))))</f>
        <v>4.3187491768118829</v>
      </c>
      <c r="D611" s="3"/>
      <c r="E611" s="3">
        <f t="shared" si="27"/>
        <v>4.3187491768118829</v>
      </c>
      <c r="F611" s="3">
        <f t="shared" si="28"/>
        <v>4.3187491768118829</v>
      </c>
      <c r="G611" s="3">
        <f>IF($E611="","", DEGREES(ATAN((INDEX([1]Calc!$E:$E, MATCH("KminusZ_m", [1]Calc!$C:$C, 0)) - $E611 + $B611) / INDEX([1]Calc!$E:$E, MATCH("L_ramp_m", [1]Calc!$C:$C, 0)))))</f>
        <v>5.9999999999999982</v>
      </c>
      <c r="H611" s="2" t="str">
        <f>IF($E611="","", IF(AND($E611&gt;=INDEX([1]Calc!$E:$E, MATCH("min_fwd_draft_m", [1]Calc!$C:$C, 0)), $E611&lt;=INDEX([1]Calc!$E:$E, MATCH("max_fwd_draft_m", [1]Calc!$C:$C, 0)), $G611&lt;=INDEX([1]Calc!$E:$E, MATCH("theta_max_deg", [1]Calc!$C:$C, 0))), "OK", "CHECK"))</f>
        <v>CHECK</v>
      </c>
      <c r="I611" s="3">
        <f>IF($E611="","", INDEX([1]Calc!$E:$E, MATCH("D_vessel_m", [1]Calc!$C:$C, 0)) - $E611 + $B611)</f>
        <v>1.9112508231881171</v>
      </c>
      <c r="J611" s="3">
        <f>IF($F611="","", INDEX([1]Calc!$E:$E, MATCH("D_vessel_m", [1]Calc!$C:$C, 0)) - $F611 + $B611)</f>
        <v>1.9112508231881171</v>
      </c>
      <c r="K611" s="2" t="str">
        <f t="shared" si="29"/>
        <v>Even Keel</v>
      </c>
    </row>
    <row r="612" spans="1:11" x14ac:dyDescent="0.6">
      <c r="A612" s="2" t="str">
        <f>IF('December_Tide_2025 (2)'!A612="","",'December_Tide_2025 (2)'!A612)</f>
        <v>2025-12-26 10:00:00</v>
      </c>
      <c r="B612" s="3">
        <f>IF('December_Tide_2025 (2)'!B612="","",'December_Tide_2025 (2)'!B612)</f>
        <v>2.73</v>
      </c>
      <c r="C612" s="3">
        <f>IF($A612="","", INDEX([1]Calc!$E:$E, MATCH("KminusZ_m", [1]Calc!$C:$C, 0)) + $B612 - INDEX([1]Calc!$E:$E, MATCH("L_ramp_m", [1]Calc!$C:$C, 0)) * TAN(RADIANS(INDEX([1]Calc!$E:$E, MATCH("theta_max_deg", [1]Calc!$C:$C, 0)))))</f>
        <v>4.4687491768118832</v>
      </c>
      <c r="D612" s="3"/>
      <c r="E612" s="3">
        <f t="shared" si="27"/>
        <v>4.4687491768118832</v>
      </c>
      <c r="F612" s="3">
        <f t="shared" si="28"/>
        <v>4.4687491768118832</v>
      </c>
      <c r="G612" s="3">
        <f>IF($E612="","", DEGREES(ATAN((INDEX([1]Calc!$E:$E, MATCH("KminusZ_m", [1]Calc!$C:$C, 0)) - $E612 + $B612) / INDEX([1]Calc!$E:$E, MATCH("L_ramp_m", [1]Calc!$C:$C, 0)))))</f>
        <v>5.9999999999999964</v>
      </c>
      <c r="H612" s="2" t="str">
        <f>IF($E612="","", IF(AND($E612&gt;=INDEX([1]Calc!$E:$E, MATCH("min_fwd_draft_m", [1]Calc!$C:$C, 0)), $E612&lt;=INDEX([1]Calc!$E:$E, MATCH("max_fwd_draft_m", [1]Calc!$C:$C, 0)), $G612&lt;=INDEX([1]Calc!$E:$E, MATCH("theta_max_deg", [1]Calc!$C:$C, 0))), "OK", "CHECK"))</f>
        <v>CHECK</v>
      </c>
      <c r="I612" s="3">
        <f>IF($E612="","", INDEX([1]Calc!$E:$E, MATCH("D_vessel_m", [1]Calc!$C:$C, 0)) - $E612 + $B612)</f>
        <v>1.9112508231881167</v>
      </c>
      <c r="J612" s="3">
        <f>IF($F612="","", INDEX([1]Calc!$E:$E, MATCH("D_vessel_m", [1]Calc!$C:$C, 0)) - $F612 + $B612)</f>
        <v>1.9112508231881167</v>
      </c>
      <c r="K612" s="2" t="str">
        <f t="shared" si="29"/>
        <v>Even Keel</v>
      </c>
    </row>
    <row r="613" spans="1:11" x14ac:dyDescent="0.6">
      <c r="A613" s="2" t="str">
        <f>IF('December_Tide_2025 (2)'!A613="","",'December_Tide_2025 (2)'!A613)</f>
        <v>2025-12-26 11:00:00</v>
      </c>
      <c r="B613" s="3">
        <f>IF('December_Tide_2025 (2)'!B613="","",'December_Tide_2025 (2)'!B613)</f>
        <v>2.65</v>
      </c>
      <c r="C613" s="3">
        <f>IF($A613="","", INDEX([1]Calc!$E:$E, MATCH("KminusZ_m", [1]Calc!$C:$C, 0)) + $B613 - INDEX([1]Calc!$E:$E, MATCH("L_ramp_m", [1]Calc!$C:$C, 0)) * TAN(RADIANS(INDEX([1]Calc!$E:$E, MATCH("theta_max_deg", [1]Calc!$C:$C, 0)))))</f>
        <v>4.3887491768118831</v>
      </c>
      <c r="D613" s="3"/>
      <c r="E613" s="3">
        <f t="shared" si="27"/>
        <v>4.3887491768118831</v>
      </c>
      <c r="F613" s="3">
        <f t="shared" si="28"/>
        <v>4.3887491768118831</v>
      </c>
      <c r="G613" s="3">
        <f>IF($E613="","", DEGREES(ATAN((INDEX([1]Calc!$E:$E, MATCH("KminusZ_m", [1]Calc!$C:$C, 0)) - $E613 + $B613) / INDEX([1]Calc!$E:$E, MATCH("L_ramp_m", [1]Calc!$C:$C, 0)))))</f>
        <v>5.9999999999999964</v>
      </c>
      <c r="H613" s="2" t="str">
        <f>IF($E613="","", IF(AND($E613&gt;=INDEX([1]Calc!$E:$E, MATCH("min_fwd_draft_m", [1]Calc!$C:$C, 0)), $E613&lt;=INDEX([1]Calc!$E:$E, MATCH("max_fwd_draft_m", [1]Calc!$C:$C, 0)), $G613&lt;=INDEX([1]Calc!$E:$E, MATCH("theta_max_deg", [1]Calc!$C:$C, 0))), "OK", "CHECK"))</f>
        <v>CHECK</v>
      </c>
      <c r="I613" s="3">
        <f>IF($E613="","", INDEX([1]Calc!$E:$E, MATCH("D_vessel_m", [1]Calc!$C:$C, 0)) - $E613 + $B613)</f>
        <v>1.9112508231881167</v>
      </c>
      <c r="J613" s="3">
        <f>IF($F613="","", INDEX([1]Calc!$E:$E, MATCH("D_vessel_m", [1]Calc!$C:$C, 0)) - $F613 + $B613)</f>
        <v>1.9112508231881167</v>
      </c>
      <c r="K613" s="2" t="str">
        <f t="shared" si="29"/>
        <v>Even Keel</v>
      </c>
    </row>
    <row r="614" spans="1:11" x14ac:dyDescent="0.6">
      <c r="A614" s="2" t="str">
        <f>IF('December_Tide_2025 (2)'!A614="","",'December_Tide_2025 (2)'!A614)</f>
        <v>2025-12-26 12:00:00</v>
      </c>
      <c r="B614" s="3">
        <f>IF('December_Tide_2025 (2)'!B614="","",'December_Tide_2025 (2)'!B614)</f>
        <v>2.35</v>
      </c>
      <c r="C614" s="3">
        <f>IF($A614="","", INDEX([1]Calc!$E:$E, MATCH("KminusZ_m", [1]Calc!$C:$C, 0)) + $B614 - INDEX([1]Calc!$E:$E, MATCH("L_ramp_m", [1]Calc!$C:$C, 0)) * TAN(RADIANS(INDEX([1]Calc!$E:$E, MATCH("theta_max_deg", [1]Calc!$C:$C, 0)))))</f>
        <v>4.0887491768118824</v>
      </c>
      <c r="D614" s="3"/>
      <c r="E614" s="3">
        <f t="shared" si="27"/>
        <v>4.0887491768118824</v>
      </c>
      <c r="F614" s="3">
        <f t="shared" si="28"/>
        <v>4.0887491768118824</v>
      </c>
      <c r="G614" s="3">
        <f>IF($E614="","", DEGREES(ATAN((INDEX([1]Calc!$E:$E, MATCH("KminusZ_m", [1]Calc!$C:$C, 0)) - $E614 + $B614) / INDEX([1]Calc!$E:$E, MATCH("L_ramp_m", [1]Calc!$C:$C, 0)))))</f>
        <v>6.0000000000000009</v>
      </c>
      <c r="H614" s="2" t="str">
        <f>IF($E614="","", IF(AND($E614&gt;=INDEX([1]Calc!$E:$E, MATCH("min_fwd_draft_m", [1]Calc!$C:$C, 0)), $E614&lt;=INDEX([1]Calc!$E:$E, MATCH("max_fwd_draft_m", [1]Calc!$C:$C, 0)), $G614&lt;=INDEX([1]Calc!$E:$E, MATCH("theta_max_deg", [1]Calc!$C:$C, 0))), "OK", "CHECK"))</f>
        <v>CHECK</v>
      </c>
      <c r="I614" s="3">
        <f>IF($E614="","", INDEX([1]Calc!$E:$E, MATCH("D_vessel_m", [1]Calc!$C:$C, 0)) - $E614 + $B614)</f>
        <v>1.9112508231881176</v>
      </c>
      <c r="J614" s="3">
        <f>IF($F614="","", INDEX([1]Calc!$E:$E, MATCH("D_vessel_m", [1]Calc!$C:$C, 0)) - $F614 + $B614)</f>
        <v>1.9112508231881176</v>
      </c>
      <c r="K614" s="2" t="str">
        <f t="shared" si="29"/>
        <v>Even Keel</v>
      </c>
    </row>
    <row r="615" spans="1:11" x14ac:dyDescent="0.6">
      <c r="A615" s="2" t="str">
        <f>IF('December_Tide_2025 (2)'!A615="","",'December_Tide_2025 (2)'!A615)</f>
        <v>2025-12-26 13:00:00</v>
      </c>
      <c r="B615" s="3">
        <f>IF('December_Tide_2025 (2)'!B615="","",'December_Tide_2025 (2)'!B615)</f>
        <v>1.92</v>
      </c>
      <c r="C615" s="3">
        <f>IF($A615="","", INDEX([1]Calc!$E:$E, MATCH("KminusZ_m", [1]Calc!$C:$C, 0)) + $B615 - INDEX([1]Calc!$E:$E, MATCH("L_ramp_m", [1]Calc!$C:$C, 0)) * TAN(RADIANS(INDEX([1]Calc!$E:$E, MATCH("theta_max_deg", [1]Calc!$C:$C, 0)))))</f>
        <v>3.6587491768118823</v>
      </c>
      <c r="D615" s="3"/>
      <c r="E615" s="3">
        <f t="shared" si="27"/>
        <v>3.6587491768118823</v>
      </c>
      <c r="F615" s="3">
        <f t="shared" si="28"/>
        <v>3.6587491768118823</v>
      </c>
      <c r="G615" s="3">
        <f>IF($E615="","", DEGREES(ATAN((INDEX([1]Calc!$E:$E, MATCH("KminusZ_m", [1]Calc!$C:$C, 0)) - $E615 + $B615) / INDEX([1]Calc!$E:$E, MATCH("L_ramp_m", [1]Calc!$C:$C, 0)))))</f>
        <v>6.0000000000000009</v>
      </c>
      <c r="H615" s="2" t="str">
        <f>IF($E615="","", IF(AND($E615&gt;=INDEX([1]Calc!$E:$E, MATCH("min_fwd_draft_m", [1]Calc!$C:$C, 0)), $E615&lt;=INDEX([1]Calc!$E:$E, MATCH("max_fwd_draft_m", [1]Calc!$C:$C, 0)), $G615&lt;=INDEX([1]Calc!$E:$E, MATCH("theta_max_deg", [1]Calc!$C:$C, 0))), "OK", "CHECK"))</f>
        <v>CHECK</v>
      </c>
      <c r="I615" s="3">
        <f>IF($E615="","", INDEX([1]Calc!$E:$E, MATCH("D_vessel_m", [1]Calc!$C:$C, 0)) - $E615 + $B615)</f>
        <v>1.9112508231881176</v>
      </c>
      <c r="J615" s="3">
        <f>IF($F615="","", INDEX([1]Calc!$E:$E, MATCH("D_vessel_m", [1]Calc!$C:$C, 0)) - $F615 + $B615)</f>
        <v>1.9112508231881176</v>
      </c>
      <c r="K615" s="2" t="str">
        <f t="shared" si="29"/>
        <v>Even Keel</v>
      </c>
    </row>
    <row r="616" spans="1:11" x14ac:dyDescent="0.6">
      <c r="A616" s="2" t="str">
        <f>IF('December_Tide_2025 (2)'!A616="","",'December_Tide_2025 (2)'!A616)</f>
        <v>2025-12-26 14:00:00</v>
      </c>
      <c r="B616" s="3">
        <f>IF('December_Tide_2025 (2)'!B616="","",'December_Tide_2025 (2)'!B616)</f>
        <v>1.45</v>
      </c>
      <c r="C616" s="3">
        <f>IF($A616="","", INDEX([1]Calc!$E:$E, MATCH("KminusZ_m", [1]Calc!$C:$C, 0)) + $B616 - INDEX([1]Calc!$E:$E, MATCH("L_ramp_m", [1]Calc!$C:$C, 0)) * TAN(RADIANS(INDEX([1]Calc!$E:$E, MATCH("theta_max_deg", [1]Calc!$C:$C, 0)))))</f>
        <v>3.1887491768118825</v>
      </c>
      <c r="D616" s="3"/>
      <c r="E616" s="3">
        <f t="shared" si="27"/>
        <v>3.1887491768118825</v>
      </c>
      <c r="F616" s="3">
        <f t="shared" si="28"/>
        <v>3.1887491768118825</v>
      </c>
      <c r="G616" s="3">
        <f>IF($E616="","", DEGREES(ATAN((INDEX([1]Calc!$E:$E, MATCH("KminusZ_m", [1]Calc!$C:$C, 0)) - $E616 + $B616) / INDEX([1]Calc!$E:$E, MATCH("L_ramp_m", [1]Calc!$C:$C, 0)))))</f>
        <v>6</v>
      </c>
      <c r="H616" s="2" t="str">
        <f>IF($E616="","", IF(AND($E616&gt;=INDEX([1]Calc!$E:$E, MATCH("min_fwd_draft_m", [1]Calc!$C:$C, 0)), $E616&lt;=INDEX([1]Calc!$E:$E, MATCH("max_fwd_draft_m", [1]Calc!$C:$C, 0)), $G616&lt;=INDEX([1]Calc!$E:$E, MATCH("theta_max_deg", [1]Calc!$C:$C, 0))), "OK", "CHECK"))</f>
        <v>OK</v>
      </c>
      <c r="I616" s="3">
        <f>IF($E616="","", INDEX([1]Calc!$E:$E, MATCH("D_vessel_m", [1]Calc!$C:$C, 0)) - $E616 + $B616)</f>
        <v>1.9112508231881173</v>
      </c>
      <c r="J616" s="3">
        <f>IF($F616="","", INDEX([1]Calc!$E:$E, MATCH("D_vessel_m", [1]Calc!$C:$C, 0)) - $F616 + $B616)</f>
        <v>1.9112508231881173</v>
      </c>
      <c r="K616" s="2" t="str">
        <f t="shared" si="29"/>
        <v>Even Keel</v>
      </c>
    </row>
    <row r="617" spans="1:11" x14ac:dyDescent="0.6">
      <c r="A617" s="2" t="str">
        <f>IF('December_Tide_2025 (2)'!A617="","",'December_Tide_2025 (2)'!A617)</f>
        <v>2025-12-26 15:00:00</v>
      </c>
      <c r="B617" s="3">
        <f>IF('December_Tide_2025 (2)'!B617="","",'December_Tide_2025 (2)'!B617)</f>
        <v>1.07</v>
      </c>
      <c r="C617" s="3">
        <f>IF($A617="","", INDEX([1]Calc!$E:$E, MATCH("KminusZ_m", [1]Calc!$C:$C, 0)) + $B617 - INDEX([1]Calc!$E:$E, MATCH("L_ramp_m", [1]Calc!$C:$C, 0)) * TAN(RADIANS(INDEX([1]Calc!$E:$E, MATCH("theta_max_deg", [1]Calc!$C:$C, 0)))))</f>
        <v>2.8087491768118826</v>
      </c>
      <c r="D617" s="3"/>
      <c r="E617" s="3">
        <f t="shared" si="27"/>
        <v>2.8087491768118826</v>
      </c>
      <c r="F617" s="3">
        <f t="shared" si="28"/>
        <v>2.8087491768118826</v>
      </c>
      <c r="G617" s="3">
        <f>IF($E617="","", DEGREES(ATAN((INDEX([1]Calc!$E:$E, MATCH("KminusZ_m", [1]Calc!$C:$C, 0)) - $E617 + $B617) / INDEX([1]Calc!$E:$E, MATCH("L_ramp_m", [1]Calc!$C:$C, 0)))))</f>
        <v>6</v>
      </c>
      <c r="H617" s="2" t="str">
        <f>IF($E617="","", IF(AND($E617&gt;=INDEX([1]Calc!$E:$E, MATCH("min_fwd_draft_m", [1]Calc!$C:$C, 0)), $E617&lt;=INDEX([1]Calc!$E:$E, MATCH("max_fwd_draft_m", [1]Calc!$C:$C, 0)), $G617&lt;=INDEX([1]Calc!$E:$E, MATCH("theta_max_deg", [1]Calc!$C:$C, 0))), "OK", "CHECK"))</f>
        <v>OK</v>
      </c>
      <c r="I617" s="3">
        <f>IF($E617="","", INDEX([1]Calc!$E:$E, MATCH("D_vessel_m", [1]Calc!$C:$C, 0)) - $E617 + $B617)</f>
        <v>1.9112508231881173</v>
      </c>
      <c r="J617" s="3">
        <f>IF($F617="","", INDEX([1]Calc!$E:$E, MATCH("D_vessel_m", [1]Calc!$C:$C, 0)) - $F617 + $B617)</f>
        <v>1.9112508231881173</v>
      </c>
      <c r="K617" s="2" t="str">
        <f t="shared" si="29"/>
        <v>Even Keel</v>
      </c>
    </row>
    <row r="618" spans="1:11" x14ac:dyDescent="0.6">
      <c r="A618" s="2" t="str">
        <f>IF('December_Tide_2025 (2)'!A618="","",'December_Tide_2025 (2)'!A618)</f>
        <v>2025-12-26 16:00:00</v>
      </c>
      <c r="B618" s="3">
        <f>IF('December_Tide_2025 (2)'!B618="","",'December_Tide_2025 (2)'!B618)</f>
        <v>0.88</v>
      </c>
      <c r="C618" s="3">
        <f>IF($A618="","", INDEX([1]Calc!$E:$E, MATCH("KminusZ_m", [1]Calc!$C:$C, 0)) + $B618 - INDEX([1]Calc!$E:$E, MATCH("L_ramp_m", [1]Calc!$C:$C, 0)) * TAN(RADIANS(INDEX([1]Calc!$E:$E, MATCH("theta_max_deg", [1]Calc!$C:$C, 0)))))</f>
        <v>2.6187491768118822</v>
      </c>
      <c r="D618" s="3"/>
      <c r="E618" s="3">
        <f t="shared" si="27"/>
        <v>2.6187491768118822</v>
      </c>
      <c r="F618" s="3">
        <f t="shared" si="28"/>
        <v>2.6187491768118822</v>
      </c>
      <c r="G618" s="3">
        <f>IF($E618="","", DEGREES(ATAN((INDEX([1]Calc!$E:$E, MATCH("KminusZ_m", [1]Calc!$C:$C, 0)) - $E618 + $B618) / INDEX([1]Calc!$E:$E, MATCH("L_ramp_m", [1]Calc!$C:$C, 0)))))</f>
        <v>6.0000000000000009</v>
      </c>
      <c r="H618" s="2" t="str">
        <f>IF($E618="","", IF(AND($E618&gt;=INDEX([1]Calc!$E:$E, MATCH("min_fwd_draft_m", [1]Calc!$C:$C, 0)), $E618&lt;=INDEX([1]Calc!$E:$E, MATCH("max_fwd_draft_m", [1]Calc!$C:$C, 0)), $G618&lt;=INDEX([1]Calc!$E:$E, MATCH("theta_max_deg", [1]Calc!$C:$C, 0))), "OK", "CHECK"))</f>
        <v>OK</v>
      </c>
      <c r="I618" s="3">
        <f>IF($E618="","", INDEX([1]Calc!$E:$E, MATCH("D_vessel_m", [1]Calc!$C:$C, 0)) - $E618 + $B618)</f>
        <v>1.9112508231881176</v>
      </c>
      <c r="J618" s="3">
        <f>IF($F618="","", INDEX([1]Calc!$E:$E, MATCH("D_vessel_m", [1]Calc!$C:$C, 0)) - $F618 + $B618)</f>
        <v>1.9112508231881176</v>
      </c>
      <c r="K618" s="2" t="str">
        <f t="shared" si="29"/>
        <v>Even Keel</v>
      </c>
    </row>
    <row r="619" spans="1:11" x14ac:dyDescent="0.6">
      <c r="A619" s="2" t="str">
        <f>IF('December_Tide_2025 (2)'!A619="","",'December_Tide_2025 (2)'!A619)</f>
        <v>2025-12-26 17:00:00</v>
      </c>
      <c r="B619" s="3">
        <f>IF('December_Tide_2025 (2)'!B619="","",'December_Tide_2025 (2)'!B619)</f>
        <v>0.91</v>
      </c>
      <c r="C619" s="3">
        <f>IF($A619="","", INDEX([1]Calc!$E:$E, MATCH("KminusZ_m", [1]Calc!$C:$C, 0)) + $B619 - INDEX([1]Calc!$E:$E, MATCH("L_ramp_m", [1]Calc!$C:$C, 0)) * TAN(RADIANS(INDEX([1]Calc!$E:$E, MATCH("theta_max_deg", [1]Calc!$C:$C, 0)))))</f>
        <v>2.6487491768118825</v>
      </c>
      <c r="D619" s="3"/>
      <c r="E619" s="3">
        <f t="shared" si="27"/>
        <v>2.6487491768118825</v>
      </c>
      <c r="F619" s="3">
        <f t="shared" si="28"/>
        <v>2.6487491768118825</v>
      </c>
      <c r="G619" s="3">
        <f>IF($E619="","", DEGREES(ATAN((INDEX([1]Calc!$E:$E, MATCH("KminusZ_m", [1]Calc!$C:$C, 0)) - $E619 + $B619) / INDEX([1]Calc!$E:$E, MATCH("L_ramp_m", [1]Calc!$C:$C, 0)))))</f>
        <v>6.0000000000000009</v>
      </c>
      <c r="H619" s="2" t="str">
        <f>IF($E619="","", IF(AND($E619&gt;=INDEX([1]Calc!$E:$E, MATCH("min_fwd_draft_m", [1]Calc!$C:$C, 0)), $E619&lt;=INDEX([1]Calc!$E:$E, MATCH("max_fwd_draft_m", [1]Calc!$C:$C, 0)), $G619&lt;=INDEX([1]Calc!$E:$E, MATCH("theta_max_deg", [1]Calc!$C:$C, 0))), "OK", "CHECK"))</f>
        <v>OK</v>
      </c>
      <c r="I619" s="3">
        <f>IF($E619="","", INDEX([1]Calc!$E:$E, MATCH("D_vessel_m", [1]Calc!$C:$C, 0)) - $E619 + $B619)</f>
        <v>1.9112508231881176</v>
      </c>
      <c r="J619" s="3">
        <f>IF($F619="","", INDEX([1]Calc!$E:$E, MATCH("D_vessel_m", [1]Calc!$C:$C, 0)) - $F619 + $B619)</f>
        <v>1.9112508231881176</v>
      </c>
      <c r="K619" s="2" t="str">
        <f t="shared" si="29"/>
        <v>Even Keel</v>
      </c>
    </row>
    <row r="620" spans="1:11" x14ac:dyDescent="0.6">
      <c r="A620" s="2" t="str">
        <f>IF('December_Tide_2025 (2)'!A620="","",'December_Tide_2025 (2)'!A620)</f>
        <v>2025-12-26 18:00:00</v>
      </c>
      <c r="B620" s="3">
        <f>IF('December_Tide_2025 (2)'!B620="","",'December_Tide_2025 (2)'!B620)</f>
        <v>1.17</v>
      </c>
      <c r="C620" s="3">
        <f>IF($A620="","", INDEX([1]Calc!$E:$E, MATCH("KminusZ_m", [1]Calc!$C:$C, 0)) + $B620 - INDEX([1]Calc!$E:$E, MATCH("L_ramp_m", [1]Calc!$C:$C, 0)) * TAN(RADIANS(INDEX([1]Calc!$E:$E, MATCH("theta_max_deg", [1]Calc!$C:$C, 0)))))</f>
        <v>2.9087491768118823</v>
      </c>
      <c r="D620" s="3"/>
      <c r="E620" s="3">
        <f t="shared" si="27"/>
        <v>2.9087491768118823</v>
      </c>
      <c r="F620" s="3">
        <f t="shared" si="28"/>
        <v>2.9087491768118823</v>
      </c>
      <c r="G620" s="3">
        <f>IF($E620="","", DEGREES(ATAN((INDEX([1]Calc!$E:$E, MATCH("KminusZ_m", [1]Calc!$C:$C, 0)) - $E620 + $B620) / INDEX([1]Calc!$E:$E, MATCH("L_ramp_m", [1]Calc!$C:$C, 0)))))</f>
        <v>6.0000000000000009</v>
      </c>
      <c r="H620" s="2" t="str">
        <f>IF($E620="","", IF(AND($E620&gt;=INDEX([1]Calc!$E:$E, MATCH("min_fwd_draft_m", [1]Calc!$C:$C, 0)), $E620&lt;=INDEX([1]Calc!$E:$E, MATCH("max_fwd_draft_m", [1]Calc!$C:$C, 0)), $G620&lt;=INDEX([1]Calc!$E:$E, MATCH("theta_max_deg", [1]Calc!$C:$C, 0))), "OK", "CHECK"))</f>
        <v>OK</v>
      </c>
      <c r="I620" s="3">
        <f>IF($E620="","", INDEX([1]Calc!$E:$E, MATCH("D_vessel_m", [1]Calc!$C:$C, 0)) - $E620 + $B620)</f>
        <v>1.9112508231881176</v>
      </c>
      <c r="J620" s="3">
        <f>IF($F620="","", INDEX([1]Calc!$E:$E, MATCH("D_vessel_m", [1]Calc!$C:$C, 0)) - $F620 + $B620)</f>
        <v>1.9112508231881176</v>
      </c>
      <c r="K620" s="2" t="str">
        <f t="shared" si="29"/>
        <v>Even Keel</v>
      </c>
    </row>
    <row r="621" spans="1:11" x14ac:dyDescent="0.6">
      <c r="A621" s="2" t="str">
        <f>IF('December_Tide_2025 (2)'!A621="","",'December_Tide_2025 (2)'!A621)</f>
        <v>2025-12-26 19:00:00</v>
      </c>
      <c r="B621" s="3">
        <f>IF('December_Tide_2025 (2)'!B621="","",'December_Tide_2025 (2)'!B621)</f>
        <v>1.59</v>
      </c>
      <c r="C621" s="3">
        <f>IF($A621="","", INDEX([1]Calc!$E:$E, MATCH("KminusZ_m", [1]Calc!$C:$C, 0)) + $B621 - INDEX([1]Calc!$E:$E, MATCH("L_ramp_m", [1]Calc!$C:$C, 0)) * TAN(RADIANS(INDEX([1]Calc!$E:$E, MATCH("theta_max_deg", [1]Calc!$C:$C, 0)))))</f>
        <v>3.3287491768118822</v>
      </c>
      <c r="D621" s="3"/>
      <c r="E621" s="3">
        <f t="shared" si="27"/>
        <v>3.3287491768118822</v>
      </c>
      <c r="F621" s="3">
        <f t="shared" si="28"/>
        <v>3.3287491768118822</v>
      </c>
      <c r="G621" s="3">
        <f>IF($E621="","", DEGREES(ATAN((INDEX([1]Calc!$E:$E, MATCH("KminusZ_m", [1]Calc!$C:$C, 0)) - $E621 + $B621) / INDEX([1]Calc!$E:$E, MATCH("L_ramp_m", [1]Calc!$C:$C, 0)))))</f>
        <v>6.0000000000000009</v>
      </c>
      <c r="H621" s="2" t="str">
        <f>IF($E621="","", IF(AND($E621&gt;=INDEX([1]Calc!$E:$E, MATCH("min_fwd_draft_m", [1]Calc!$C:$C, 0)), $E621&lt;=INDEX([1]Calc!$E:$E, MATCH("max_fwd_draft_m", [1]Calc!$C:$C, 0)), $G621&lt;=INDEX([1]Calc!$E:$E, MATCH("theta_max_deg", [1]Calc!$C:$C, 0))), "OK", "CHECK"))</f>
        <v>OK</v>
      </c>
      <c r="I621" s="3">
        <f>IF($E621="","", INDEX([1]Calc!$E:$E, MATCH("D_vessel_m", [1]Calc!$C:$C, 0)) - $E621 + $B621)</f>
        <v>1.9112508231881178</v>
      </c>
      <c r="J621" s="3">
        <f>IF($F621="","", INDEX([1]Calc!$E:$E, MATCH("D_vessel_m", [1]Calc!$C:$C, 0)) - $F621 + $B621)</f>
        <v>1.9112508231881178</v>
      </c>
      <c r="K621" s="2" t="str">
        <f t="shared" si="29"/>
        <v>Even Keel</v>
      </c>
    </row>
    <row r="622" spans="1:11" x14ac:dyDescent="0.6">
      <c r="A622" s="2" t="str">
        <f>IF('December_Tide_2025 (2)'!A622="","",'December_Tide_2025 (2)'!A622)</f>
        <v>2025-12-26 20:00:00</v>
      </c>
      <c r="B622" s="3">
        <f>IF('December_Tide_2025 (2)'!B622="","",'December_Tide_2025 (2)'!B622)</f>
        <v>2.06</v>
      </c>
      <c r="C622" s="3">
        <f>IF($A622="","", INDEX([1]Calc!$E:$E, MATCH("KminusZ_m", [1]Calc!$C:$C, 0)) + $B622 - INDEX([1]Calc!$E:$E, MATCH("L_ramp_m", [1]Calc!$C:$C, 0)) * TAN(RADIANS(INDEX([1]Calc!$E:$E, MATCH("theta_max_deg", [1]Calc!$C:$C, 0)))))</f>
        <v>3.7987491768118828</v>
      </c>
      <c r="D622" s="3"/>
      <c r="E622" s="3">
        <f t="shared" si="27"/>
        <v>3.7987491768118828</v>
      </c>
      <c r="F622" s="3">
        <f t="shared" si="28"/>
        <v>3.7987491768118828</v>
      </c>
      <c r="G622" s="3">
        <f>IF($E622="","", DEGREES(ATAN((INDEX([1]Calc!$E:$E, MATCH("KminusZ_m", [1]Calc!$C:$C, 0)) - $E622 + $B622) / INDEX([1]Calc!$E:$E, MATCH("L_ramp_m", [1]Calc!$C:$C, 0)))))</f>
        <v>5.9999999999999982</v>
      </c>
      <c r="H622" s="2" t="str">
        <f>IF($E622="","", IF(AND($E622&gt;=INDEX([1]Calc!$E:$E, MATCH("min_fwd_draft_m", [1]Calc!$C:$C, 0)), $E622&lt;=INDEX([1]Calc!$E:$E, MATCH("max_fwd_draft_m", [1]Calc!$C:$C, 0)), $G622&lt;=INDEX([1]Calc!$E:$E, MATCH("theta_max_deg", [1]Calc!$C:$C, 0))), "OK", "CHECK"))</f>
        <v>CHECK</v>
      </c>
      <c r="I622" s="3">
        <f>IF($E622="","", INDEX([1]Calc!$E:$E, MATCH("D_vessel_m", [1]Calc!$C:$C, 0)) - $E622 + $B622)</f>
        <v>1.9112508231881171</v>
      </c>
      <c r="J622" s="3">
        <f>IF($F622="","", INDEX([1]Calc!$E:$E, MATCH("D_vessel_m", [1]Calc!$C:$C, 0)) - $F622 + $B622)</f>
        <v>1.9112508231881171</v>
      </c>
      <c r="K622" s="2" t="str">
        <f t="shared" si="29"/>
        <v>Even Keel</v>
      </c>
    </row>
    <row r="623" spans="1:11" x14ac:dyDescent="0.6">
      <c r="A623" s="2" t="str">
        <f>IF('December_Tide_2025 (2)'!A623="","",'December_Tide_2025 (2)'!A623)</f>
        <v>2025-12-26 21:00:00</v>
      </c>
      <c r="B623" s="3">
        <f>IF('December_Tide_2025 (2)'!B623="","",'December_Tide_2025 (2)'!B623)</f>
        <v>2.46</v>
      </c>
      <c r="C623" s="3">
        <f>IF($A623="","", INDEX([1]Calc!$E:$E, MATCH("KminusZ_m", [1]Calc!$C:$C, 0)) + $B623 - INDEX([1]Calc!$E:$E, MATCH("L_ramp_m", [1]Calc!$C:$C, 0)) * TAN(RADIANS(INDEX([1]Calc!$E:$E, MATCH("theta_max_deg", [1]Calc!$C:$C, 0)))))</f>
        <v>4.1987491768118819</v>
      </c>
      <c r="D623" s="3"/>
      <c r="E623" s="3">
        <f t="shared" si="27"/>
        <v>4.1987491768118819</v>
      </c>
      <c r="F623" s="3">
        <f t="shared" si="28"/>
        <v>4.1987491768118819</v>
      </c>
      <c r="G623" s="3">
        <f>IF($E623="","", DEGREES(ATAN((INDEX([1]Calc!$E:$E, MATCH("KminusZ_m", [1]Calc!$C:$C, 0)) - $E623 + $B623) / INDEX([1]Calc!$E:$E, MATCH("L_ramp_m", [1]Calc!$C:$C, 0)))))</f>
        <v>6.0000000000000027</v>
      </c>
      <c r="H623" s="2" t="str">
        <f>IF($E623="","", IF(AND($E623&gt;=INDEX([1]Calc!$E:$E, MATCH("min_fwd_draft_m", [1]Calc!$C:$C, 0)), $E623&lt;=INDEX([1]Calc!$E:$E, MATCH("max_fwd_draft_m", [1]Calc!$C:$C, 0)), $G623&lt;=INDEX([1]Calc!$E:$E, MATCH("theta_max_deg", [1]Calc!$C:$C, 0))), "OK", "CHECK"))</f>
        <v>CHECK</v>
      </c>
      <c r="I623" s="3">
        <f>IF($E623="","", INDEX([1]Calc!$E:$E, MATCH("D_vessel_m", [1]Calc!$C:$C, 0)) - $E623 + $B623)</f>
        <v>1.911250823188118</v>
      </c>
      <c r="J623" s="3">
        <f>IF($F623="","", INDEX([1]Calc!$E:$E, MATCH("D_vessel_m", [1]Calc!$C:$C, 0)) - $F623 + $B623)</f>
        <v>1.911250823188118</v>
      </c>
      <c r="K623" s="2" t="str">
        <f t="shared" si="29"/>
        <v>Even Keel</v>
      </c>
    </row>
    <row r="624" spans="1:11" x14ac:dyDescent="0.6">
      <c r="A624" s="2" t="str">
        <f>IF('December_Tide_2025 (2)'!A624="","",'December_Tide_2025 (2)'!A624)</f>
        <v>2025-12-26 22:00:00</v>
      </c>
      <c r="B624" s="3">
        <f>IF('December_Tide_2025 (2)'!B624="","",'December_Tide_2025 (2)'!B624)</f>
        <v>2.7</v>
      </c>
      <c r="C624" s="3">
        <f>IF($A624="","", INDEX([1]Calc!$E:$E, MATCH("KminusZ_m", [1]Calc!$C:$C, 0)) + $B624 - INDEX([1]Calc!$E:$E, MATCH("L_ramp_m", [1]Calc!$C:$C, 0)) * TAN(RADIANS(INDEX([1]Calc!$E:$E, MATCH("theta_max_deg", [1]Calc!$C:$C, 0)))))</f>
        <v>4.4387491768118821</v>
      </c>
      <c r="D624" s="3"/>
      <c r="E624" s="3">
        <f t="shared" si="27"/>
        <v>4.4387491768118821</v>
      </c>
      <c r="F624" s="3">
        <f t="shared" si="28"/>
        <v>4.4387491768118821</v>
      </c>
      <c r="G624" s="3">
        <f>IF($E624="","", DEGREES(ATAN((INDEX([1]Calc!$E:$E, MATCH("KminusZ_m", [1]Calc!$C:$C, 0)) - $E624 + $B624) / INDEX([1]Calc!$E:$E, MATCH("L_ramp_m", [1]Calc!$C:$C, 0)))))</f>
        <v>6.0000000000000027</v>
      </c>
      <c r="H624" s="2" t="str">
        <f>IF($E624="","", IF(AND($E624&gt;=INDEX([1]Calc!$E:$E, MATCH("min_fwd_draft_m", [1]Calc!$C:$C, 0)), $E624&lt;=INDEX([1]Calc!$E:$E, MATCH("max_fwd_draft_m", [1]Calc!$C:$C, 0)), $G624&lt;=INDEX([1]Calc!$E:$E, MATCH("theta_max_deg", [1]Calc!$C:$C, 0))), "OK", "CHECK"))</f>
        <v>CHECK</v>
      </c>
      <c r="I624" s="3">
        <f>IF($E624="","", INDEX([1]Calc!$E:$E, MATCH("D_vessel_m", [1]Calc!$C:$C, 0)) - $E624 + $B624)</f>
        <v>1.911250823188118</v>
      </c>
      <c r="J624" s="3">
        <f>IF($F624="","", INDEX([1]Calc!$E:$E, MATCH("D_vessel_m", [1]Calc!$C:$C, 0)) - $F624 + $B624)</f>
        <v>1.911250823188118</v>
      </c>
      <c r="K624" s="2" t="str">
        <f t="shared" si="29"/>
        <v>Even Keel</v>
      </c>
    </row>
    <row r="625" spans="1:11" x14ac:dyDescent="0.6">
      <c r="A625" s="2" t="str">
        <f>IF('December_Tide_2025 (2)'!A625="","",'December_Tide_2025 (2)'!A625)</f>
        <v>2025-12-26 23:00:00</v>
      </c>
      <c r="B625" s="3">
        <f>IF('December_Tide_2025 (2)'!B625="","",'December_Tide_2025 (2)'!B625)</f>
        <v>2.71</v>
      </c>
      <c r="C625" s="3">
        <f>IF($A625="","", INDEX([1]Calc!$E:$E, MATCH("KminusZ_m", [1]Calc!$C:$C, 0)) + $B625 - INDEX([1]Calc!$E:$E, MATCH("L_ramp_m", [1]Calc!$C:$C, 0)) * TAN(RADIANS(INDEX([1]Calc!$E:$E, MATCH("theta_max_deg", [1]Calc!$C:$C, 0)))))</f>
        <v>4.4487491768118819</v>
      </c>
      <c r="D625" s="3"/>
      <c r="E625" s="3">
        <f t="shared" si="27"/>
        <v>4.4487491768118819</v>
      </c>
      <c r="F625" s="3">
        <f t="shared" si="28"/>
        <v>4.4487491768118819</v>
      </c>
      <c r="G625" s="3">
        <f>IF($E625="","", DEGREES(ATAN((INDEX([1]Calc!$E:$E, MATCH("KminusZ_m", [1]Calc!$C:$C, 0)) - $E625 + $B625) / INDEX([1]Calc!$E:$E, MATCH("L_ramp_m", [1]Calc!$C:$C, 0)))))</f>
        <v>6.0000000000000027</v>
      </c>
      <c r="H625" s="2" t="str">
        <f>IF($E625="","", IF(AND($E625&gt;=INDEX([1]Calc!$E:$E, MATCH("min_fwd_draft_m", [1]Calc!$C:$C, 0)), $E625&lt;=INDEX([1]Calc!$E:$E, MATCH("max_fwd_draft_m", [1]Calc!$C:$C, 0)), $G625&lt;=INDEX([1]Calc!$E:$E, MATCH("theta_max_deg", [1]Calc!$C:$C, 0))), "OK", "CHECK"))</f>
        <v>CHECK</v>
      </c>
      <c r="I625" s="3">
        <f>IF($E625="","", INDEX([1]Calc!$E:$E, MATCH("D_vessel_m", [1]Calc!$C:$C, 0)) - $E625 + $B625)</f>
        <v>1.911250823188118</v>
      </c>
      <c r="J625" s="3">
        <f>IF($F625="","", INDEX([1]Calc!$E:$E, MATCH("D_vessel_m", [1]Calc!$C:$C, 0)) - $F625 + $B625)</f>
        <v>1.911250823188118</v>
      </c>
      <c r="K625" s="2" t="str">
        <f t="shared" si="29"/>
        <v>Even Keel</v>
      </c>
    </row>
    <row r="626" spans="1:11" x14ac:dyDescent="0.6">
      <c r="A626" s="2" t="str">
        <f>IF('December_Tide_2025 (2)'!A626="","",'December_Tide_2025 (2)'!A626)</f>
        <v>2025-12-27 00:00:00</v>
      </c>
      <c r="B626" s="3">
        <f>IF('December_Tide_2025 (2)'!B626="","",'December_Tide_2025 (2)'!B626)</f>
        <v>2.4900000000000002</v>
      </c>
      <c r="C626" s="3">
        <f>IF($A626="","", INDEX([1]Calc!$E:$E, MATCH("KminusZ_m", [1]Calc!$C:$C, 0)) + $B626 - INDEX([1]Calc!$E:$E, MATCH("L_ramp_m", [1]Calc!$C:$C, 0)) * TAN(RADIANS(INDEX([1]Calc!$E:$E, MATCH("theta_max_deg", [1]Calc!$C:$C, 0)))))</f>
        <v>4.228749176811883</v>
      </c>
      <c r="D626" s="3"/>
      <c r="E626" s="3">
        <f t="shared" si="27"/>
        <v>4.228749176811883</v>
      </c>
      <c r="F626" s="3">
        <f t="shared" si="28"/>
        <v>4.228749176811883</v>
      </c>
      <c r="G626" s="3">
        <f>IF($E626="","", DEGREES(ATAN((INDEX([1]Calc!$E:$E, MATCH("KminusZ_m", [1]Calc!$C:$C, 0)) - $E626 + $B626) / INDEX([1]Calc!$E:$E, MATCH("L_ramp_m", [1]Calc!$C:$C, 0)))))</f>
        <v>5.9999999999999982</v>
      </c>
      <c r="H626" s="2" t="str">
        <f>IF($E626="","", IF(AND($E626&gt;=INDEX([1]Calc!$E:$E, MATCH("min_fwd_draft_m", [1]Calc!$C:$C, 0)), $E626&lt;=INDEX([1]Calc!$E:$E, MATCH("max_fwd_draft_m", [1]Calc!$C:$C, 0)), $G626&lt;=INDEX([1]Calc!$E:$E, MATCH("theta_max_deg", [1]Calc!$C:$C, 0))), "OK", "CHECK"))</f>
        <v>CHECK</v>
      </c>
      <c r="I626" s="3">
        <f>IF($E626="","", INDEX([1]Calc!$E:$E, MATCH("D_vessel_m", [1]Calc!$C:$C, 0)) - $E626 + $B626)</f>
        <v>1.9112508231881171</v>
      </c>
      <c r="J626" s="3">
        <f>IF($F626="","", INDEX([1]Calc!$E:$E, MATCH("D_vessel_m", [1]Calc!$C:$C, 0)) - $F626 + $B626)</f>
        <v>1.9112508231881171</v>
      </c>
      <c r="K626" s="2" t="str">
        <f t="shared" si="29"/>
        <v>Even Keel</v>
      </c>
    </row>
    <row r="627" spans="1:11" x14ac:dyDescent="0.6">
      <c r="A627" s="2" t="str">
        <f>IF('December_Tide_2025 (2)'!A627="","",'December_Tide_2025 (2)'!A627)</f>
        <v>2025-12-27 01:00:00</v>
      </c>
      <c r="B627" s="3">
        <f>IF('December_Tide_2025 (2)'!B627="","",'December_Tide_2025 (2)'!B627)</f>
        <v>2.1</v>
      </c>
      <c r="C627" s="3">
        <f>IF($A627="","", INDEX([1]Calc!$E:$E, MATCH("KminusZ_m", [1]Calc!$C:$C, 0)) + $B627 - INDEX([1]Calc!$E:$E, MATCH("L_ramp_m", [1]Calc!$C:$C, 0)) * TAN(RADIANS(INDEX([1]Calc!$E:$E, MATCH("theta_max_deg", [1]Calc!$C:$C, 0)))))</f>
        <v>3.838749176811882</v>
      </c>
      <c r="D627" s="3"/>
      <c r="E627" s="3">
        <f t="shared" si="27"/>
        <v>3.838749176811882</v>
      </c>
      <c r="F627" s="3">
        <f t="shared" si="28"/>
        <v>3.838749176811882</v>
      </c>
      <c r="G627" s="3">
        <f>IF($E627="","", DEGREES(ATAN((INDEX([1]Calc!$E:$E, MATCH("KminusZ_m", [1]Calc!$C:$C, 0)) - $E627 + $B627) / INDEX([1]Calc!$E:$E, MATCH("L_ramp_m", [1]Calc!$C:$C, 0)))))</f>
        <v>6.0000000000000027</v>
      </c>
      <c r="H627" s="2" t="str">
        <f>IF($E627="","", IF(AND($E627&gt;=INDEX([1]Calc!$E:$E, MATCH("min_fwd_draft_m", [1]Calc!$C:$C, 0)), $E627&lt;=INDEX([1]Calc!$E:$E, MATCH("max_fwd_draft_m", [1]Calc!$C:$C, 0)), $G627&lt;=INDEX([1]Calc!$E:$E, MATCH("theta_max_deg", [1]Calc!$C:$C, 0))), "OK", "CHECK"))</f>
        <v>CHECK</v>
      </c>
      <c r="I627" s="3">
        <f>IF($E627="","", INDEX([1]Calc!$E:$E, MATCH("D_vessel_m", [1]Calc!$C:$C, 0)) - $E627 + $B627)</f>
        <v>1.911250823188118</v>
      </c>
      <c r="J627" s="3">
        <f>IF($F627="","", INDEX([1]Calc!$E:$E, MATCH("D_vessel_m", [1]Calc!$C:$C, 0)) - $F627 + $B627)</f>
        <v>1.911250823188118</v>
      </c>
      <c r="K627" s="2" t="str">
        <f t="shared" si="29"/>
        <v>Even Keel</v>
      </c>
    </row>
    <row r="628" spans="1:11" x14ac:dyDescent="0.6">
      <c r="A628" s="2" t="str">
        <f>IF('December_Tide_2025 (2)'!A628="","",'December_Tide_2025 (2)'!A628)</f>
        <v>2025-12-27 02:00:00</v>
      </c>
      <c r="B628" s="3">
        <f>IF('December_Tide_2025 (2)'!B628="","",'December_Tide_2025 (2)'!B628)</f>
        <v>1.63</v>
      </c>
      <c r="C628" s="3">
        <f>IF($A628="","", INDEX([1]Calc!$E:$E, MATCH("KminusZ_m", [1]Calc!$C:$C, 0)) + $B628 - INDEX([1]Calc!$E:$E, MATCH("L_ramp_m", [1]Calc!$C:$C, 0)) * TAN(RADIANS(INDEX([1]Calc!$E:$E, MATCH("theta_max_deg", [1]Calc!$C:$C, 0)))))</f>
        <v>3.3687491768118822</v>
      </c>
      <c r="D628" s="3"/>
      <c r="E628" s="3">
        <f t="shared" si="27"/>
        <v>3.3687491768118822</v>
      </c>
      <c r="F628" s="3">
        <f t="shared" si="28"/>
        <v>3.3687491768118822</v>
      </c>
      <c r="G628" s="3">
        <f>IF($E628="","", DEGREES(ATAN((INDEX([1]Calc!$E:$E, MATCH("KminusZ_m", [1]Calc!$C:$C, 0)) - $E628 + $B628) / INDEX([1]Calc!$E:$E, MATCH("L_ramp_m", [1]Calc!$C:$C, 0)))))</f>
        <v>6.0000000000000009</v>
      </c>
      <c r="H628" s="2" t="str">
        <f>IF($E628="","", IF(AND($E628&gt;=INDEX([1]Calc!$E:$E, MATCH("min_fwd_draft_m", [1]Calc!$C:$C, 0)), $E628&lt;=INDEX([1]Calc!$E:$E, MATCH("max_fwd_draft_m", [1]Calc!$C:$C, 0)), $G628&lt;=INDEX([1]Calc!$E:$E, MATCH("theta_max_deg", [1]Calc!$C:$C, 0))), "OK", "CHECK"))</f>
        <v>OK</v>
      </c>
      <c r="I628" s="3">
        <f>IF($E628="","", INDEX([1]Calc!$E:$E, MATCH("D_vessel_m", [1]Calc!$C:$C, 0)) - $E628 + $B628)</f>
        <v>1.9112508231881176</v>
      </c>
      <c r="J628" s="3">
        <f>IF($F628="","", INDEX([1]Calc!$E:$E, MATCH("D_vessel_m", [1]Calc!$C:$C, 0)) - $F628 + $B628)</f>
        <v>1.9112508231881176</v>
      </c>
      <c r="K628" s="2" t="str">
        <f t="shared" si="29"/>
        <v>Even Keel</v>
      </c>
    </row>
    <row r="629" spans="1:11" x14ac:dyDescent="0.6">
      <c r="A629" s="2" t="str">
        <f>IF('December_Tide_2025 (2)'!A629="","",'December_Tide_2025 (2)'!A629)</f>
        <v>2025-12-27 03:00:00</v>
      </c>
      <c r="B629" s="3">
        <f>IF('December_Tide_2025 (2)'!B629="","",'December_Tide_2025 (2)'!B629)</f>
        <v>1.21</v>
      </c>
      <c r="C629" s="3">
        <f>IF($A629="","", INDEX([1]Calc!$E:$E, MATCH("KminusZ_m", [1]Calc!$C:$C, 0)) + $B629 - INDEX([1]Calc!$E:$E, MATCH("L_ramp_m", [1]Calc!$C:$C, 0)) * TAN(RADIANS(INDEX([1]Calc!$E:$E, MATCH("theta_max_deg", [1]Calc!$C:$C, 0)))))</f>
        <v>2.9487491768118823</v>
      </c>
      <c r="D629" s="3"/>
      <c r="E629" s="3">
        <f t="shared" si="27"/>
        <v>2.9487491768118823</v>
      </c>
      <c r="F629" s="3">
        <f t="shared" si="28"/>
        <v>2.9487491768118823</v>
      </c>
      <c r="G629" s="3">
        <f>IF($E629="","", DEGREES(ATAN((INDEX([1]Calc!$E:$E, MATCH("KminusZ_m", [1]Calc!$C:$C, 0)) - $E629 + $B629) / INDEX([1]Calc!$E:$E, MATCH("L_ramp_m", [1]Calc!$C:$C, 0)))))</f>
        <v>6.0000000000000009</v>
      </c>
      <c r="H629" s="2" t="str">
        <f>IF($E629="","", IF(AND($E629&gt;=INDEX([1]Calc!$E:$E, MATCH("min_fwd_draft_m", [1]Calc!$C:$C, 0)), $E629&lt;=INDEX([1]Calc!$E:$E, MATCH("max_fwd_draft_m", [1]Calc!$C:$C, 0)), $G629&lt;=INDEX([1]Calc!$E:$E, MATCH("theta_max_deg", [1]Calc!$C:$C, 0))), "OK", "CHECK"))</f>
        <v>OK</v>
      </c>
      <c r="I629" s="3">
        <f>IF($E629="","", INDEX([1]Calc!$E:$E, MATCH("D_vessel_m", [1]Calc!$C:$C, 0)) - $E629 + $B629)</f>
        <v>1.9112508231881176</v>
      </c>
      <c r="J629" s="3">
        <f>IF($F629="","", INDEX([1]Calc!$E:$E, MATCH("D_vessel_m", [1]Calc!$C:$C, 0)) - $F629 + $B629)</f>
        <v>1.9112508231881176</v>
      </c>
      <c r="K629" s="2" t="str">
        <f t="shared" si="29"/>
        <v>Even Keel</v>
      </c>
    </row>
    <row r="630" spans="1:11" x14ac:dyDescent="0.6">
      <c r="A630" s="2" t="str">
        <f>IF('December_Tide_2025 (2)'!A630="","",'December_Tide_2025 (2)'!A630)</f>
        <v>2025-12-27 04:00:00</v>
      </c>
      <c r="B630" s="3">
        <f>IF('December_Tide_2025 (2)'!B630="","",'December_Tide_2025 (2)'!B630)</f>
        <v>0.93</v>
      </c>
      <c r="C630" s="3">
        <f>IF($A630="","", INDEX([1]Calc!$E:$E, MATCH("KminusZ_m", [1]Calc!$C:$C, 0)) + $B630 - INDEX([1]Calc!$E:$E, MATCH("L_ramp_m", [1]Calc!$C:$C, 0)) * TAN(RADIANS(INDEX([1]Calc!$E:$E, MATCH("theta_max_deg", [1]Calc!$C:$C, 0)))))</f>
        <v>2.6687491768118825</v>
      </c>
      <c r="D630" s="3"/>
      <c r="E630" s="3">
        <f t="shared" si="27"/>
        <v>2.6687491768118825</v>
      </c>
      <c r="F630" s="3">
        <f t="shared" si="28"/>
        <v>2.6687491768118825</v>
      </c>
      <c r="G630" s="3">
        <f>IF($E630="","", DEGREES(ATAN((INDEX([1]Calc!$E:$E, MATCH("KminusZ_m", [1]Calc!$C:$C, 0)) - $E630 + $B630) / INDEX([1]Calc!$E:$E, MATCH("L_ramp_m", [1]Calc!$C:$C, 0)))))</f>
        <v>6.0000000000000009</v>
      </c>
      <c r="H630" s="2" t="str">
        <f>IF($E630="","", IF(AND($E630&gt;=INDEX([1]Calc!$E:$E, MATCH("min_fwd_draft_m", [1]Calc!$C:$C, 0)), $E630&lt;=INDEX([1]Calc!$E:$E, MATCH("max_fwd_draft_m", [1]Calc!$C:$C, 0)), $G630&lt;=INDEX([1]Calc!$E:$E, MATCH("theta_max_deg", [1]Calc!$C:$C, 0))), "OK", "CHECK"))</f>
        <v>OK</v>
      </c>
      <c r="I630" s="3">
        <f>IF($E630="","", INDEX([1]Calc!$E:$E, MATCH("D_vessel_m", [1]Calc!$C:$C, 0)) - $E630 + $B630)</f>
        <v>1.9112508231881176</v>
      </c>
      <c r="J630" s="3">
        <f>IF($F630="","", INDEX([1]Calc!$E:$E, MATCH("D_vessel_m", [1]Calc!$C:$C, 0)) - $F630 + $B630)</f>
        <v>1.9112508231881176</v>
      </c>
      <c r="K630" s="2" t="str">
        <f t="shared" si="29"/>
        <v>Even Keel</v>
      </c>
    </row>
    <row r="631" spans="1:11" x14ac:dyDescent="0.6">
      <c r="A631" s="2" t="str">
        <f>IF('December_Tide_2025 (2)'!A631="","",'December_Tide_2025 (2)'!A631)</f>
        <v>2025-12-27 05:00:00</v>
      </c>
      <c r="B631" s="3">
        <f>IF('December_Tide_2025 (2)'!B631="","",'December_Tide_2025 (2)'!B631)</f>
        <v>0.87</v>
      </c>
      <c r="C631" s="3">
        <f>IF($A631="","", INDEX([1]Calc!$E:$E, MATCH("KminusZ_m", [1]Calc!$C:$C, 0)) + $B631 - INDEX([1]Calc!$E:$E, MATCH("L_ramp_m", [1]Calc!$C:$C, 0)) * TAN(RADIANS(INDEX([1]Calc!$E:$E, MATCH("theta_max_deg", [1]Calc!$C:$C, 0)))))</f>
        <v>2.6087491768118825</v>
      </c>
      <c r="D631" s="3"/>
      <c r="E631" s="3">
        <f t="shared" si="27"/>
        <v>2.6087491768118825</v>
      </c>
      <c r="F631" s="3">
        <f t="shared" si="28"/>
        <v>2.6087491768118825</v>
      </c>
      <c r="G631" s="3">
        <f>IF($E631="","", DEGREES(ATAN((INDEX([1]Calc!$E:$E, MATCH("KminusZ_m", [1]Calc!$C:$C, 0)) - $E631 + $B631) / INDEX([1]Calc!$E:$E, MATCH("L_ramp_m", [1]Calc!$C:$C, 0)))))</f>
        <v>6.0000000000000009</v>
      </c>
      <c r="H631" s="2" t="str">
        <f>IF($E631="","", IF(AND($E631&gt;=INDEX([1]Calc!$E:$E, MATCH("min_fwd_draft_m", [1]Calc!$C:$C, 0)), $E631&lt;=INDEX([1]Calc!$E:$E, MATCH("max_fwd_draft_m", [1]Calc!$C:$C, 0)), $G631&lt;=INDEX([1]Calc!$E:$E, MATCH("theta_max_deg", [1]Calc!$C:$C, 0))), "OK", "CHECK"))</f>
        <v>OK</v>
      </c>
      <c r="I631" s="3">
        <f>IF($E631="","", INDEX([1]Calc!$E:$E, MATCH("D_vessel_m", [1]Calc!$C:$C, 0)) - $E631 + $B631)</f>
        <v>1.9112508231881176</v>
      </c>
      <c r="J631" s="3">
        <f>IF($F631="","", INDEX([1]Calc!$E:$E, MATCH("D_vessel_m", [1]Calc!$C:$C, 0)) - $F631 + $B631)</f>
        <v>1.9112508231881176</v>
      </c>
      <c r="K631" s="2" t="str">
        <f t="shared" si="29"/>
        <v>Even Keel</v>
      </c>
    </row>
    <row r="632" spans="1:11" x14ac:dyDescent="0.6">
      <c r="A632" s="2" t="str">
        <f>IF('December_Tide_2025 (2)'!A632="","",'December_Tide_2025 (2)'!A632)</f>
        <v>2025-12-27 06:00:00</v>
      </c>
      <c r="B632" s="3">
        <f>IF('December_Tide_2025 (2)'!B632="","",'December_Tide_2025 (2)'!B632)</f>
        <v>1.05</v>
      </c>
      <c r="C632" s="3">
        <f>IF($A632="","", INDEX([1]Calc!$E:$E, MATCH("KminusZ_m", [1]Calc!$C:$C, 0)) + $B632 - INDEX([1]Calc!$E:$E, MATCH("L_ramp_m", [1]Calc!$C:$C, 0)) * TAN(RADIANS(INDEX([1]Calc!$E:$E, MATCH("theta_max_deg", [1]Calc!$C:$C, 0)))))</f>
        <v>2.7887491768118822</v>
      </c>
      <c r="D632" s="3"/>
      <c r="E632" s="3">
        <f t="shared" si="27"/>
        <v>2.7887491768118822</v>
      </c>
      <c r="F632" s="3">
        <f t="shared" si="28"/>
        <v>2.7887491768118822</v>
      </c>
      <c r="G632" s="3">
        <f>IF($E632="","", DEGREES(ATAN((INDEX([1]Calc!$E:$E, MATCH("KminusZ_m", [1]Calc!$C:$C, 0)) - $E632 + $B632) / INDEX([1]Calc!$E:$E, MATCH("L_ramp_m", [1]Calc!$C:$C, 0)))))</f>
        <v>6.0000000000000009</v>
      </c>
      <c r="H632" s="2" t="str">
        <f>IF($E632="","", IF(AND($E632&gt;=INDEX([1]Calc!$E:$E, MATCH("min_fwd_draft_m", [1]Calc!$C:$C, 0)), $E632&lt;=INDEX([1]Calc!$E:$E, MATCH("max_fwd_draft_m", [1]Calc!$C:$C, 0)), $G632&lt;=INDEX([1]Calc!$E:$E, MATCH("theta_max_deg", [1]Calc!$C:$C, 0))), "OK", "CHECK"))</f>
        <v>OK</v>
      </c>
      <c r="I632" s="3">
        <f>IF($E632="","", INDEX([1]Calc!$E:$E, MATCH("D_vessel_m", [1]Calc!$C:$C, 0)) - $E632 + $B632)</f>
        <v>1.9112508231881178</v>
      </c>
      <c r="J632" s="3">
        <f>IF($F632="","", INDEX([1]Calc!$E:$E, MATCH("D_vessel_m", [1]Calc!$C:$C, 0)) - $F632 + $B632)</f>
        <v>1.9112508231881178</v>
      </c>
      <c r="K632" s="2" t="str">
        <f t="shared" si="29"/>
        <v>Even Keel</v>
      </c>
    </row>
    <row r="633" spans="1:11" x14ac:dyDescent="0.6">
      <c r="A633" s="2" t="str">
        <f>IF('December_Tide_2025 (2)'!A633="","",'December_Tide_2025 (2)'!A633)</f>
        <v>2025-12-27 07:00:00</v>
      </c>
      <c r="B633" s="3">
        <f>IF('December_Tide_2025 (2)'!B633="","",'December_Tide_2025 (2)'!B633)</f>
        <v>1.41</v>
      </c>
      <c r="C633" s="3">
        <f>IF($A633="","", INDEX([1]Calc!$E:$E, MATCH("KminusZ_m", [1]Calc!$C:$C, 0)) + $B633 - INDEX([1]Calc!$E:$E, MATCH("L_ramp_m", [1]Calc!$C:$C, 0)) * TAN(RADIANS(INDEX([1]Calc!$E:$E, MATCH("theta_max_deg", [1]Calc!$C:$C, 0)))))</f>
        <v>3.1487491768118825</v>
      </c>
      <c r="D633" s="3"/>
      <c r="E633" s="3">
        <f t="shared" si="27"/>
        <v>3.1487491768118825</v>
      </c>
      <c r="F633" s="3">
        <f t="shared" si="28"/>
        <v>3.1487491768118825</v>
      </c>
      <c r="G633" s="3">
        <f>IF($E633="","", DEGREES(ATAN((INDEX([1]Calc!$E:$E, MATCH("KminusZ_m", [1]Calc!$C:$C, 0)) - $E633 + $B633) / INDEX([1]Calc!$E:$E, MATCH("L_ramp_m", [1]Calc!$C:$C, 0)))))</f>
        <v>6</v>
      </c>
      <c r="H633" s="2" t="str">
        <f>IF($E633="","", IF(AND($E633&gt;=INDEX([1]Calc!$E:$E, MATCH("min_fwd_draft_m", [1]Calc!$C:$C, 0)), $E633&lt;=INDEX([1]Calc!$E:$E, MATCH("max_fwd_draft_m", [1]Calc!$C:$C, 0)), $G633&lt;=INDEX([1]Calc!$E:$E, MATCH("theta_max_deg", [1]Calc!$C:$C, 0))), "OK", "CHECK"))</f>
        <v>OK</v>
      </c>
      <c r="I633" s="3">
        <f>IF($E633="","", INDEX([1]Calc!$E:$E, MATCH("D_vessel_m", [1]Calc!$C:$C, 0)) - $E633 + $B633)</f>
        <v>1.9112508231881173</v>
      </c>
      <c r="J633" s="3">
        <f>IF($F633="","", INDEX([1]Calc!$E:$E, MATCH("D_vessel_m", [1]Calc!$C:$C, 0)) - $F633 + $B633)</f>
        <v>1.9112508231881173</v>
      </c>
      <c r="K633" s="2" t="str">
        <f t="shared" si="29"/>
        <v>Even Keel</v>
      </c>
    </row>
    <row r="634" spans="1:11" x14ac:dyDescent="0.6">
      <c r="A634" s="2" t="str">
        <f>IF('December_Tide_2025 (2)'!A634="","",'December_Tide_2025 (2)'!A634)</f>
        <v>2025-12-27 08:00:00</v>
      </c>
      <c r="B634" s="3">
        <f>IF('December_Tide_2025 (2)'!B634="","",'December_Tide_2025 (2)'!B634)</f>
        <v>1.87</v>
      </c>
      <c r="C634" s="3">
        <f>IF($A634="","", INDEX([1]Calc!$E:$E, MATCH("KminusZ_m", [1]Calc!$C:$C, 0)) + $B634 - INDEX([1]Calc!$E:$E, MATCH("L_ramp_m", [1]Calc!$C:$C, 0)) * TAN(RADIANS(INDEX([1]Calc!$E:$E, MATCH("theta_max_deg", [1]Calc!$C:$C, 0)))))</f>
        <v>3.6087491768118825</v>
      </c>
      <c r="D634" s="3"/>
      <c r="E634" s="3">
        <f t="shared" si="27"/>
        <v>3.6087491768118825</v>
      </c>
      <c r="F634" s="3">
        <f t="shared" si="28"/>
        <v>3.6087491768118825</v>
      </c>
      <c r="G634" s="3">
        <f>IF($E634="","", DEGREES(ATAN((INDEX([1]Calc!$E:$E, MATCH("KminusZ_m", [1]Calc!$C:$C, 0)) - $E634 + $B634) / INDEX([1]Calc!$E:$E, MATCH("L_ramp_m", [1]Calc!$C:$C, 0)))))</f>
        <v>6.0000000000000009</v>
      </c>
      <c r="H634" s="2" t="str">
        <f>IF($E634="","", IF(AND($E634&gt;=INDEX([1]Calc!$E:$E, MATCH("min_fwd_draft_m", [1]Calc!$C:$C, 0)), $E634&lt;=INDEX([1]Calc!$E:$E, MATCH("max_fwd_draft_m", [1]Calc!$C:$C, 0)), $G634&lt;=INDEX([1]Calc!$E:$E, MATCH("theta_max_deg", [1]Calc!$C:$C, 0))), "OK", "CHECK"))</f>
        <v>CHECK</v>
      </c>
      <c r="I634" s="3">
        <f>IF($E634="","", INDEX([1]Calc!$E:$E, MATCH("D_vessel_m", [1]Calc!$C:$C, 0)) - $E634 + $B634)</f>
        <v>1.9112508231881176</v>
      </c>
      <c r="J634" s="3">
        <f>IF($F634="","", INDEX([1]Calc!$E:$E, MATCH("D_vessel_m", [1]Calc!$C:$C, 0)) - $F634 + $B634)</f>
        <v>1.9112508231881176</v>
      </c>
      <c r="K634" s="2" t="str">
        <f t="shared" si="29"/>
        <v>Even Keel</v>
      </c>
    </row>
    <row r="635" spans="1:11" x14ac:dyDescent="0.6">
      <c r="A635" s="2" t="str">
        <f>IF('December_Tide_2025 (2)'!A635="","",'December_Tide_2025 (2)'!A635)</f>
        <v>2025-12-27 09:00:00</v>
      </c>
      <c r="B635" s="3">
        <f>IF('December_Tide_2025 (2)'!B635="","",'December_Tide_2025 (2)'!B635)</f>
        <v>2.3199999999999998</v>
      </c>
      <c r="C635" s="3">
        <f>IF($A635="","", INDEX([1]Calc!$E:$E, MATCH("KminusZ_m", [1]Calc!$C:$C, 0)) + $B635 - INDEX([1]Calc!$E:$E, MATCH("L_ramp_m", [1]Calc!$C:$C, 0)) * TAN(RADIANS(INDEX([1]Calc!$E:$E, MATCH("theta_max_deg", [1]Calc!$C:$C, 0)))))</f>
        <v>4.0587491768118831</v>
      </c>
      <c r="D635" s="3"/>
      <c r="E635" s="3">
        <f t="shared" si="27"/>
        <v>4.0587491768118831</v>
      </c>
      <c r="F635" s="3">
        <f t="shared" si="28"/>
        <v>4.0587491768118831</v>
      </c>
      <c r="G635" s="3">
        <f>IF($E635="","", DEGREES(ATAN((INDEX([1]Calc!$E:$E, MATCH("KminusZ_m", [1]Calc!$C:$C, 0)) - $E635 + $B635) / INDEX([1]Calc!$E:$E, MATCH("L_ramp_m", [1]Calc!$C:$C, 0)))))</f>
        <v>5.9999999999999964</v>
      </c>
      <c r="H635" s="2" t="str">
        <f>IF($E635="","", IF(AND($E635&gt;=INDEX([1]Calc!$E:$E, MATCH("min_fwd_draft_m", [1]Calc!$C:$C, 0)), $E635&lt;=INDEX([1]Calc!$E:$E, MATCH("max_fwd_draft_m", [1]Calc!$C:$C, 0)), $G635&lt;=INDEX([1]Calc!$E:$E, MATCH("theta_max_deg", [1]Calc!$C:$C, 0))), "OK", "CHECK"))</f>
        <v>CHECK</v>
      </c>
      <c r="I635" s="3">
        <f>IF($E635="","", INDEX([1]Calc!$E:$E, MATCH("D_vessel_m", [1]Calc!$C:$C, 0)) - $E635 + $B635)</f>
        <v>1.9112508231881167</v>
      </c>
      <c r="J635" s="3">
        <f>IF($F635="","", INDEX([1]Calc!$E:$E, MATCH("D_vessel_m", [1]Calc!$C:$C, 0)) - $F635 + $B635)</f>
        <v>1.9112508231881167</v>
      </c>
      <c r="K635" s="2" t="str">
        <f t="shared" si="29"/>
        <v>Even Keel</v>
      </c>
    </row>
    <row r="636" spans="1:11" x14ac:dyDescent="0.6">
      <c r="A636" s="2" t="str">
        <f>IF('December_Tide_2025 (2)'!A636="","",'December_Tide_2025 (2)'!A636)</f>
        <v>2025-12-27 10:00:00</v>
      </c>
      <c r="B636" s="3">
        <f>IF('December_Tide_2025 (2)'!B636="","",'December_Tide_2025 (2)'!B636)</f>
        <v>2.63</v>
      </c>
      <c r="C636" s="3">
        <f>IF($A636="","", INDEX([1]Calc!$E:$E, MATCH("KminusZ_m", [1]Calc!$C:$C, 0)) + $B636 - INDEX([1]Calc!$E:$E, MATCH("L_ramp_m", [1]Calc!$C:$C, 0)) * TAN(RADIANS(INDEX([1]Calc!$E:$E, MATCH("theta_max_deg", [1]Calc!$C:$C, 0)))))</f>
        <v>4.3687491768118818</v>
      </c>
      <c r="D636" s="3"/>
      <c r="E636" s="3">
        <f t="shared" si="27"/>
        <v>4.3687491768118818</v>
      </c>
      <c r="F636" s="3">
        <f t="shared" si="28"/>
        <v>4.3687491768118818</v>
      </c>
      <c r="G636" s="3">
        <f>IF($E636="","", DEGREES(ATAN((INDEX([1]Calc!$E:$E, MATCH("KminusZ_m", [1]Calc!$C:$C, 0)) - $E636 + $B636) / INDEX([1]Calc!$E:$E, MATCH("L_ramp_m", [1]Calc!$C:$C, 0)))))</f>
        <v>6.0000000000000027</v>
      </c>
      <c r="H636" s="2" t="str">
        <f>IF($E636="","", IF(AND($E636&gt;=INDEX([1]Calc!$E:$E, MATCH("min_fwd_draft_m", [1]Calc!$C:$C, 0)), $E636&lt;=INDEX([1]Calc!$E:$E, MATCH("max_fwd_draft_m", [1]Calc!$C:$C, 0)), $G636&lt;=INDEX([1]Calc!$E:$E, MATCH("theta_max_deg", [1]Calc!$C:$C, 0))), "OK", "CHECK"))</f>
        <v>CHECK</v>
      </c>
      <c r="I636" s="3">
        <f>IF($E636="","", INDEX([1]Calc!$E:$E, MATCH("D_vessel_m", [1]Calc!$C:$C, 0)) - $E636 + $B636)</f>
        <v>1.911250823188118</v>
      </c>
      <c r="J636" s="3">
        <f>IF($F636="","", INDEX([1]Calc!$E:$E, MATCH("D_vessel_m", [1]Calc!$C:$C, 0)) - $F636 + $B636)</f>
        <v>1.911250823188118</v>
      </c>
      <c r="K636" s="2" t="str">
        <f t="shared" si="29"/>
        <v>Even Keel</v>
      </c>
    </row>
    <row r="637" spans="1:11" x14ac:dyDescent="0.6">
      <c r="A637" s="2" t="str">
        <f>IF('December_Tide_2025 (2)'!A637="","",'December_Tide_2025 (2)'!A637)</f>
        <v>2025-12-27 11:00:00</v>
      </c>
      <c r="B637" s="3">
        <f>IF('December_Tide_2025 (2)'!B637="","",'December_Tide_2025 (2)'!B637)</f>
        <v>2.74</v>
      </c>
      <c r="C637" s="3">
        <f>IF($A637="","", INDEX([1]Calc!$E:$E, MATCH("KminusZ_m", [1]Calc!$C:$C, 0)) + $B637 - INDEX([1]Calc!$E:$E, MATCH("L_ramp_m", [1]Calc!$C:$C, 0)) * TAN(RADIANS(INDEX([1]Calc!$E:$E, MATCH("theta_max_deg", [1]Calc!$C:$C, 0)))))</f>
        <v>4.478749176811883</v>
      </c>
      <c r="D637" s="3"/>
      <c r="E637" s="3">
        <f t="shared" si="27"/>
        <v>4.478749176811883</v>
      </c>
      <c r="F637" s="3">
        <f t="shared" si="28"/>
        <v>4.478749176811883</v>
      </c>
      <c r="G637" s="3">
        <f>IF($E637="","", DEGREES(ATAN((INDEX([1]Calc!$E:$E, MATCH("KminusZ_m", [1]Calc!$C:$C, 0)) - $E637 + $B637) / INDEX([1]Calc!$E:$E, MATCH("L_ramp_m", [1]Calc!$C:$C, 0)))))</f>
        <v>5.9999999999999982</v>
      </c>
      <c r="H637" s="2" t="str">
        <f>IF($E637="","", IF(AND($E637&gt;=INDEX([1]Calc!$E:$E, MATCH("min_fwd_draft_m", [1]Calc!$C:$C, 0)), $E637&lt;=INDEX([1]Calc!$E:$E, MATCH("max_fwd_draft_m", [1]Calc!$C:$C, 0)), $G637&lt;=INDEX([1]Calc!$E:$E, MATCH("theta_max_deg", [1]Calc!$C:$C, 0))), "OK", "CHECK"))</f>
        <v>CHECK</v>
      </c>
      <c r="I637" s="3">
        <f>IF($E637="","", INDEX([1]Calc!$E:$E, MATCH("D_vessel_m", [1]Calc!$C:$C, 0)) - $E637 + $B637)</f>
        <v>1.9112508231881171</v>
      </c>
      <c r="J637" s="3">
        <f>IF($F637="","", INDEX([1]Calc!$E:$E, MATCH("D_vessel_m", [1]Calc!$C:$C, 0)) - $F637 + $B637)</f>
        <v>1.9112508231881171</v>
      </c>
      <c r="K637" s="2" t="str">
        <f t="shared" si="29"/>
        <v>Even Keel</v>
      </c>
    </row>
    <row r="638" spans="1:11" x14ac:dyDescent="0.6">
      <c r="A638" s="2" t="str">
        <f>IF('December_Tide_2025 (2)'!A638="","",'December_Tide_2025 (2)'!A638)</f>
        <v>2025-12-27 12:00:00</v>
      </c>
      <c r="B638" s="3">
        <f>IF('December_Tide_2025 (2)'!B638="","",'December_Tide_2025 (2)'!B638)</f>
        <v>2.61</v>
      </c>
      <c r="C638" s="3">
        <f>IF($A638="","", INDEX([1]Calc!$E:$E, MATCH("KminusZ_m", [1]Calc!$C:$C, 0)) + $B638 - INDEX([1]Calc!$E:$E, MATCH("L_ramp_m", [1]Calc!$C:$C, 0)) * TAN(RADIANS(INDEX([1]Calc!$E:$E, MATCH("theta_max_deg", [1]Calc!$C:$C, 0)))))</f>
        <v>4.3487491768118822</v>
      </c>
      <c r="D638" s="3"/>
      <c r="E638" s="3">
        <f t="shared" si="27"/>
        <v>4.3487491768118822</v>
      </c>
      <c r="F638" s="3">
        <f t="shared" si="28"/>
        <v>4.3487491768118822</v>
      </c>
      <c r="G638" s="3">
        <f>IF($E638="","", DEGREES(ATAN((INDEX([1]Calc!$E:$E, MATCH("KminusZ_m", [1]Calc!$C:$C, 0)) - $E638 + $B638) / INDEX([1]Calc!$E:$E, MATCH("L_ramp_m", [1]Calc!$C:$C, 0)))))</f>
        <v>6.0000000000000009</v>
      </c>
      <c r="H638" s="2" t="str">
        <f>IF($E638="","", IF(AND($E638&gt;=INDEX([1]Calc!$E:$E, MATCH("min_fwd_draft_m", [1]Calc!$C:$C, 0)), $E638&lt;=INDEX([1]Calc!$E:$E, MATCH("max_fwd_draft_m", [1]Calc!$C:$C, 0)), $G638&lt;=INDEX([1]Calc!$E:$E, MATCH("theta_max_deg", [1]Calc!$C:$C, 0))), "OK", "CHECK"))</f>
        <v>CHECK</v>
      </c>
      <c r="I638" s="3">
        <f>IF($E638="","", INDEX([1]Calc!$E:$E, MATCH("D_vessel_m", [1]Calc!$C:$C, 0)) - $E638 + $B638)</f>
        <v>1.9112508231881176</v>
      </c>
      <c r="J638" s="3">
        <f>IF($F638="","", INDEX([1]Calc!$E:$E, MATCH("D_vessel_m", [1]Calc!$C:$C, 0)) - $F638 + $B638)</f>
        <v>1.9112508231881176</v>
      </c>
      <c r="K638" s="2" t="str">
        <f t="shared" si="29"/>
        <v>Even Keel</v>
      </c>
    </row>
    <row r="639" spans="1:11" x14ac:dyDescent="0.6">
      <c r="A639" s="2" t="str">
        <f>IF('December_Tide_2025 (2)'!A639="","",'December_Tide_2025 (2)'!A639)</f>
        <v>2025-12-27 13:00:00</v>
      </c>
      <c r="B639" s="3">
        <f>IF('December_Tide_2025 (2)'!B639="","",'December_Tide_2025 (2)'!B639)</f>
        <v>2.27</v>
      </c>
      <c r="C639" s="3">
        <f>IF($A639="","", INDEX([1]Calc!$E:$E, MATCH("KminusZ_m", [1]Calc!$C:$C, 0)) + $B639 - INDEX([1]Calc!$E:$E, MATCH("L_ramp_m", [1]Calc!$C:$C, 0)) * TAN(RADIANS(INDEX([1]Calc!$E:$E, MATCH("theta_max_deg", [1]Calc!$C:$C, 0)))))</f>
        <v>4.0087491768118824</v>
      </c>
      <c r="D639" s="3"/>
      <c r="E639" s="3">
        <f t="shared" si="27"/>
        <v>4.0087491768118824</v>
      </c>
      <c r="F639" s="3">
        <f t="shared" si="28"/>
        <v>4.0087491768118824</v>
      </c>
      <c r="G639" s="3">
        <f>IF($E639="","", DEGREES(ATAN((INDEX([1]Calc!$E:$E, MATCH("KminusZ_m", [1]Calc!$C:$C, 0)) - $E639 + $B639) / INDEX([1]Calc!$E:$E, MATCH("L_ramp_m", [1]Calc!$C:$C, 0)))))</f>
        <v>6.0000000000000009</v>
      </c>
      <c r="H639" s="2" t="str">
        <f>IF($E639="","", IF(AND($E639&gt;=INDEX([1]Calc!$E:$E, MATCH("min_fwd_draft_m", [1]Calc!$C:$C, 0)), $E639&lt;=INDEX([1]Calc!$E:$E, MATCH("max_fwd_draft_m", [1]Calc!$C:$C, 0)), $G639&lt;=INDEX([1]Calc!$E:$E, MATCH("theta_max_deg", [1]Calc!$C:$C, 0))), "OK", "CHECK"))</f>
        <v>CHECK</v>
      </c>
      <c r="I639" s="3">
        <f>IF($E639="","", INDEX([1]Calc!$E:$E, MATCH("D_vessel_m", [1]Calc!$C:$C, 0)) - $E639 + $B639)</f>
        <v>1.9112508231881176</v>
      </c>
      <c r="J639" s="3">
        <f>IF($F639="","", INDEX([1]Calc!$E:$E, MATCH("D_vessel_m", [1]Calc!$C:$C, 0)) - $F639 + $B639)</f>
        <v>1.9112508231881176</v>
      </c>
      <c r="K639" s="2" t="str">
        <f t="shared" si="29"/>
        <v>Even Keel</v>
      </c>
    </row>
    <row r="640" spans="1:11" x14ac:dyDescent="0.6">
      <c r="A640" s="2" t="str">
        <f>IF('December_Tide_2025 (2)'!A640="","",'December_Tide_2025 (2)'!A640)</f>
        <v>2025-12-27 14:00:00</v>
      </c>
      <c r="B640" s="3">
        <f>IF('December_Tide_2025 (2)'!B640="","",'December_Tide_2025 (2)'!B640)</f>
        <v>1.82</v>
      </c>
      <c r="C640" s="3">
        <f>IF($A640="","", INDEX([1]Calc!$E:$E, MATCH("KminusZ_m", [1]Calc!$C:$C, 0)) + $B640 - INDEX([1]Calc!$E:$E, MATCH("L_ramp_m", [1]Calc!$C:$C, 0)) * TAN(RADIANS(INDEX([1]Calc!$E:$E, MATCH("theta_max_deg", [1]Calc!$C:$C, 0)))))</f>
        <v>3.5587491768118826</v>
      </c>
      <c r="D640" s="3"/>
      <c r="E640" s="3">
        <f t="shared" si="27"/>
        <v>3.5587491768118826</v>
      </c>
      <c r="F640" s="3">
        <f t="shared" si="28"/>
        <v>3.5587491768118826</v>
      </c>
      <c r="G640" s="3">
        <f>IF($E640="","", DEGREES(ATAN((INDEX([1]Calc!$E:$E, MATCH("KminusZ_m", [1]Calc!$C:$C, 0)) - $E640 + $B640) / INDEX([1]Calc!$E:$E, MATCH("L_ramp_m", [1]Calc!$C:$C, 0)))))</f>
        <v>6</v>
      </c>
      <c r="H640" s="2" t="str">
        <f>IF($E640="","", IF(AND($E640&gt;=INDEX([1]Calc!$E:$E, MATCH("min_fwd_draft_m", [1]Calc!$C:$C, 0)), $E640&lt;=INDEX([1]Calc!$E:$E, MATCH("max_fwd_draft_m", [1]Calc!$C:$C, 0)), $G640&lt;=INDEX([1]Calc!$E:$E, MATCH("theta_max_deg", [1]Calc!$C:$C, 0))), "OK", "CHECK"))</f>
        <v>CHECK</v>
      </c>
      <c r="I640" s="3">
        <f>IF($E640="","", INDEX([1]Calc!$E:$E, MATCH("D_vessel_m", [1]Calc!$C:$C, 0)) - $E640 + $B640)</f>
        <v>1.9112508231881173</v>
      </c>
      <c r="J640" s="3">
        <f>IF($F640="","", INDEX([1]Calc!$E:$E, MATCH("D_vessel_m", [1]Calc!$C:$C, 0)) - $F640 + $B640)</f>
        <v>1.9112508231881173</v>
      </c>
      <c r="K640" s="2" t="str">
        <f t="shared" si="29"/>
        <v>Even Keel</v>
      </c>
    </row>
    <row r="641" spans="1:11" x14ac:dyDescent="0.6">
      <c r="A641" s="2" t="str">
        <f>IF('December_Tide_2025 (2)'!A641="","",'December_Tide_2025 (2)'!A641)</f>
        <v>2025-12-27 15:00:00</v>
      </c>
      <c r="B641" s="3">
        <f>IF('December_Tide_2025 (2)'!B641="","",'December_Tide_2025 (2)'!B641)</f>
        <v>1.36</v>
      </c>
      <c r="C641" s="3">
        <f>IF($A641="","", INDEX([1]Calc!$E:$E, MATCH("KminusZ_m", [1]Calc!$C:$C, 0)) + $B641 - INDEX([1]Calc!$E:$E, MATCH("L_ramp_m", [1]Calc!$C:$C, 0)) * TAN(RADIANS(INDEX([1]Calc!$E:$E, MATCH("theta_max_deg", [1]Calc!$C:$C, 0)))))</f>
        <v>3.0987491768118827</v>
      </c>
      <c r="D641" s="3"/>
      <c r="E641" s="3">
        <f t="shared" si="27"/>
        <v>3.0987491768118827</v>
      </c>
      <c r="F641" s="3">
        <f t="shared" si="28"/>
        <v>3.0987491768118827</v>
      </c>
      <c r="G641" s="3">
        <f>IF($E641="","", DEGREES(ATAN((INDEX([1]Calc!$E:$E, MATCH("KminusZ_m", [1]Calc!$C:$C, 0)) - $E641 + $B641) / INDEX([1]Calc!$E:$E, MATCH("L_ramp_m", [1]Calc!$C:$C, 0)))))</f>
        <v>6</v>
      </c>
      <c r="H641" s="2" t="str">
        <f>IF($E641="","", IF(AND($E641&gt;=INDEX([1]Calc!$E:$E, MATCH("min_fwd_draft_m", [1]Calc!$C:$C, 0)), $E641&lt;=INDEX([1]Calc!$E:$E, MATCH("max_fwd_draft_m", [1]Calc!$C:$C, 0)), $G641&lt;=INDEX([1]Calc!$E:$E, MATCH("theta_max_deg", [1]Calc!$C:$C, 0))), "OK", "CHECK"))</f>
        <v>OK</v>
      </c>
      <c r="I641" s="3">
        <f>IF($E641="","", INDEX([1]Calc!$E:$E, MATCH("D_vessel_m", [1]Calc!$C:$C, 0)) - $E641 + $B641)</f>
        <v>1.9112508231881173</v>
      </c>
      <c r="J641" s="3">
        <f>IF($F641="","", INDEX([1]Calc!$E:$E, MATCH("D_vessel_m", [1]Calc!$C:$C, 0)) - $F641 + $B641)</f>
        <v>1.9112508231881173</v>
      </c>
      <c r="K641" s="2" t="str">
        <f t="shared" si="29"/>
        <v>Even Keel</v>
      </c>
    </row>
    <row r="642" spans="1:11" x14ac:dyDescent="0.6">
      <c r="A642" s="2" t="str">
        <f>IF('December_Tide_2025 (2)'!A642="","",'December_Tide_2025 (2)'!A642)</f>
        <v>2025-12-27 16:00:00</v>
      </c>
      <c r="B642" s="3">
        <f>IF('December_Tide_2025 (2)'!B642="","",'December_Tide_2025 (2)'!B642)</f>
        <v>1.02</v>
      </c>
      <c r="C642" s="3">
        <f>IF($A642="","", INDEX([1]Calc!$E:$E, MATCH("KminusZ_m", [1]Calc!$C:$C, 0)) + $B642 - INDEX([1]Calc!$E:$E, MATCH("L_ramp_m", [1]Calc!$C:$C, 0)) * TAN(RADIANS(INDEX([1]Calc!$E:$E, MATCH("theta_max_deg", [1]Calc!$C:$C, 0)))))</f>
        <v>2.7587491768118819</v>
      </c>
      <c r="D642" s="3"/>
      <c r="E642" s="3">
        <f t="shared" ref="E642:E705" si="30">IF($C642="","", IF($D642="", $C642, $C642 - $D642/2))</f>
        <v>2.7587491768118819</v>
      </c>
      <c r="F642" s="3">
        <f t="shared" ref="F642:F705" si="31">IF($C642="","", IF($D642="", $C642, $C642 + $D642/2))</f>
        <v>2.7587491768118819</v>
      </c>
      <c r="G642" s="3">
        <f>IF($E642="","", DEGREES(ATAN((INDEX([1]Calc!$E:$E, MATCH("KminusZ_m", [1]Calc!$C:$C, 0)) - $E642 + $B642) / INDEX([1]Calc!$E:$E, MATCH("L_ramp_m", [1]Calc!$C:$C, 0)))))</f>
        <v>6.0000000000000027</v>
      </c>
      <c r="H642" s="2" t="str">
        <f>IF($E642="","", IF(AND($E642&gt;=INDEX([1]Calc!$E:$E, MATCH("min_fwd_draft_m", [1]Calc!$C:$C, 0)), $E642&lt;=INDEX([1]Calc!$E:$E, MATCH("max_fwd_draft_m", [1]Calc!$C:$C, 0)), $G642&lt;=INDEX([1]Calc!$E:$E, MATCH("theta_max_deg", [1]Calc!$C:$C, 0))), "OK", "CHECK"))</f>
        <v>OK</v>
      </c>
      <c r="I642" s="3">
        <f>IF($E642="","", INDEX([1]Calc!$E:$E, MATCH("D_vessel_m", [1]Calc!$C:$C, 0)) - $E642 + $B642)</f>
        <v>1.911250823188118</v>
      </c>
      <c r="J642" s="3">
        <f>IF($F642="","", INDEX([1]Calc!$E:$E, MATCH("D_vessel_m", [1]Calc!$C:$C, 0)) - $F642 + $B642)</f>
        <v>1.911250823188118</v>
      </c>
      <c r="K642" s="2" t="str">
        <f t="shared" ref="K642:K705" si="32">IF(D642=0, "Even Keel", "")</f>
        <v>Even Keel</v>
      </c>
    </row>
    <row r="643" spans="1:11" x14ac:dyDescent="0.6">
      <c r="A643" s="2" t="str">
        <f>IF('December_Tide_2025 (2)'!A643="","",'December_Tide_2025 (2)'!A643)</f>
        <v>2025-12-27 17:00:00</v>
      </c>
      <c r="B643" s="3">
        <f>IF('December_Tide_2025 (2)'!B643="","",'December_Tide_2025 (2)'!B643)</f>
        <v>0.87</v>
      </c>
      <c r="C643" s="3">
        <f>IF($A643="","", INDEX([1]Calc!$E:$E, MATCH("KminusZ_m", [1]Calc!$C:$C, 0)) + $B643 - INDEX([1]Calc!$E:$E, MATCH("L_ramp_m", [1]Calc!$C:$C, 0)) * TAN(RADIANS(INDEX([1]Calc!$E:$E, MATCH("theta_max_deg", [1]Calc!$C:$C, 0)))))</f>
        <v>2.6087491768118825</v>
      </c>
      <c r="D643" s="3"/>
      <c r="E643" s="3">
        <f t="shared" si="30"/>
        <v>2.6087491768118825</v>
      </c>
      <c r="F643" s="3">
        <f t="shared" si="31"/>
        <v>2.6087491768118825</v>
      </c>
      <c r="G643" s="3">
        <f>IF($E643="","", DEGREES(ATAN((INDEX([1]Calc!$E:$E, MATCH("KminusZ_m", [1]Calc!$C:$C, 0)) - $E643 + $B643) / INDEX([1]Calc!$E:$E, MATCH("L_ramp_m", [1]Calc!$C:$C, 0)))))</f>
        <v>6.0000000000000009</v>
      </c>
      <c r="H643" s="2" t="str">
        <f>IF($E643="","", IF(AND($E643&gt;=INDEX([1]Calc!$E:$E, MATCH("min_fwd_draft_m", [1]Calc!$C:$C, 0)), $E643&lt;=INDEX([1]Calc!$E:$E, MATCH("max_fwd_draft_m", [1]Calc!$C:$C, 0)), $G643&lt;=INDEX([1]Calc!$E:$E, MATCH("theta_max_deg", [1]Calc!$C:$C, 0))), "OK", "CHECK"))</f>
        <v>OK</v>
      </c>
      <c r="I643" s="3">
        <f>IF($E643="","", INDEX([1]Calc!$E:$E, MATCH("D_vessel_m", [1]Calc!$C:$C, 0)) - $E643 + $B643)</f>
        <v>1.9112508231881176</v>
      </c>
      <c r="J643" s="3">
        <f>IF($F643="","", INDEX([1]Calc!$E:$E, MATCH("D_vessel_m", [1]Calc!$C:$C, 0)) - $F643 + $B643)</f>
        <v>1.9112508231881176</v>
      </c>
      <c r="K643" s="2" t="str">
        <f t="shared" si="32"/>
        <v>Even Keel</v>
      </c>
    </row>
    <row r="644" spans="1:11" x14ac:dyDescent="0.6">
      <c r="A644" s="2" t="str">
        <f>IF('December_Tide_2025 (2)'!A644="","",'December_Tide_2025 (2)'!A644)</f>
        <v>2025-12-27 18:00:00</v>
      </c>
      <c r="B644" s="3">
        <f>IF('December_Tide_2025 (2)'!B644="","",'December_Tide_2025 (2)'!B644)</f>
        <v>0.95</v>
      </c>
      <c r="C644" s="3">
        <f>IF($A644="","", INDEX([1]Calc!$E:$E, MATCH("KminusZ_m", [1]Calc!$C:$C, 0)) + $B644 - INDEX([1]Calc!$E:$E, MATCH("L_ramp_m", [1]Calc!$C:$C, 0)) * TAN(RADIANS(INDEX([1]Calc!$E:$E, MATCH("theta_max_deg", [1]Calc!$C:$C, 0)))))</f>
        <v>2.6887491768118825</v>
      </c>
      <c r="D644" s="3"/>
      <c r="E644" s="3">
        <f t="shared" si="30"/>
        <v>2.6887491768118825</v>
      </c>
      <c r="F644" s="3">
        <f t="shared" si="31"/>
        <v>2.6887491768118825</v>
      </c>
      <c r="G644" s="3">
        <f>IF($E644="","", DEGREES(ATAN((INDEX([1]Calc!$E:$E, MATCH("KminusZ_m", [1]Calc!$C:$C, 0)) - $E644 + $B644) / INDEX([1]Calc!$E:$E, MATCH("L_ramp_m", [1]Calc!$C:$C, 0)))))</f>
        <v>6</v>
      </c>
      <c r="H644" s="2" t="str">
        <f>IF($E644="","", IF(AND($E644&gt;=INDEX([1]Calc!$E:$E, MATCH("min_fwd_draft_m", [1]Calc!$C:$C, 0)), $E644&lt;=INDEX([1]Calc!$E:$E, MATCH("max_fwd_draft_m", [1]Calc!$C:$C, 0)), $G644&lt;=INDEX([1]Calc!$E:$E, MATCH("theta_max_deg", [1]Calc!$C:$C, 0))), "OK", "CHECK"))</f>
        <v>OK</v>
      </c>
      <c r="I644" s="3">
        <f>IF($E644="","", INDEX([1]Calc!$E:$E, MATCH("D_vessel_m", [1]Calc!$C:$C, 0)) - $E644 + $B644)</f>
        <v>1.9112508231881173</v>
      </c>
      <c r="J644" s="3">
        <f>IF($F644="","", INDEX([1]Calc!$E:$E, MATCH("D_vessel_m", [1]Calc!$C:$C, 0)) - $F644 + $B644)</f>
        <v>1.9112508231881173</v>
      </c>
      <c r="K644" s="2" t="str">
        <f t="shared" si="32"/>
        <v>Even Keel</v>
      </c>
    </row>
    <row r="645" spans="1:11" x14ac:dyDescent="0.6">
      <c r="A645" s="2" t="str">
        <f>IF('December_Tide_2025 (2)'!A645="","",'December_Tide_2025 (2)'!A645)</f>
        <v>2025-12-27 19:00:00</v>
      </c>
      <c r="B645" s="3">
        <f>IF('December_Tide_2025 (2)'!B645="","",'December_Tide_2025 (2)'!B645)</f>
        <v>1.25</v>
      </c>
      <c r="C645" s="3">
        <f>IF($A645="","", INDEX([1]Calc!$E:$E, MATCH("KminusZ_m", [1]Calc!$C:$C, 0)) + $B645 - INDEX([1]Calc!$E:$E, MATCH("L_ramp_m", [1]Calc!$C:$C, 0)) * TAN(RADIANS(INDEX([1]Calc!$E:$E, MATCH("theta_max_deg", [1]Calc!$C:$C, 0)))))</f>
        <v>2.9887491768118823</v>
      </c>
      <c r="D645" s="3"/>
      <c r="E645" s="3">
        <f t="shared" si="30"/>
        <v>2.9887491768118823</v>
      </c>
      <c r="F645" s="3">
        <f t="shared" si="31"/>
        <v>2.9887491768118823</v>
      </c>
      <c r="G645" s="3">
        <f>IF($E645="","", DEGREES(ATAN((INDEX([1]Calc!$E:$E, MATCH("KminusZ_m", [1]Calc!$C:$C, 0)) - $E645 + $B645) / INDEX([1]Calc!$E:$E, MATCH("L_ramp_m", [1]Calc!$C:$C, 0)))))</f>
        <v>6.0000000000000009</v>
      </c>
      <c r="H645" s="2" t="str">
        <f>IF($E645="","", IF(AND($E645&gt;=INDEX([1]Calc!$E:$E, MATCH("min_fwd_draft_m", [1]Calc!$C:$C, 0)), $E645&lt;=INDEX([1]Calc!$E:$E, MATCH("max_fwd_draft_m", [1]Calc!$C:$C, 0)), $G645&lt;=INDEX([1]Calc!$E:$E, MATCH("theta_max_deg", [1]Calc!$C:$C, 0))), "OK", "CHECK"))</f>
        <v>OK</v>
      </c>
      <c r="I645" s="3">
        <f>IF($E645="","", INDEX([1]Calc!$E:$E, MATCH("D_vessel_m", [1]Calc!$C:$C, 0)) - $E645 + $B645)</f>
        <v>1.9112508231881176</v>
      </c>
      <c r="J645" s="3">
        <f>IF($F645="","", INDEX([1]Calc!$E:$E, MATCH("D_vessel_m", [1]Calc!$C:$C, 0)) - $F645 + $B645)</f>
        <v>1.9112508231881176</v>
      </c>
      <c r="K645" s="2" t="str">
        <f t="shared" si="32"/>
        <v>Even Keel</v>
      </c>
    </row>
    <row r="646" spans="1:11" x14ac:dyDescent="0.6">
      <c r="A646" s="2" t="str">
        <f>IF('December_Tide_2025 (2)'!A646="","",'December_Tide_2025 (2)'!A646)</f>
        <v>2025-12-27 20:00:00</v>
      </c>
      <c r="B646" s="3">
        <f>IF('December_Tide_2025 (2)'!B646="","",'December_Tide_2025 (2)'!B646)</f>
        <v>1.68</v>
      </c>
      <c r="C646" s="3">
        <f>IF($A646="","", INDEX([1]Calc!$E:$E, MATCH("KminusZ_m", [1]Calc!$C:$C, 0)) + $B646 - INDEX([1]Calc!$E:$E, MATCH("L_ramp_m", [1]Calc!$C:$C, 0)) * TAN(RADIANS(INDEX([1]Calc!$E:$E, MATCH("theta_max_deg", [1]Calc!$C:$C, 0)))))</f>
        <v>3.4187491768118821</v>
      </c>
      <c r="D646" s="3"/>
      <c r="E646" s="3">
        <f t="shared" si="30"/>
        <v>3.4187491768118821</v>
      </c>
      <c r="F646" s="3">
        <f t="shared" si="31"/>
        <v>3.4187491768118821</v>
      </c>
      <c r="G646" s="3">
        <f>IF($E646="","", DEGREES(ATAN((INDEX([1]Calc!$E:$E, MATCH("KminusZ_m", [1]Calc!$C:$C, 0)) - $E646 + $B646) / INDEX([1]Calc!$E:$E, MATCH("L_ramp_m", [1]Calc!$C:$C, 0)))))</f>
        <v>6.0000000000000009</v>
      </c>
      <c r="H646" s="2" t="str">
        <f>IF($E646="","", IF(AND($E646&gt;=INDEX([1]Calc!$E:$E, MATCH("min_fwd_draft_m", [1]Calc!$C:$C, 0)), $E646&lt;=INDEX([1]Calc!$E:$E, MATCH("max_fwd_draft_m", [1]Calc!$C:$C, 0)), $G646&lt;=INDEX([1]Calc!$E:$E, MATCH("theta_max_deg", [1]Calc!$C:$C, 0))), "OK", "CHECK"))</f>
        <v>OK</v>
      </c>
      <c r="I646" s="3">
        <f>IF($E646="","", INDEX([1]Calc!$E:$E, MATCH("D_vessel_m", [1]Calc!$C:$C, 0)) - $E646 + $B646)</f>
        <v>1.9112508231881178</v>
      </c>
      <c r="J646" s="3">
        <f>IF($F646="","", INDEX([1]Calc!$E:$E, MATCH("D_vessel_m", [1]Calc!$C:$C, 0)) - $F646 + $B646)</f>
        <v>1.9112508231881178</v>
      </c>
      <c r="K646" s="2" t="str">
        <f t="shared" si="32"/>
        <v>Even Keel</v>
      </c>
    </row>
    <row r="647" spans="1:11" x14ac:dyDescent="0.6">
      <c r="A647" s="2" t="str">
        <f>IF('December_Tide_2025 (2)'!A647="","",'December_Tide_2025 (2)'!A647)</f>
        <v>2025-12-27 21:00:00</v>
      </c>
      <c r="B647" s="3">
        <f>IF('December_Tide_2025 (2)'!B647="","",'December_Tide_2025 (2)'!B647)</f>
        <v>2.15</v>
      </c>
      <c r="C647" s="3">
        <f>IF($A647="","", INDEX([1]Calc!$E:$E, MATCH("KminusZ_m", [1]Calc!$C:$C, 0)) + $B647 - INDEX([1]Calc!$E:$E, MATCH("L_ramp_m", [1]Calc!$C:$C, 0)) * TAN(RADIANS(INDEX([1]Calc!$E:$E, MATCH("theta_max_deg", [1]Calc!$C:$C, 0)))))</f>
        <v>3.8887491768118827</v>
      </c>
      <c r="D647" s="3"/>
      <c r="E647" s="3">
        <f t="shared" si="30"/>
        <v>3.8887491768118827</v>
      </c>
      <c r="F647" s="3">
        <f t="shared" si="31"/>
        <v>3.8887491768118827</v>
      </c>
      <c r="G647" s="3">
        <f>IF($E647="","", DEGREES(ATAN((INDEX([1]Calc!$E:$E, MATCH("KminusZ_m", [1]Calc!$C:$C, 0)) - $E647 + $B647) / INDEX([1]Calc!$E:$E, MATCH("L_ramp_m", [1]Calc!$C:$C, 0)))))</f>
        <v>5.9999999999999982</v>
      </c>
      <c r="H647" s="2" t="str">
        <f>IF($E647="","", IF(AND($E647&gt;=INDEX([1]Calc!$E:$E, MATCH("min_fwd_draft_m", [1]Calc!$C:$C, 0)), $E647&lt;=INDEX([1]Calc!$E:$E, MATCH("max_fwd_draft_m", [1]Calc!$C:$C, 0)), $G647&lt;=INDEX([1]Calc!$E:$E, MATCH("theta_max_deg", [1]Calc!$C:$C, 0))), "OK", "CHECK"))</f>
        <v>CHECK</v>
      </c>
      <c r="I647" s="3">
        <f>IF($E647="","", INDEX([1]Calc!$E:$E, MATCH("D_vessel_m", [1]Calc!$C:$C, 0)) - $E647 + $B647)</f>
        <v>1.9112508231881171</v>
      </c>
      <c r="J647" s="3">
        <f>IF($F647="","", INDEX([1]Calc!$E:$E, MATCH("D_vessel_m", [1]Calc!$C:$C, 0)) - $F647 + $B647)</f>
        <v>1.9112508231881171</v>
      </c>
      <c r="K647" s="2" t="str">
        <f t="shared" si="32"/>
        <v>Even Keel</v>
      </c>
    </row>
    <row r="648" spans="1:11" x14ac:dyDescent="0.6">
      <c r="A648" s="2" t="str">
        <f>IF('December_Tide_2025 (2)'!A648="","",'December_Tide_2025 (2)'!A648)</f>
        <v>2025-12-27 22:00:00</v>
      </c>
      <c r="B648" s="3">
        <f>IF('December_Tide_2025 (2)'!B648="","",'December_Tide_2025 (2)'!B648)</f>
        <v>2.5299999999999998</v>
      </c>
      <c r="C648" s="3">
        <f>IF($A648="","", INDEX([1]Calc!$E:$E, MATCH("KminusZ_m", [1]Calc!$C:$C, 0)) + $B648 - INDEX([1]Calc!$E:$E, MATCH("L_ramp_m", [1]Calc!$C:$C, 0)) * TAN(RADIANS(INDEX([1]Calc!$E:$E, MATCH("theta_max_deg", [1]Calc!$C:$C, 0)))))</f>
        <v>4.2687491768118822</v>
      </c>
      <c r="D648" s="3"/>
      <c r="E648" s="3">
        <f t="shared" si="30"/>
        <v>4.2687491768118822</v>
      </c>
      <c r="F648" s="3">
        <f t="shared" si="31"/>
        <v>4.2687491768118822</v>
      </c>
      <c r="G648" s="3">
        <f>IF($E648="","", DEGREES(ATAN((INDEX([1]Calc!$E:$E, MATCH("KminusZ_m", [1]Calc!$C:$C, 0)) - $E648 + $B648) / INDEX([1]Calc!$E:$E, MATCH("L_ramp_m", [1]Calc!$C:$C, 0)))))</f>
        <v>6.0000000000000009</v>
      </c>
      <c r="H648" s="2" t="str">
        <f>IF($E648="","", IF(AND($E648&gt;=INDEX([1]Calc!$E:$E, MATCH("min_fwd_draft_m", [1]Calc!$C:$C, 0)), $E648&lt;=INDEX([1]Calc!$E:$E, MATCH("max_fwd_draft_m", [1]Calc!$C:$C, 0)), $G648&lt;=INDEX([1]Calc!$E:$E, MATCH("theta_max_deg", [1]Calc!$C:$C, 0))), "OK", "CHECK"))</f>
        <v>CHECK</v>
      </c>
      <c r="I648" s="3">
        <f>IF($E648="","", INDEX([1]Calc!$E:$E, MATCH("D_vessel_m", [1]Calc!$C:$C, 0)) - $E648 + $B648)</f>
        <v>1.9112508231881176</v>
      </c>
      <c r="J648" s="3">
        <f>IF($F648="","", INDEX([1]Calc!$E:$E, MATCH("D_vessel_m", [1]Calc!$C:$C, 0)) - $F648 + $B648)</f>
        <v>1.9112508231881176</v>
      </c>
      <c r="K648" s="2" t="str">
        <f t="shared" si="32"/>
        <v>Even Keel</v>
      </c>
    </row>
    <row r="649" spans="1:11" x14ac:dyDescent="0.6">
      <c r="A649" s="2" t="str">
        <f>IF('December_Tide_2025 (2)'!A649="","",'December_Tide_2025 (2)'!A649)</f>
        <v>2025-12-27 23:00:00</v>
      </c>
      <c r="B649" s="3">
        <f>IF('December_Tide_2025 (2)'!B649="","",'December_Tide_2025 (2)'!B649)</f>
        <v>2.72</v>
      </c>
      <c r="C649" s="3">
        <f>IF($A649="","", INDEX([1]Calc!$E:$E, MATCH("KminusZ_m", [1]Calc!$C:$C, 0)) + $B649 - INDEX([1]Calc!$E:$E, MATCH("L_ramp_m", [1]Calc!$C:$C, 0)) * TAN(RADIANS(INDEX([1]Calc!$E:$E, MATCH("theta_max_deg", [1]Calc!$C:$C, 0)))))</f>
        <v>4.4587491768118834</v>
      </c>
      <c r="D649" s="3"/>
      <c r="E649" s="3">
        <f t="shared" si="30"/>
        <v>4.4587491768118834</v>
      </c>
      <c r="F649" s="3">
        <f t="shared" si="31"/>
        <v>4.4587491768118834</v>
      </c>
      <c r="G649" s="3">
        <f>IF($E649="","", DEGREES(ATAN((INDEX([1]Calc!$E:$E, MATCH("KminusZ_m", [1]Calc!$C:$C, 0)) - $E649 + $B649) / INDEX([1]Calc!$E:$E, MATCH("L_ramp_m", [1]Calc!$C:$C, 0)))))</f>
        <v>5.9999999999999964</v>
      </c>
      <c r="H649" s="2" t="str">
        <f>IF($E649="","", IF(AND($E649&gt;=INDEX([1]Calc!$E:$E, MATCH("min_fwd_draft_m", [1]Calc!$C:$C, 0)), $E649&lt;=INDEX([1]Calc!$E:$E, MATCH("max_fwd_draft_m", [1]Calc!$C:$C, 0)), $G649&lt;=INDEX([1]Calc!$E:$E, MATCH("theta_max_deg", [1]Calc!$C:$C, 0))), "OK", "CHECK"))</f>
        <v>CHECK</v>
      </c>
      <c r="I649" s="3">
        <f>IF($E649="","", INDEX([1]Calc!$E:$E, MATCH("D_vessel_m", [1]Calc!$C:$C, 0)) - $E649 + $B649)</f>
        <v>1.9112508231881167</v>
      </c>
      <c r="J649" s="3">
        <f>IF($F649="","", INDEX([1]Calc!$E:$E, MATCH("D_vessel_m", [1]Calc!$C:$C, 0)) - $F649 + $B649)</f>
        <v>1.9112508231881167</v>
      </c>
      <c r="K649" s="2" t="str">
        <f t="shared" si="32"/>
        <v>Even Keel</v>
      </c>
    </row>
    <row r="650" spans="1:11" x14ac:dyDescent="0.6">
      <c r="A650" s="2" t="str">
        <f>IF('December_Tide_2025 (2)'!A650="","",'December_Tide_2025 (2)'!A650)</f>
        <v>2025-12-28 00:00:00</v>
      </c>
      <c r="B650" s="3">
        <f>IF('December_Tide_2025 (2)'!B650="","",'December_Tide_2025 (2)'!B650)</f>
        <v>2.69</v>
      </c>
      <c r="C650" s="3">
        <f>IF($A650="","", INDEX([1]Calc!$E:$E, MATCH("KminusZ_m", [1]Calc!$C:$C, 0)) + $B650 - INDEX([1]Calc!$E:$E, MATCH("L_ramp_m", [1]Calc!$C:$C, 0)) * TAN(RADIANS(INDEX([1]Calc!$E:$E, MATCH("theta_max_deg", [1]Calc!$C:$C, 0)))))</f>
        <v>4.4287491768118823</v>
      </c>
      <c r="D650" s="3"/>
      <c r="E650" s="3">
        <f t="shared" si="30"/>
        <v>4.4287491768118823</v>
      </c>
      <c r="F650" s="3">
        <f t="shared" si="31"/>
        <v>4.4287491768118823</v>
      </c>
      <c r="G650" s="3">
        <f>IF($E650="","", DEGREES(ATAN((INDEX([1]Calc!$E:$E, MATCH("KminusZ_m", [1]Calc!$C:$C, 0)) - $E650 + $B650) / INDEX([1]Calc!$E:$E, MATCH("L_ramp_m", [1]Calc!$C:$C, 0)))))</f>
        <v>6.0000000000000009</v>
      </c>
      <c r="H650" s="2" t="str">
        <f>IF($E650="","", IF(AND($E650&gt;=INDEX([1]Calc!$E:$E, MATCH("min_fwd_draft_m", [1]Calc!$C:$C, 0)), $E650&lt;=INDEX([1]Calc!$E:$E, MATCH("max_fwd_draft_m", [1]Calc!$C:$C, 0)), $G650&lt;=INDEX([1]Calc!$E:$E, MATCH("theta_max_deg", [1]Calc!$C:$C, 0))), "OK", "CHECK"))</f>
        <v>CHECK</v>
      </c>
      <c r="I650" s="3">
        <f>IF($E650="","", INDEX([1]Calc!$E:$E, MATCH("D_vessel_m", [1]Calc!$C:$C, 0)) - $E650 + $B650)</f>
        <v>1.9112508231881176</v>
      </c>
      <c r="J650" s="3">
        <f>IF($F650="","", INDEX([1]Calc!$E:$E, MATCH("D_vessel_m", [1]Calc!$C:$C, 0)) - $F650 + $B650)</f>
        <v>1.9112508231881176</v>
      </c>
      <c r="K650" s="2" t="str">
        <f t="shared" si="32"/>
        <v>Even Keel</v>
      </c>
    </row>
    <row r="651" spans="1:11" x14ac:dyDescent="0.6">
      <c r="A651" s="2" t="str">
        <f>IF('December_Tide_2025 (2)'!A651="","",'December_Tide_2025 (2)'!A651)</f>
        <v>2025-12-28 01:00:00</v>
      </c>
      <c r="B651" s="3">
        <f>IF('December_Tide_2025 (2)'!B651="","",'December_Tide_2025 (2)'!B651)</f>
        <v>2.4300000000000002</v>
      </c>
      <c r="C651" s="3">
        <f>IF($A651="","", INDEX([1]Calc!$E:$E, MATCH("KminusZ_m", [1]Calc!$C:$C, 0)) + $B651 - INDEX([1]Calc!$E:$E, MATCH("L_ramp_m", [1]Calc!$C:$C, 0)) * TAN(RADIANS(INDEX([1]Calc!$E:$E, MATCH("theta_max_deg", [1]Calc!$C:$C, 0)))))</f>
        <v>4.1687491768118825</v>
      </c>
      <c r="D651" s="3"/>
      <c r="E651" s="3">
        <f t="shared" si="30"/>
        <v>4.1687491768118825</v>
      </c>
      <c r="F651" s="3">
        <f t="shared" si="31"/>
        <v>4.1687491768118825</v>
      </c>
      <c r="G651" s="3">
        <f>IF($E651="","", DEGREES(ATAN((INDEX([1]Calc!$E:$E, MATCH("KminusZ_m", [1]Calc!$C:$C, 0)) - $E651 + $B651) / INDEX([1]Calc!$E:$E, MATCH("L_ramp_m", [1]Calc!$C:$C, 0)))))</f>
        <v>6.0000000000000009</v>
      </c>
      <c r="H651" s="2" t="str">
        <f>IF($E651="","", IF(AND($E651&gt;=INDEX([1]Calc!$E:$E, MATCH("min_fwd_draft_m", [1]Calc!$C:$C, 0)), $E651&lt;=INDEX([1]Calc!$E:$E, MATCH("max_fwd_draft_m", [1]Calc!$C:$C, 0)), $G651&lt;=INDEX([1]Calc!$E:$E, MATCH("theta_max_deg", [1]Calc!$C:$C, 0))), "OK", "CHECK"))</f>
        <v>CHECK</v>
      </c>
      <c r="I651" s="3">
        <f>IF($E651="","", INDEX([1]Calc!$E:$E, MATCH("D_vessel_m", [1]Calc!$C:$C, 0)) - $E651 + $B651)</f>
        <v>1.9112508231881176</v>
      </c>
      <c r="J651" s="3">
        <f>IF($F651="","", INDEX([1]Calc!$E:$E, MATCH("D_vessel_m", [1]Calc!$C:$C, 0)) - $F651 + $B651)</f>
        <v>1.9112508231881176</v>
      </c>
      <c r="K651" s="2" t="str">
        <f t="shared" si="32"/>
        <v>Even Keel</v>
      </c>
    </row>
    <row r="652" spans="1:11" x14ac:dyDescent="0.6">
      <c r="A652" s="2" t="str">
        <f>IF('December_Tide_2025 (2)'!A652="","",'December_Tide_2025 (2)'!A652)</f>
        <v>2025-12-28 02:00:00</v>
      </c>
      <c r="B652" s="3">
        <f>IF('December_Tide_2025 (2)'!B652="","",'December_Tide_2025 (2)'!B652)</f>
        <v>2.0099999999999998</v>
      </c>
      <c r="C652" s="3">
        <f>IF($A652="","", INDEX([1]Calc!$E:$E, MATCH("KminusZ_m", [1]Calc!$C:$C, 0)) + $B652 - INDEX([1]Calc!$E:$E, MATCH("L_ramp_m", [1]Calc!$C:$C, 0)) * TAN(RADIANS(INDEX([1]Calc!$E:$E, MATCH("theta_max_deg", [1]Calc!$C:$C, 0)))))</f>
        <v>3.7487491768118821</v>
      </c>
      <c r="D652" s="3"/>
      <c r="E652" s="3">
        <f t="shared" si="30"/>
        <v>3.7487491768118821</v>
      </c>
      <c r="F652" s="3">
        <f t="shared" si="31"/>
        <v>3.7487491768118821</v>
      </c>
      <c r="G652" s="3">
        <f>IF($E652="","", DEGREES(ATAN((INDEX([1]Calc!$E:$E, MATCH("KminusZ_m", [1]Calc!$C:$C, 0)) - $E652 + $B652) / INDEX([1]Calc!$E:$E, MATCH("L_ramp_m", [1]Calc!$C:$C, 0)))))</f>
        <v>6.0000000000000009</v>
      </c>
      <c r="H652" s="2" t="str">
        <f>IF($E652="","", IF(AND($E652&gt;=INDEX([1]Calc!$E:$E, MATCH("min_fwd_draft_m", [1]Calc!$C:$C, 0)), $E652&lt;=INDEX([1]Calc!$E:$E, MATCH("max_fwd_draft_m", [1]Calc!$C:$C, 0)), $G652&lt;=INDEX([1]Calc!$E:$E, MATCH("theta_max_deg", [1]Calc!$C:$C, 0))), "OK", "CHECK"))</f>
        <v>CHECK</v>
      </c>
      <c r="I652" s="3">
        <f>IF($E652="","", INDEX([1]Calc!$E:$E, MATCH("D_vessel_m", [1]Calc!$C:$C, 0)) - $E652 + $B652)</f>
        <v>1.9112508231881176</v>
      </c>
      <c r="J652" s="3">
        <f>IF($F652="","", INDEX([1]Calc!$E:$E, MATCH("D_vessel_m", [1]Calc!$C:$C, 0)) - $F652 + $B652)</f>
        <v>1.9112508231881176</v>
      </c>
      <c r="K652" s="2" t="str">
        <f t="shared" si="32"/>
        <v>Even Keel</v>
      </c>
    </row>
    <row r="653" spans="1:11" x14ac:dyDescent="0.6">
      <c r="A653" s="2" t="str">
        <f>IF('December_Tide_2025 (2)'!A653="","",'December_Tide_2025 (2)'!A653)</f>
        <v>2025-12-28 03:00:00</v>
      </c>
      <c r="B653" s="3">
        <f>IF('December_Tide_2025 (2)'!B653="","",'December_Tide_2025 (2)'!B653)</f>
        <v>1.54</v>
      </c>
      <c r="C653" s="3">
        <f>IF($A653="","", INDEX([1]Calc!$E:$E, MATCH("KminusZ_m", [1]Calc!$C:$C, 0)) + $B653 - INDEX([1]Calc!$E:$E, MATCH("L_ramp_m", [1]Calc!$C:$C, 0)) * TAN(RADIANS(INDEX([1]Calc!$E:$E, MATCH("theta_max_deg", [1]Calc!$C:$C, 0)))))</f>
        <v>3.2787491768118824</v>
      </c>
      <c r="D653" s="3"/>
      <c r="E653" s="3">
        <f t="shared" si="30"/>
        <v>3.2787491768118824</v>
      </c>
      <c r="F653" s="3">
        <f t="shared" si="31"/>
        <v>3.2787491768118824</v>
      </c>
      <c r="G653" s="3">
        <f>IF($E653="","", DEGREES(ATAN((INDEX([1]Calc!$E:$E, MATCH("KminusZ_m", [1]Calc!$C:$C, 0)) - $E653 + $B653) / INDEX([1]Calc!$E:$E, MATCH("L_ramp_m", [1]Calc!$C:$C, 0)))))</f>
        <v>6.0000000000000009</v>
      </c>
      <c r="H653" s="2" t="str">
        <f>IF($E653="","", IF(AND($E653&gt;=INDEX([1]Calc!$E:$E, MATCH("min_fwd_draft_m", [1]Calc!$C:$C, 0)), $E653&lt;=INDEX([1]Calc!$E:$E, MATCH("max_fwd_draft_m", [1]Calc!$C:$C, 0)), $G653&lt;=INDEX([1]Calc!$E:$E, MATCH("theta_max_deg", [1]Calc!$C:$C, 0))), "OK", "CHECK"))</f>
        <v>OK</v>
      </c>
      <c r="I653" s="3">
        <f>IF($E653="","", INDEX([1]Calc!$E:$E, MATCH("D_vessel_m", [1]Calc!$C:$C, 0)) - $E653 + $B653)</f>
        <v>1.9112508231881176</v>
      </c>
      <c r="J653" s="3">
        <f>IF($F653="","", INDEX([1]Calc!$E:$E, MATCH("D_vessel_m", [1]Calc!$C:$C, 0)) - $F653 + $B653)</f>
        <v>1.9112508231881176</v>
      </c>
      <c r="K653" s="2" t="str">
        <f t="shared" si="32"/>
        <v>Even Keel</v>
      </c>
    </row>
    <row r="654" spans="1:11" x14ac:dyDescent="0.6">
      <c r="A654" s="2" t="str">
        <f>IF('December_Tide_2025 (2)'!A654="","",'December_Tide_2025 (2)'!A654)</f>
        <v>2025-12-28 04:00:00</v>
      </c>
      <c r="B654" s="3">
        <f>IF('December_Tide_2025 (2)'!B654="","",'December_Tide_2025 (2)'!B654)</f>
        <v>1.1399999999999999</v>
      </c>
      <c r="C654" s="3">
        <f>IF($A654="","", INDEX([1]Calc!$E:$E, MATCH("KminusZ_m", [1]Calc!$C:$C, 0)) + $B654 - INDEX([1]Calc!$E:$E, MATCH("L_ramp_m", [1]Calc!$C:$C, 0)) * TAN(RADIANS(INDEX([1]Calc!$E:$E, MATCH("theta_max_deg", [1]Calc!$C:$C, 0)))))</f>
        <v>2.878749176811882</v>
      </c>
      <c r="D654" s="3"/>
      <c r="E654" s="3">
        <f t="shared" si="30"/>
        <v>2.878749176811882</v>
      </c>
      <c r="F654" s="3">
        <f t="shared" si="31"/>
        <v>2.878749176811882</v>
      </c>
      <c r="G654" s="3">
        <f>IF($E654="","", DEGREES(ATAN((INDEX([1]Calc!$E:$E, MATCH("KminusZ_m", [1]Calc!$C:$C, 0)) - $E654 + $B654) / INDEX([1]Calc!$E:$E, MATCH("L_ramp_m", [1]Calc!$C:$C, 0)))))</f>
        <v>6.0000000000000009</v>
      </c>
      <c r="H654" s="2" t="str">
        <f>IF($E654="","", IF(AND($E654&gt;=INDEX([1]Calc!$E:$E, MATCH("min_fwd_draft_m", [1]Calc!$C:$C, 0)), $E654&lt;=INDEX([1]Calc!$E:$E, MATCH("max_fwd_draft_m", [1]Calc!$C:$C, 0)), $G654&lt;=INDEX([1]Calc!$E:$E, MATCH("theta_max_deg", [1]Calc!$C:$C, 0))), "OK", "CHECK"))</f>
        <v>OK</v>
      </c>
      <c r="I654" s="3">
        <f>IF($E654="","", INDEX([1]Calc!$E:$E, MATCH("D_vessel_m", [1]Calc!$C:$C, 0)) - $E654 + $B654)</f>
        <v>1.9112508231881178</v>
      </c>
      <c r="J654" s="3">
        <f>IF($F654="","", INDEX([1]Calc!$E:$E, MATCH("D_vessel_m", [1]Calc!$C:$C, 0)) - $F654 + $B654)</f>
        <v>1.9112508231881178</v>
      </c>
      <c r="K654" s="2" t="str">
        <f t="shared" si="32"/>
        <v>Even Keel</v>
      </c>
    </row>
    <row r="655" spans="1:11" x14ac:dyDescent="0.6">
      <c r="A655" s="2" t="str">
        <f>IF('December_Tide_2025 (2)'!A655="","",'December_Tide_2025 (2)'!A655)</f>
        <v>2025-12-28 05:00:00</v>
      </c>
      <c r="B655" s="3">
        <f>IF('December_Tide_2025 (2)'!B655="","",'December_Tide_2025 (2)'!B655)</f>
        <v>0.9</v>
      </c>
      <c r="C655" s="3">
        <f>IF($A655="","", INDEX([1]Calc!$E:$E, MATCH("KminusZ_m", [1]Calc!$C:$C, 0)) + $B655 - INDEX([1]Calc!$E:$E, MATCH("L_ramp_m", [1]Calc!$C:$C, 0)) * TAN(RADIANS(INDEX([1]Calc!$E:$E, MATCH("theta_max_deg", [1]Calc!$C:$C, 0)))))</f>
        <v>2.6387491768118823</v>
      </c>
      <c r="D655" s="3"/>
      <c r="E655" s="3">
        <f t="shared" si="30"/>
        <v>2.6387491768118823</v>
      </c>
      <c r="F655" s="3">
        <f t="shared" si="31"/>
        <v>2.6387491768118823</v>
      </c>
      <c r="G655" s="3">
        <f>IF($E655="","", DEGREES(ATAN((INDEX([1]Calc!$E:$E, MATCH("KminusZ_m", [1]Calc!$C:$C, 0)) - $E655 + $B655) / INDEX([1]Calc!$E:$E, MATCH("L_ramp_m", [1]Calc!$C:$C, 0)))))</f>
        <v>6.0000000000000009</v>
      </c>
      <c r="H655" s="2" t="str">
        <f>IF($E655="","", IF(AND($E655&gt;=INDEX([1]Calc!$E:$E, MATCH("min_fwd_draft_m", [1]Calc!$C:$C, 0)), $E655&lt;=INDEX([1]Calc!$E:$E, MATCH("max_fwd_draft_m", [1]Calc!$C:$C, 0)), $G655&lt;=INDEX([1]Calc!$E:$E, MATCH("theta_max_deg", [1]Calc!$C:$C, 0))), "OK", "CHECK"))</f>
        <v>OK</v>
      </c>
      <c r="I655" s="3">
        <f>IF($E655="","", INDEX([1]Calc!$E:$E, MATCH("D_vessel_m", [1]Calc!$C:$C, 0)) - $E655 + $B655)</f>
        <v>1.9112508231881176</v>
      </c>
      <c r="J655" s="3">
        <f>IF($F655="","", INDEX([1]Calc!$E:$E, MATCH("D_vessel_m", [1]Calc!$C:$C, 0)) - $F655 + $B655)</f>
        <v>1.9112508231881176</v>
      </c>
      <c r="K655" s="2" t="str">
        <f t="shared" si="32"/>
        <v>Even Keel</v>
      </c>
    </row>
    <row r="656" spans="1:11" x14ac:dyDescent="0.6">
      <c r="A656" s="2" t="str">
        <f>IF('December_Tide_2025 (2)'!A656="","",'December_Tide_2025 (2)'!A656)</f>
        <v>2025-12-28 06:00:00</v>
      </c>
      <c r="B656" s="3">
        <f>IF('December_Tide_2025 (2)'!B656="","",'December_Tide_2025 (2)'!B656)</f>
        <v>0.89</v>
      </c>
      <c r="C656" s="3">
        <f>IF($A656="","", INDEX([1]Calc!$E:$E, MATCH("KminusZ_m", [1]Calc!$C:$C, 0)) + $B656 - INDEX([1]Calc!$E:$E, MATCH("L_ramp_m", [1]Calc!$C:$C, 0)) * TAN(RADIANS(INDEX([1]Calc!$E:$E, MATCH("theta_max_deg", [1]Calc!$C:$C, 0)))))</f>
        <v>2.6287491768118825</v>
      </c>
      <c r="D656" s="3"/>
      <c r="E656" s="3">
        <f t="shared" si="30"/>
        <v>2.6287491768118825</v>
      </c>
      <c r="F656" s="3">
        <f t="shared" si="31"/>
        <v>2.6287491768118825</v>
      </c>
      <c r="G656" s="3">
        <f>IF($E656="","", DEGREES(ATAN((INDEX([1]Calc!$E:$E, MATCH("KminusZ_m", [1]Calc!$C:$C, 0)) - $E656 + $B656) / INDEX([1]Calc!$E:$E, MATCH("L_ramp_m", [1]Calc!$C:$C, 0)))))</f>
        <v>6.0000000000000009</v>
      </c>
      <c r="H656" s="2" t="str">
        <f>IF($E656="","", IF(AND($E656&gt;=INDEX([1]Calc!$E:$E, MATCH("min_fwd_draft_m", [1]Calc!$C:$C, 0)), $E656&lt;=INDEX([1]Calc!$E:$E, MATCH("max_fwd_draft_m", [1]Calc!$C:$C, 0)), $G656&lt;=INDEX([1]Calc!$E:$E, MATCH("theta_max_deg", [1]Calc!$C:$C, 0))), "OK", "CHECK"))</f>
        <v>OK</v>
      </c>
      <c r="I656" s="3">
        <f>IF($E656="","", INDEX([1]Calc!$E:$E, MATCH("D_vessel_m", [1]Calc!$C:$C, 0)) - $E656 + $B656)</f>
        <v>1.9112508231881176</v>
      </c>
      <c r="J656" s="3">
        <f>IF($F656="","", INDEX([1]Calc!$E:$E, MATCH("D_vessel_m", [1]Calc!$C:$C, 0)) - $F656 + $B656)</f>
        <v>1.9112508231881176</v>
      </c>
      <c r="K656" s="2" t="str">
        <f t="shared" si="32"/>
        <v>Even Keel</v>
      </c>
    </row>
    <row r="657" spans="1:11" x14ac:dyDescent="0.6">
      <c r="A657" s="2" t="str">
        <f>IF('December_Tide_2025 (2)'!A657="","",'December_Tide_2025 (2)'!A657)</f>
        <v>2025-12-28 07:00:00</v>
      </c>
      <c r="B657" s="3">
        <f>IF('December_Tide_2025 (2)'!B657="","",'December_Tide_2025 (2)'!B657)</f>
        <v>1.1100000000000001</v>
      </c>
      <c r="C657" s="3">
        <f>IF($A657="","", INDEX([1]Calc!$E:$E, MATCH("KminusZ_m", [1]Calc!$C:$C, 0)) + $B657 - INDEX([1]Calc!$E:$E, MATCH("L_ramp_m", [1]Calc!$C:$C, 0)) * TAN(RADIANS(INDEX([1]Calc!$E:$E, MATCH("theta_max_deg", [1]Calc!$C:$C, 0)))))</f>
        <v>2.8487491768118827</v>
      </c>
      <c r="D657" s="3"/>
      <c r="E657" s="3">
        <f t="shared" si="30"/>
        <v>2.8487491768118827</v>
      </c>
      <c r="F657" s="3">
        <f t="shared" si="31"/>
        <v>2.8487491768118827</v>
      </c>
      <c r="G657" s="3">
        <f>IF($E657="","", DEGREES(ATAN((INDEX([1]Calc!$E:$E, MATCH("KminusZ_m", [1]Calc!$C:$C, 0)) - $E657 + $B657) / INDEX([1]Calc!$E:$E, MATCH("L_ramp_m", [1]Calc!$C:$C, 0)))))</f>
        <v>6</v>
      </c>
      <c r="H657" s="2" t="str">
        <f>IF($E657="","", IF(AND($E657&gt;=INDEX([1]Calc!$E:$E, MATCH("min_fwd_draft_m", [1]Calc!$C:$C, 0)), $E657&lt;=INDEX([1]Calc!$E:$E, MATCH("max_fwd_draft_m", [1]Calc!$C:$C, 0)), $G657&lt;=INDEX([1]Calc!$E:$E, MATCH("theta_max_deg", [1]Calc!$C:$C, 0))), "OK", "CHECK"))</f>
        <v>OK</v>
      </c>
      <c r="I657" s="3">
        <f>IF($E657="","", INDEX([1]Calc!$E:$E, MATCH("D_vessel_m", [1]Calc!$C:$C, 0)) - $E657 + $B657)</f>
        <v>1.9112508231881173</v>
      </c>
      <c r="J657" s="3">
        <f>IF($F657="","", INDEX([1]Calc!$E:$E, MATCH("D_vessel_m", [1]Calc!$C:$C, 0)) - $F657 + $B657)</f>
        <v>1.9112508231881173</v>
      </c>
      <c r="K657" s="2" t="str">
        <f t="shared" si="32"/>
        <v>Even Keel</v>
      </c>
    </row>
    <row r="658" spans="1:11" x14ac:dyDescent="0.6">
      <c r="A658" s="2" t="str">
        <f>IF('December_Tide_2025 (2)'!A658="","",'December_Tide_2025 (2)'!A658)</f>
        <v>2025-12-28 08:00:00</v>
      </c>
      <c r="B658" s="3">
        <f>IF('December_Tide_2025 (2)'!B658="","",'December_Tide_2025 (2)'!B658)</f>
        <v>1.5</v>
      </c>
      <c r="C658" s="3">
        <f>IF($A658="","", INDEX([1]Calc!$E:$E, MATCH("KminusZ_m", [1]Calc!$C:$C, 0)) + $B658 - INDEX([1]Calc!$E:$E, MATCH("L_ramp_m", [1]Calc!$C:$C, 0)) * TAN(RADIANS(INDEX([1]Calc!$E:$E, MATCH("theta_max_deg", [1]Calc!$C:$C, 0)))))</f>
        <v>3.2387491768118823</v>
      </c>
      <c r="D658" s="3"/>
      <c r="E658" s="3">
        <f t="shared" si="30"/>
        <v>3.2387491768118823</v>
      </c>
      <c r="F658" s="3">
        <f t="shared" si="31"/>
        <v>3.2387491768118823</v>
      </c>
      <c r="G658" s="3">
        <f>IF($E658="","", DEGREES(ATAN((INDEX([1]Calc!$E:$E, MATCH("KminusZ_m", [1]Calc!$C:$C, 0)) - $E658 + $B658) / INDEX([1]Calc!$E:$E, MATCH("L_ramp_m", [1]Calc!$C:$C, 0)))))</f>
        <v>6.0000000000000009</v>
      </c>
      <c r="H658" s="2" t="str">
        <f>IF($E658="","", IF(AND($E658&gt;=INDEX([1]Calc!$E:$E, MATCH("min_fwd_draft_m", [1]Calc!$C:$C, 0)), $E658&lt;=INDEX([1]Calc!$E:$E, MATCH("max_fwd_draft_m", [1]Calc!$C:$C, 0)), $G658&lt;=INDEX([1]Calc!$E:$E, MATCH("theta_max_deg", [1]Calc!$C:$C, 0))), "OK", "CHECK"))</f>
        <v>OK</v>
      </c>
      <c r="I658" s="3">
        <f>IF($E658="","", INDEX([1]Calc!$E:$E, MATCH("D_vessel_m", [1]Calc!$C:$C, 0)) - $E658 + $B658)</f>
        <v>1.9112508231881176</v>
      </c>
      <c r="J658" s="3">
        <f>IF($F658="","", INDEX([1]Calc!$E:$E, MATCH("D_vessel_m", [1]Calc!$C:$C, 0)) - $F658 + $B658)</f>
        <v>1.9112508231881176</v>
      </c>
      <c r="K658" s="2" t="str">
        <f t="shared" si="32"/>
        <v>Even Keel</v>
      </c>
    </row>
    <row r="659" spans="1:11" x14ac:dyDescent="0.6">
      <c r="A659" s="2" t="str">
        <f>IF('December_Tide_2025 (2)'!A659="","",'December_Tide_2025 (2)'!A659)</f>
        <v>2025-12-28 09:00:00</v>
      </c>
      <c r="B659" s="3">
        <f>IF('December_Tide_2025 (2)'!B659="","",'December_Tide_2025 (2)'!B659)</f>
        <v>1.97</v>
      </c>
      <c r="C659" s="3">
        <f>IF($A659="","", INDEX([1]Calc!$E:$E, MATCH("KminusZ_m", [1]Calc!$C:$C, 0)) + $B659 - INDEX([1]Calc!$E:$E, MATCH("L_ramp_m", [1]Calc!$C:$C, 0)) * TAN(RADIANS(INDEX([1]Calc!$E:$E, MATCH("theta_max_deg", [1]Calc!$C:$C, 0)))))</f>
        <v>3.7087491768118821</v>
      </c>
      <c r="D659" s="3"/>
      <c r="E659" s="3">
        <f t="shared" si="30"/>
        <v>3.7087491768118821</v>
      </c>
      <c r="F659" s="3">
        <f t="shared" si="31"/>
        <v>3.7087491768118821</v>
      </c>
      <c r="G659" s="3">
        <f>IF($E659="","", DEGREES(ATAN((INDEX([1]Calc!$E:$E, MATCH("KminusZ_m", [1]Calc!$C:$C, 0)) - $E659 + $B659) / INDEX([1]Calc!$E:$E, MATCH("L_ramp_m", [1]Calc!$C:$C, 0)))))</f>
        <v>6.0000000000000009</v>
      </c>
      <c r="H659" s="2" t="str">
        <f>IF($E659="","", IF(AND($E659&gt;=INDEX([1]Calc!$E:$E, MATCH("min_fwd_draft_m", [1]Calc!$C:$C, 0)), $E659&lt;=INDEX([1]Calc!$E:$E, MATCH("max_fwd_draft_m", [1]Calc!$C:$C, 0)), $G659&lt;=INDEX([1]Calc!$E:$E, MATCH("theta_max_deg", [1]Calc!$C:$C, 0))), "OK", "CHECK"))</f>
        <v>CHECK</v>
      </c>
      <c r="I659" s="3">
        <f>IF($E659="","", INDEX([1]Calc!$E:$E, MATCH("D_vessel_m", [1]Calc!$C:$C, 0)) - $E659 + $B659)</f>
        <v>1.9112508231881178</v>
      </c>
      <c r="J659" s="3">
        <f>IF($F659="","", INDEX([1]Calc!$E:$E, MATCH("D_vessel_m", [1]Calc!$C:$C, 0)) - $F659 + $B659)</f>
        <v>1.9112508231881178</v>
      </c>
      <c r="K659" s="2" t="str">
        <f t="shared" si="32"/>
        <v>Even Keel</v>
      </c>
    </row>
    <row r="660" spans="1:11" x14ac:dyDescent="0.6">
      <c r="A660" s="2" t="str">
        <f>IF('December_Tide_2025 (2)'!A660="","",'December_Tide_2025 (2)'!A660)</f>
        <v>2025-12-28 10:00:00</v>
      </c>
      <c r="B660" s="3">
        <f>IF('December_Tide_2025 (2)'!B660="","",'December_Tide_2025 (2)'!B660)</f>
        <v>2.39</v>
      </c>
      <c r="C660" s="3">
        <f>IF($A660="","", INDEX([1]Calc!$E:$E, MATCH("KminusZ_m", [1]Calc!$C:$C, 0)) + $B660 - INDEX([1]Calc!$E:$E, MATCH("L_ramp_m", [1]Calc!$C:$C, 0)) * TAN(RADIANS(INDEX([1]Calc!$E:$E, MATCH("theta_max_deg", [1]Calc!$C:$C, 0)))))</f>
        <v>4.1287491768118834</v>
      </c>
      <c r="D660" s="3"/>
      <c r="E660" s="3">
        <f t="shared" si="30"/>
        <v>4.1287491768118834</v>
      </c>
      <c r="F660" s="3">
        <f t="shared" si="31"/>
        <v>4.1287491768118834</v>
      </c>
      <c r="G660" s="3">
        <f>IF($E660="","", DEGREES(ATAN((INDEX([1]Calc!$E:$E, MATCH("KminusZ_m", [1]Calc!$C:$C, 0)) - $E660 + $B660) / INDEX([1]Calc!$E:$E, MATCH("L_ramp_m", [1]Calc!$C:$C, 0)))))</f>
        <v>5.9999999999999964</v>
      </c>
      <c r="H660" s="2" t="str">
        <f>IF($E660="","", IF(AND($E660&gt;=INDEX([1]Calc!$E:$E, MATCH("min_fwd_draft_m", [1]Calc!$C:$C, 0)), $E660&lt;=INDEX([1]Calc!$E:$E, MATCH("max_fwd_draft_m", [1]Calc!$C:$C, 0)), $G660&lt;=INDEX([1]Calc!$E:$E, MATCH("theta_max_deg", [1]Calc!$C:$C, 0))), "OK", "CHECK"))</f>
        <v>CHECK</v>
      </c>
      <c r="I660" s="3">
        <f>IF($E660="","", INDEX([1]Calc!$E:$E, MATCH("D_vessel_m", [1]Calc!$C:$C, 0)) - $E660 + $B660)</f>
        <v>1.9112508231881167</v>
      </c>
      <c r="J660" s="3">
        <f>IF($F660="","", INDEX([1]Calc!$E:$E, MATCH("D_vessel_m", [1]Calc!$C:$C, 0)) - $F660 + $B660)</f>
        <v>1.9112508231881167</v>
      </c>
      <c r="K660" s="2" t="str">
        <f t="shared" si="32"/>
        <v>Even Keel</v>
      </c>
    </row>
    <row r="661" spans="1:11" x14ac:dyDescent="0.6">
      <c r="A661" s="2" t="str">
        <f>IF('December_Tide_2025 (2)'!A661="","",'December_Tide_2025 (2)'!A661)</f>
        <v>2025-12-28 11:00:00</v>
      </c>
      <c r="B661" s="3">
        <f>IF('December_Tide_2025 (2)'!B661="","",'December_Tide_2025 (2)'!B661)</f>
        <v>2.67</v>
      </c>
      <c r="C661" s="3">
        <f>IF($A661="","", INDEX([1]Calc!$E:$E, MATCH("KminusZ_m", [1]Calc!$C:$C, 0)) + $B661 - INDEX([1]Calc!$E:$E, MATCH("L_ramp_m", [1]Calc!$C:$C, 0)) * TAN(RADIANS(INDEX([1]Calc!$E:$E, MATCH("theta_max_deg", [1]Calc!$C:$C, 0)))))</f>
        <v>4.4087491768118827</v>
      </c>
      <c r="D661" s="3"/>
      <c r="E661" s="3">
        <f t="shared" si="30"/>
        <v>4.4087491768118827</v>
      </c>
      <c r="F661" s="3">
        <f t="shared" si="31"/>
        <v>4.4087491768118827</v>
      </c>
      <c r="G661" s="3">
        <f>IF($E661="","", DEGREES(ATAN((INDEX([1]Calc!$E:$E, MATCH("KminusZ_m", [1]Calc!$C:$C, 0)) - $E661 + $B661) / INDEX([1]Calc!$E:$E, MATCH("L_ramp_m", [1]Calc!$C:$C, 0)))))</f>
        <v>5.9999999999999982</v>
      </c>
      <c r="H661" s="2" t="str">
        <f>IF($E661="","", IF(AND($E661&gt;=INDEX([1]Calc!$E:$E, MATCH("min_fwd_draft_m", [1]Calc!$C:$C, 0)), $E661&lt;=INDEX([1]Calc!$E:$E, MATCH("max_fwd_draft_m", [1]Calc!$C:$C, 0)), $G661&lt;=INDEX([1]Calc!$E:$E, MATCH("theta_max_deg", [1]Calc!$C:$C, 0))), "OK", "CHECK"))</f>
        <v>CHECK</v>
      </c>
      <c r="I661" s="3">
        <f>IF($E661="","", INDEX([1]Calc!$E:$E, MATCH("D_vessel_m", [1]Calc!$C:$C, 0)) - $E661 + $B661)</f>
        <v>1.9112508231881171</v>
      </c>
      <c r="J661" s="3">
        <f>IF($F661="","", INDEX([1]Calc!$E:$E, MATCH("D_vessel_m", [1]Calc!$C:$C, 0)) - $F661 + $B661)</f>
        <v>1.9112508231881171</v>
      </c>
      <c r="K661" s="2" t="str">
        <f t="shared" si="32"/>
        <v>Even Keel</v>
      </c>
    </row>
    <row r="662" spans="1:11" x14ac:dyDescent="0.6">
      <c r="A662" s="2" t="str">
        <f>IF('December_Tide_2025 (2)'!A662="","",'December_Tide_2025 (2)'!A662)</f>
        <v>2025-12-28 12:00:00</v>
      </c>
      <c r="B662" s="3">
        <f>IF('December_Tide_2025 (2)'!B662="","",'December_Tide_2025 (2)'!B662)</f>
        <v>2.73</v>
      </c>
      <c r="C662" s="3">
        <f>IF($A662="","", INDEX([1]Calc!$E:$E, MATCH("KminusZ_m", [1]Calc!$C:$C, 0)) + $B662 - INDEX([1]Calc!$E:$E, MATCH("L_ramp_m", [1]Calc!$C:$C, 0)) * TAN(RADIANS(INDEX([1]Calc!$E:$E, MATCH("theta_max_deg", [1]Calc!$C:$C, 0)))))</f>
        <v>4.4687491768118832</v>
      </c>
      <c r="D662" s="3"/>
      <c r="E662" s="3">
        <f t="shared" si="30"/>
        <v>4.4687491768118832</v>
      </c>
      <c r="F662" s="3">
        <f t="shared" si="31"/>
        <v>4.4687491768118832</v>
      </c>
      <c r="G662" s="3">
        <f>IF($E662="","", DEGREES(ATAN((INDEX([1]Calc!$E:$E, MATCH("KminusZ_m", [1]Calc!$C:$C, 0)) - $E662 + $B662) / INDEX([1]Calc!$E:$E, MATCH("L_ramp_m", [1]Calc!$C:$C, 0)))))</f>
        <v>5.9999999999999964</v>
      </c>
      <c r="H662" s="2" t="str">
        <f>IF($E662="","", IF(AND($E662&gt;=INDEX([1]Calc!$E:$E, MATCH("min_fwd_draft_m", [1]Calc!$C:$C, 0)), $E662&lt;=INDEX([1]Calc!$E:$E, MATCH("max_fwd_draft_m", [1]Calc!$C:$C, 0)), $G662&lt;=INDEX([1]Calc!$E:$E, MATCH("theta_max_deg", [1]Calc!$C:$C, 0))), "OK", "CHECK"))</f>
        <v>CHECK</v>
      </c>
      <c r="I662" s="3">
        <f>IF($E662="","", INDEX([1]Calc!$E:$E, MATCH("D_vessel_m", [1]Calc!$C:$C, 0)) - $E662 + $B662)</f>
        <v>1.9112508231881167</v>
      </c>
      <c r="J662" s="3">
        <f>IF($F662="","", INDEX([1]Calc!$E:$E, MATCH("D_vessel_m", [1]Calc!$C:$C, 0)) - $F662 + $B662)</f>
        <v>1.9112508231881167</v>
      </c>
      <c r="K662" s="2" t="str">
        <f t="shared" si="32"/>
        <v>Even Keel</v>
      </c>
    </row>
    <row r="663" spans="1:11" x14ac:dyDescent="0.6">
      <c r="A663" s="2" t="str">
        <f>IF('December_Tide_2025 (2)'!A663="","",'December_Tide_2025 (2)'!A663)</f>
        <v>2025-12-28 13:00:00</v>
      </c>
      <c r="B663" s="3">
        <f>IF('December_Tide_2025 (2)'!B663="","",'December_Tide_2025 (2)'!B663)</f>
        <v>2.5499999999999998</v>
      </c>
      <c r="C663" s="3">
        <f>IF($A663="","", INDEX([1]Calc!$E:$E, MATCH("KminusZ_m", [1]Calc!$C:$C, 0)) + $B663 - INDEX([1]Calc!$E:$E, MATCH("L_ramp_m", [1]Calc!$C:$C, 0)) * TAN(RADIANS(INDEX([1]Calc!$E:$E, MATCH("theta_max_deg", [1]Calc!$C:$C, 0)))))</f>
        <v>4.2887491768118817</v>
      </c>
      <c r="D663" s="3"/>
      <c r="E663" s="3">
        <f t="shared" si="30"/>
        <v>4.2887491768118817</v>
      </c>
      <c r="F663" s="3">
        <f t="shared" si="31"/>
        <v>4.2887491768118817</v>
      </c>
      <c r="G663" s="3">
        <f>IF($E663="","", DEGREES(ATAN((INDEX([1]Calc!$E:$E, MATCH("KminusZ_m", [1]Calc!$C:$C, 0)) - $E663 + $B663) / INDEX([1]Calc!$E:$E, MATCH("L_ramp_m", [1]Calc!$C:$C, 0)))))</f>
        <v>6.0000000000000027</v>
      </c>
      <c r="H663" s="2" t="str">
        <f>IF($E663="","", IF(AND($E663&gt;=INDEX([1]Calc!$E:$E, MATCH("min_fwd_draft_m", [1]Calc!$C:$C, 0)), $E663&lt;=INDEX([1]Calc!$E:$E, MATCH("max_fwd_draft_m", [1]Calc!$C:$C, 0)), $G663&lt;=INDEX([1]Calc!$E:$E, MATCH("theta_max_deg", [1]Calc!$C:$C, 0))), "OK", "CHECK"))</f>
        <v>CHECK</v>
      </c>
      <c r="I663" s="3">
        <f>IF($E663="","", INDEX([1]Calc!$E:$E, MATCH("D_vessel_m", [1]Calc!$C:$C, 0)) - $E663 + $B663)</f>
        <v>1.911250823188118</v>
      </c>
      <c r="J663" s="3">
        <f>IF($F663="","", INDEX([1]Calc!$E:$E, MATCH("D_vessel_m", [1]Calc!$C:$C, 0)) - $F663 + $B663)</f>
        <v>1.911250823188118</v>
      </c>
      <c r="K663" s="2" t="str">
        <f t="shared" si="32"/>
        <v>Even Keel</v>
      </c>
    </row>
    <row r="664" spans="1:11" x14ac:dyDescent="0.6">
      <c r="A664" s="2" t="str">
        <f>IF('December_Tide_2025 (2)'!A664="","",'December_Tide_2025 (2)'!A664)</f>
        <v>2025-12-28 14:00:00</v>
      </c>
      <c r="B664" s="3">
        <f>IF('December_Tide_2025 (2)'!B664="","",'December_Tide_2025 (2)'!B664)</f>
        <v>2.19</v>
      </c>
      <c r="C664" s="3">
        <f>IF($A664="","", INDEX([1]Calc!$E:$E, MATCH("KminusZ_m", [1]Calc!$C:$C, 0)) + $B664 - INDEX([1]Calc!$E:$E, MATCH("L_ramp_m", [1]Calc!$C:$C, 0)) * TAN(RADIANS(INDEX([1]Calc!$E:$E, MATCH("theta_max_deg", [1]Calc!$C:$C, 0)))))</f>
        <v>3.9287491768118818</v>
      </c>
      <c r="D664" s="3"/>
      <c r="E664" s="3">
        <f t="shared" si="30"/>
        <v>3.9287491768118818</v>
      </c>
      <c r="F664" s="3">
        <f t="shared" si="31"/>
        <v>3.9287491768118818</v>
      </c>
      <c r="G664" s="3">
        <f>IF($E664="","", DEGREES(ATAN((INDEX([1]Calc!$E:$E, MATCH("KminusZ_m", [1]Calc!$C:$C, 0)) - $E664 + $B664) / INDEX([1]Calc!$E:$E, MATCH("L_ramp_m", [1]Calc!$C:$C, 0)))))</f>
        <v>6.0000000000000027</v>
      </c>
      <c r="H664" s="2" t="str">
        <f>IF($E664="","", IF(AND($E664&gt;=INDEX([1]Calc!$E:$E, MATCH("min_fwd_draft_m", [1]Calc!$C:$C, 0)), $E664&lt;=INDEX([1]Calc!$E:$E, MATCH("max_fwd_draft_m", [1]Calc!$C:$C, 0)), $G664&lt;=INDEX([1]Calc!$E:$E, MATCH("theta_max_deg", [1]Calc!$C:$C, 0))), "OK", "CHECK"))</f>
        <v>CHECK</v>
      </c>
      <c r="I664" s="3">
        <f>IF($E664="","", INDEX([1]Calc!$E:$E, MATCH("D_vessel_m", [1]Calc!$C:$C, 0)) - $E664 + $B664)</f>
        <v>1.911250823188118</v>
      </c>
      <c r="J664" s="3">
        <f>IF($F664="","", INDEX([1]Calc!$E:$E, MATCH("D_vessel_m", [1]Calc!$C:$C, 0)) - $F664 + $B664)</f>
        <v>1.911250823188118</v>
      </c>
      <c r="K664" s="2" t="str">
        <f t="shared" si="32"/>
        <v>Even Keel</v>
      </c>
    </row>
    <row r="665" spans="1:11" x14ac:dyDescent="0.6">
      <c r="A665" s="2" t="str">
        <f>IF('December_Tide_2025 (2)'!A665="","",'December_Tide_2025 (2)'!A665)</f>
        <v>2025-12-28 15:00:00</v>
      </c>
      <c r="B665" s="3">
        <f>IF('December_Tide_2025 (2)'!B665="","",'December_Tide_2025 (2)'!B665)</f>
        <v>1.73</v>
      </c>
      <c r="C665" s="3">
        <f>IF($A665="","", INDEX([1]Calc!$E:$E, MATCH("KminusZ_m", [1]Calc!$C:$C, 0)) + $B665 - INDEX([1]Calc!$E:$E, MATCH("L_ramp_m", [1]Calc!$C:$C, 0)) * TAN(RADIANS(INDEX([1]Calc!$E:$E, MATCH("theta_max_deg", [1]Calc!$C:$C, 0)))))</f>
        <v>3.4687491768118828</v>
      </c>
      <c r="D665" s="3"/>
      <c r="E665" s="3">
        <f t="shared" si="30"/>
        <v>3.4687491768118828</v>
      </c>
      <c r="F665" s="3">
        <f t="shared" si="31"/>
        <v>3.4687491768118828</v>
      </c>
      <c r="G665" s="3">
        <f>IF($E665="","", DEGREES(ATAN((INDEX([1]Calc!$E:$E, MATCH("KminusZ_m", [1]Calc!$C:$C, 0)) - $E665 + $B665) / INDEX([1]Calc!$E:$E, MATCH("L_ramp_m", [1]Calc!$C:$C, 0)))))</f>
        <v>5.9999999999999982</v>
      </c>
      <c r="H665" s="2" t="str">
        <f>IF($E665="","", IF(AND($E665&gt;=INDEX([1]Calc!$E:$E, MATCH("min_fwd_draft_m", [1]Calc!$C:$C, 0)), $E665&lt;=INDEX([1]Calc!$E:$E, MATCH("max_fwd_draft_m", [1]Calc!$C:$C, 0)), $G665&lt;=INDEX([1]Calc!$E:$E, MATCH("theta_max_deg", [1]Calc!$C:$C, 0))), "OK", "CHECK"))</f>
        <v>OK</v>
      </c>
      <c r="I665" s="3">
        <f>IF($E665="","", INDEX([1]Calc!$E:$E, MATCH("D_vessel_m", [1]Calc!$C:$C, 0)) - $E665 + $B665)</f>
        <v>1.9112508231881171</v>
      </c>
      <c r="J665" s="3">
        <f>IF($F665="","", INDEX([1]Calc!$E:$E, MATCH("D_vessel_m", [1]Calc!$C:$C, 0)) - $F665 + $B665)</f>
        <v>1.9112508231881171</v>
      </c>
      <c r="K665" s="2" t="str">
        <f t="shared" si="32"/>
        <v>Even Keel</v>
      </c>
    </row>
    <row r="666" spans="1:11" x14ac:dyDescent="0.6">
      <c r="A666" s="2" t="str">
        <f>IF('December_Tide_2025 (2)'!A666="","",'December_Tide_2025 (2)'!A666)</f>
        <v>2025-12-28 16:00:00</v>
      </c>
      <c r="B666" s="3">
        <f>IF('December_Tide_2025 (2)'!B666="","",'December_Tide_2025 (2)'!B666)</f>
        <v>1.28</v>
      </c>
      <c r="C666" s="3">
        <f>IF($A666="","", INDEX([1]Calc!$E:$E, MATCH("KminusZ_m", [1]Calc!$C:$C, 0)) + $B666 - INDEX([1]Calc!$E:$E, MATCH("L_ramp_m", [1]Calc!$C:$C, 0)) * TAN(RADIANS(INDEX([1]Calc!$E:$E, MATCH("theta_max_deg", [1]Calc!$C:$C, 0)))))</f>
        <v>3.0187491768118826</v>
      </c>
      <c r="D666" s="3"/>
      <c r="E666" s="3">
        <f t="shared" si="30"/>
        <v>3.0187491768118826</v>
      </c>
      <c r="F666" s="3">
        <f t="shared" si="31"/>
        <v>3.0187491768118826</v>
      </c>
      <c r="G666" s="3">
        <f>IF($E666="","", DEGREES(ATAN((INDEX([1]Calc!$E:$E, MATCH("KminusZ_m", [1]Calc!$C:$C, 0)) - $E666 + $B666) / INDEX([1]Calc!$E:$E, MATCH("L_ramp_m", [1]Calc!$C:$C, 0)))))</f>
        <v>6</v>
      </c>
      <c r="H666" s="2" t="str">
        <f>IF($E666="","", IF(AND($E666&gt;=INDEX([1]Calc!$E:$E, MATCH("min_fwd_draft_m", [1]Calc!$C:$C, 0)), $E666&lt;=INDEX([1]Calc!$E:$E, MATCH("max_fwd_draft_m", [1]Calc!$C:$C, 0)), $G666&lt;=INDEX([1]Calc!$E:$E, MATCH("theta_max_deg", [1]Calc!$C:$C, 0))), "OK", "CHECK"))</f>
        <v>OK</v>
      </c>
      <c r="I666" s="3">
        <f>IF($E666="","", INDEX([1]Calc!$E:$E, MATCH("D_vessel_m", [1]Calc!$C:$C, 0)) - $E666 + $B666)</f>
        <v>1.9112508231881173</v>
      </c>
      <c r="J666" s="3">
        <f>IF($F666="","", INDEX([1]Calc!$E:$E, MATCH("D_vessel_m", [1]Calc!$C:$C, 0)) - $F666 + $B666)</f>
        <v>1.9112508231881173</v>
      </c>
      <c r="K666" s="2" t="str">
        <f t="shared" si="32"/>
        <v>Even Keel</v>
      </c>
    </row>
    <row r="667" spans="1:11" x14ac:dyDescent="0.6">
      <c r="A667" s="2" t="str">
        <f>IF('December_Tide_2025 (2)'!A667="","",'December_Tide_2025 (2)'!A667)</f>
        <v>2025-12-28 17:00:00</v>
      </c>
      <c r="B667" s="3">
        <f>IF('December_Tide_2025 (2)'!B667="","",'December_Tide_2025 (2)'!B667)</f>
        <v>0.97</v>
      </c>
      <c r="C667" s="3">
        <f>IF($A667="","", INDEX([1]Calc!$E:$E, MATCH("KminusZ_m", [1]Calc!$C:$C, 0)) + $B667 - INDEX([1]Calc!$E:$E, MATCH("L_ramp_m", [1]Calc!$C:$C, 0)) * TAN(RADIANS(INDEX([1]Calc!$E:$E, MATCH("theta_max_deg", [1]Calc!$C:$C, 0)))))</f>
        <v>2.7087491768118821</v>
      </c>
      <c r="D667" s="3"/>
      <c r="E667" s="3">
        <f t="shared" si="30"/>
        <v>2.7087491768118821</v>
      </c>
      <c r="F667" s="3">
        <f t="shared" si="31"/>
        <v>2.7087491768118821</v>
      </c>
      <c r="G667" s="3">
        <f>IF($E667="","", DEGREES(ATAN((INDEX([1]Calc!$E:$E, MATCH("KminusZ_m", [1]Calc!$C:$C, 0)) - $E667 + $B667) / INDEX([1]Calc!$E:$E, MATCH("L_ramp_m", [1]Calc!$C:$C, 0)))))</f>
        <v>6.0000000000000009</v>
      </c>
      <c r="H667" s="2" t="str">
        <f>IF($E667="","", IF(AND($E667&gt;=INDEX([1]Calc!$E:$E, MATCH("min_fwd_draft_m", [1]Calc!$C:$C, 0)), $E667&lt;=INDEX([1]Calc!$E:$E, MATCH("max_fwd_draft_m", [1]Calc!$C:$C, 0)), $G667&lt;=INDEX([1]Calc!$E:$E, MATCH("theta_max_deg", [1]Calc!$C:$C, 0))), "OK", "CHECK"))</f>
        <v>OK</v>
      </c>
      <c r="I667" s="3">
        <f>IF($E667="","", INDEX([1]Calc!$E:$E, MATCH("D_vessel_m", [1]Calc!$C:$C, 0)) - $E667 + $B667)</f>
        <v>1.9112508231881178</v>
      </c>
      <c r="J667" s="3">
        <f>IF($F667="","", INDEX([1]Calc!$E:$E, MATCH("D_vessel_m", [1]Calc!$C:$C, 0)) - $F667 + $B667)</f>
        <v>1.9112508231881178</v>
      </c>
      <c r="K667" s="2" t="str">
        <f t="shared" si="32"/>
        <v>Even Keel</v>
      </c>
    </row>
    <row r="668" spans="1:11" x14ac:dyDescent="0.6">
      <c r="A668" s="2" t="str">
        <f>IF('December_Tide_2025 (2)'!A668="","",'December_Tide_2025 (2)'!A668)</f>
        <v>2025-12-28 18:00:00</v>
      </c>
      <c r="B668" s="3">
        <f>IF('December_Tide_2025 (2)'!B668="","",'December_Tide_2025 (2)'!B668)</f>
        <v>0.86</v>
      </c>
      <c r="C668" s="3">
        <f>IF($A668="","", INDEX([1]Calc!$E:$E, MATCH("KminusZ_m", [1]Calc!$C:$C, 0)) + $B668 - INDEX([1]Calc!$E:$E, MATCH("L_ramp_m", [1]Calc!$C:$C, 0)) * TAN(RADIANS(INDEX([1]Calc!$E:$E, MATCH("theta_max_deg", [1]Calc!$C:$C, 0)))))</f>
        <v>2.5987491768118822</v>
      </c>
      <c r="D668" s="3"/>
      <c r="E668" s="3">
        <f t="shared" si="30"/>
        <v>2.5987491768118822</v>
      </c>
      <c r="F668" s="3">
        <f t="shared" si="31"/>
        <v>2.5987491768118822</v>
      </c>
      <c r="G668" s="3">
        <f>IF($E668="","", DEGREES(ATAN((INDEX([1]Calc!$E:$E, MATCH("KminusZ_m", [1]Calc!$C:$C, 0)) - $E668 + $B668) / INDEX([1]Calc!$E:$E, MATCH("L_ramp_m", [1]Calc!$C:$C, 0)))))</f>
        <v>6.0000000000000009</v>
      </c>
      <c r="H668" s="2" t="str">
        <f>IF($E668="","", IF(AND($E668&gt;=INDEX([1]Calc!$E:$E, MATCH("min_fwd_draft_m", [1]Calc!$C:$C, 0)), $E668&lt;=INDEX([1]Calc!$E:$E, MATCH("max_fwd_draft_m", [1]Calc!$C:$C, 0)), $G668&lt;=INDEX([1]Calc!$E:$E, MATCH("theta_max_deg", [1]Calc!$C:$C, 0))), "OK", "CHECK"))</f>
        <v>OK</v>
      </c>
      <c r="I668" s="3">
        <f>IF($E668="","", INDEX([1]Calc!$E:$E, MATCH("D_vessel_m", [1]Calc!$C:$C, 0)) - $E668 + $B668)</f>
        <v>1.9112508231881176</v>
      </c>
      <c r="J668" s="3">
        <f>IF($F668="","", INDEX([1]Calc!$E:$E, MATCH("D_vessel_m", [1]Calc!$C:$C, 0)) - $F668 + $B668)</f>
        <v>1.9112508231881176</v>
      </c>
      <c r="K668" s="2" t="str">
        <f t="shared" si="32"/>
        <v>Even Keel</v>
      </c>
    </row>
    <row r="669" spans="1:11" x14ac:dyDescent="0.6">
      <c r="A669" s="2" t="str">
        <f>IF('December_Tide_2025 (2)'!A669="","",'December_Tide_2025 (2)'!A669)</f>
        <v>2025-12-28 19:00:00</v>
      </c>
      <c r="B669" s="3">
        <f>IF('December_Tide_2025 (2)'!B669="","",'December_Tide_2025 (2)'!B669)</f>
        <v>0.99</v>
      </c>
      <c r="C669" s="3">
        <f>IF($A669="","", INDEX([1]Calc!$E:$E, MATCH("KminusZ_m", [1]Calc!$C:$C, 0)) + $B669 - INDEX([1]Calc!$E:$E, MATCH("L_ramp_m", [1]Calc!$C:$C, 0)) * TAN(RADIANS(INDEX([1]Calc!$E:$E, MATCH("theta_max_deg", [1]Calc!$C:$C, 0)))))</f>
        <v>2.7287491768118826</v>
      </c>
      <c r="D669" s="3"/>
      <c r="E669" s="3">
        <f t="shared" si="30"/>
        <v>2.7287491768118826</v>
      </c>
      <c r="F669" s="3">
        <f t="shared" si="31"/>
        <v>2.7287491768118826</v>
      </c>
      <c r="G669" s="3">
        <f>IF($E669="","", DEGREES(ATAN((INDEX([1]Calc!$E:$E, MATCH("KminusZ_m", [1]Calc!$C:$C, 0)) - $E669 + $B669) / INDEX([1]Calc!$E:$E, MATCH("L_ramp_m", [1]Calc!$C:$C, 0)))))</f>
        <v>6</v>
      </c>
      <c r="H669" s="2" t="str">
        <f>IF($E669="","", IF(AND($E669&gt;=INDEX([1]Calc!$E:$E, MATCH("min_fwd_draft_m", [1]Calc!$C:$C, 0)), $E669&lt;=INDEX([1]Calc!$E:$E, MATCH("max_fwd_draft_m", [1]Calc!$C:$C, 0)), $G669&lt;=INDEX([1]Calc!$E:$E, MATCH("theta_max_deg", [1]Calc!$C:$C, 0))), "OK", "CHECK"))</f>
        <v>OK</v>
      </c>
      <c r="I669" s="3">
        <f>IF($E669="","", INDEX([1]Calc!$E:$E, MATCH("D_vessel_m", [1]Calc!$C:$C, 0)) - $E669 + $B669)</f>
        <v>1.9112508231881173</v>
      </c>
      <c r="J669" s="3">
        <f>IF($F669="","", INDEX([1]Calc!$E:$E, MATCH("D_vessel_m", [1]Calc!$C:$C, 0)) - $F669 + $B669)</f>
        <v>1.9112508231881173</v>
      </c>
      <c r="K669" s="2" t="str">
        <f t="shared" si="32"/>
        <v>Even Keel</v>
      </c>
    </row>
    <row r="670" spans="1:11" x14ac:dyDescent="0.6">
      <c r="A670" s="2" t="str">
        <f>IF('December_Tide_2025 (2)'!A670="","",'December_Tide_2025 (2)'!A670)</f>
        <v>2025-12-28 20:00:00</v>
      </c>
      <c r="B670" s="3">
        <f>IF('December_Tide_2025 (2)'!B670="","",'December_Tide_2025 (2)'!B670)</f>
        <v>1.33</v>
      </c>
      <c r="C670" s="3">
        <f>IF($A670="","", INDEX([1]Calc!$E:$E, MATCH("KminusZ_m", [1]Calc!$C:$C, 0)) + $B670 - INDEX([1]Calc!$E:$E, MATCH("L_ramp_m", [1]Calc!$C:$C, 0)) * TAN(RADIANS(INDEX([1]Calc!$E:$E, MATCH("theta_max_deg", [1]Calc!$C:$C, 0)))))</f>
        <v>3.0687491768118824</v>
      </c>
      <c r="D670" s="3"/>
      <c r="E670" s="3">
        <f t="shared" si="30"/>
        <v>3.0687491768118824</v>
      </c>
      <c r="F670" s="3">
        <f t="shared" si="31"/>
        <v>3.0687491768118824</v>
      </c>
      <c r="G670" s="3">
        <f>IF($E670="","", DEGREES(ATAN((INDEX([1]Calc!$E:$E, MATCH("KminusZ_m", [1]Calc!$C:$C, 0)) - $E670 + $B670) / INDEX([1]Calc!$E:$E, MATCH("L_ramp_m", [1]Calc!$C:$C, 0)))))</f>
        <v>6.0000000000000009</v>
      </c>
      <c r="H670" s="2" t="str">
        <f>IF($E670="","", IF(AND($E670&gt;=INDEX([1]Calc!$E:$E, MATCH("min_fwd_draft_m", [1]Calc!$C:$C, 0)), $E670&lt;=INDEX([1]Calc!$E:$E, MATCH("max_fwd_draft_m", [1]Calc!$C:$C, 0)), $G670&lt;=INDEX([1]Calc!$E:$E, MATCH("theta_max_deg", [1]Calc!$C:$C, 0))), "OK", "CHECK"))</f>
        <v>OK</v>
      </c>
      <c r="I670" s="3">
        <f>IF($E670="","", INDEX([1]Calc!$E:$E, MATCH("D_vessel_m", [1]Calc!$C:$C, 0)) - $E670 + $B670)</f>
        <v>1.9112508231881176</v>
      </c>
      <c r="J670" s="3">
        <f>IF($F670="","", INDEX([1]Calc!$E:$E, MATCH("D_vessel_m", [1]Calc!$C:$C, 0)) - $F670 + $B670)</f>
        <v>1.9112508231881176</v>
      </c>
      <c r="K670" s="2" t="str">
        <f t="shared" si="32"/>
        <v>Even Keel</v>
      </c>
    </row>
    <row r="671" spans="1:11" x14ac:dyDescent="0.6">
      <c r="A671" s="2" t="str">
        <f>IF('December_Tide_2025 (2)'!A671="","",'December_Tide_2025 (2)'!A671)</f>
        <v>2025-12-28 21:00:00</v>
      </c>
      <c r="B671" s="3">
        <f>IF('December_Tide_2025 (2)'!B671="","",'December_Tide_2025 (2)'!B671)</f>
        <v>1.78</v>
      </c>
      <c r="C671" s="3">
        <f>IF($A671="","", INDEX([1]Calc!$E:$E, MATCH("KminusZ_m", [1]Calc!$C:$C, 0)) + $B671 - INDEX([1]Calc!$E:$E, MATCH("L_ramp_m", [1]Calc!$C:$C, 0)) * TAN(RADIANS(INDEX([1]Calc!$E:$E, MATCH("theta_max_deg", [1]Calc!$C:$C, 0)))))</f>
        <v>3.5187491768118826</v>
      </c>
      <c r="D671" s="3"/>
      <c r="E671" s="3">
        <f t="shared" si="30"/>
        <v>3.5187491768118826</v>
      </c>
      <c r="F671" s="3">
        <f t="shared" si="31"/>
        <v>3.5187491768118826</v>
      </c>
      <c r="G671" s="3">
        <f>IF($E671="","", DEGREES(ATAN((INDEX([1]Calc!$E:$E, MATCH("KminusZ_m", [1]Calc!$C:$C, 0)) - $E671 + $B671) / INDEX([1]Calc!$E:$E, MATCH("L_ramp_m", [1]Calc!$C:$C, 0)))))</f>
        <v>6</v>
      </c>
      <c r="H671" s="2" t="str">
        <f>IF($E671="","", IF(AND($E671&gt;=INDEX([1]Calc!$E:$E, MATCH("min_fwd_draft_m", [1]Calc!$C:$C, 0)), $E671&lt;=INDEX([1]Calc!$E:$E, MATCH("max_fwd_draft_m", [1]Calc!$C:$C, 0)), $G671&lt;=INDEX([1]Calc!$E:$E, MATCH("theta_max_deg", [1]Calc!$C:$C, 0))), "OK", "CHECK"))</f>
        <v>CHECK</v>
      </c>
      <c r="I671" s="3">
        <f>IF($E671="","", INDEX([1]Calc!$E:$E, MATCH("D_vessel_m", [1]Calc!$C:$C, 0)) - $E671 + $B671)</f>
        <v>1.9112508231881173</v>
      </c>
      <c r="J671" s="3">
        <f>IF($F671="","", INDEX([1]Calc!$E:$E, MATCH("D_vessel_m", [1]Calc!$C:$C, 0)) - $F671 + $B671)</f>
        <v>1.9112508231881173</v>
      </c>
      <c r="K671" s="2" t="str">
        <f t="shared" si="32"/>
        <v>Even Keel</v>
      </c>
    </row>
    <row r="672" spans="1:11" x14ac:dyDescent="0.6">
      <c r="A672" s="2" t="str">
        <f>IF('December_Tide_2025 (2)'!A672="","",'December_Tide_2025 (2)'!A672)</f>
        <v>2025-12-28 22:00:00</v>
      </c>
      <c r="B672" s="3">
        <f>IF('December_Tide_2025 (2)'!B672="","",'December_Tide_2025 (2)'!B672)</f>
        <v>2.2400000000000002</v>
      </c>
      <c r="C672" s="3">
        <f>IF($A672="","", INDEX([1]Calc!$E:$E, MATCH("KminusZ_m", [1]Calc!$C:$C, 0)) + $B672 - INDEX([1]Calc!$E:$E, MATCH("L_ramp_m", [1]Calc!$C:$C, 0)) * TAN(RADIANS(INDEX([1]Calc!$E:$E, MATCH("theta_max_deg", [1]Calc!$C:$C, 0)))))</f>
        <v>3.9787491768118826</v>
      </c>
      <c r="D672" s="3"/>
      <c r="E672" s="3">
        <f t="shared" si="30"/>
        <v>3.9787491768118826</v>
      </c>
      <c r="F672" s="3">
        <f t="shared" si="31"/>
        <v>3.9787491768118826</v>
      </c>
      <c r="G672" s="3">
        <f>IF($E672="","", DEGREES(ATAN((INDEX([1]Calc!$E:$E, MATCH("KminusZ_m", [1]Calc!$C:$C, 0)) - $E672 + $B672) / INDEX([1]Calc!$E:$E, MATCH("L_ramp_m", [1]Calc!$C:$C, 0)))))</f>
        <v>6.0000000000000009</v>
      </c>
      <c r="H672" s="2" t="str">
        <f>IF($E672="","", IF(AND($E672&gt;=INDEX([1]Calc!$E:$E, MATCH("min_fwd_draft_m", [1]Calc!$C:$C, 0)), $E672&lt;=INDEX([1]Calc!$E:$E, MATCH("max_fwd_draft_m", [1]Calc!$C:$C, 0)), $G672&lt;=INDEX([1]Calc!$E:$E, MATCH("theta_max_deg", [1]Calc!$C:$C, 0))), "OK", "CHECK"))</f>
        <v>CHECK</v>
      </c>
      <c r="I672" s="3">
        <f>IF($E672="","", INDEX([1]Calc!$E:$E, MATCH("D_vessel_m", [1]Calc!$C:$C, 0)) - $E672 + $B672)</f>
        <v>1.9112508231881176</v>
      </c>
      <c r="J672" s="3">
        <f>IF($F672="","", INDEX([1]Calc!$E:$E, MATCH("D_vessel_m", [1]Calc!$C:$C, 0)) - $F672 + $B672)</f>
        <v>1.9112508231881176</v>
      </c>
      <c r="K672" s="2" t="str">
        <f t="shared" si="32"/>
        <v>Even Keel</v>
      </c>
    </row>
    <row r="673" spans="1:11" x14ac:dyDescent="0.6">
      <c r="A673" s="2" t="str">
        <f>IF('December_Tide_2025 (2)'!A673="","",'December_Tide_2025 (2)'!A673)</f>
        <v>2025-12-28 23:00:00</v>
      </c>
      <c r="B673" s="3">
        <f>IF('December_Tide_2025 (2)'!B673="","",'December_Tide_2025 (2)'!B673)</f>
        <v>2.58</v>
      </c>
      <c r="C673" s="3">
        <f>IF($A673="","", INDEX([1]Calc!$E:$E, MATCH("KminusZ_m", [1]Calc!$C:$C, 0)) + $B673 - INDEX([1]Calc!$E:$E, MATCH("L_ramp_m", [1]Calc!$C:$C, 0)) * TAN(RADIANS(INDEX([1]Calc!$E:$E, MATCH("theta_max_deg", [1]Calc!$C:$C, 0)))))</f>
        <v>4.3187491768118829</v>
      </c>
      <c r="D673" s="3"/>
      <c r="E673" s="3">
        <f t="shared" si="30"/>
        <v>4.3187491768118829</v>
      </c>
      <c r="F673" s="3">
        <f t="shared" si="31"/>
        <v>4.3187491768118829</v>
      </c>
      <c r="G673" s="3">
        <f>IF($E673="","", DEGREES(ATAN((INDEX([1]Calc!$E:$E, MATCH("KminusZ_m", [1]Calc!$C:$C, 0)) - $E673 + $B673) / INDEX([1]Calc!$E:$E, MATCH("L_ramp_m", [1]Calc!$C:$C, 0)))))</f>
        <v>5.9999999999999982</v>
      </c>
      <c r="H673" s="2" t="str">
        <f>IF($E673="","", IF(AND($E673&gt;=INDEX([1]Calc!$E:$E, MATCH("min_fwd_draft_m", [1]Calc!$C:$C, 0)), $E673&lt;=INDEX([1]Calc!$E:$E, MATCH("max_fwd_draft_m", [1]Calc!$C:$C, 0)), $G673&lt;=INDEX([1]Calc!$E:$E, MATCH("theta_max_deg", [1]Calc!$C:$C, 0))), "OK", "CHECK"))</f>
        <v>CHECK</v>
      </c>
      <c r="I673" s="3">
        <f>IF($E673="","", INDEX([1]Calc!$E:$E, MATCH("D_vessel_m", [1]Calc!$C:$C, 0)) - $E673 + $B673)</f>
        <v>1.9112508231881171</v>
      </c>
      <c r="J673" s="3">
        <f>IF($F673="","", INDEX([1]Calc!$E:$E, MATCH("D_vessel_m", [1]Calc!$C:$C, 0)) - $F673 + $B673)</f>
        <v>1.9112508231881171</v>
      </c>
      <c r="K673" s="2" t="str">
        <f t="shared" si="32"/>
        <v>Even Keel</v>
      </c>
    </row>
    <row r="674" spans="1:11" x14ac:dyDescent="0.6">
      <c r="A674" s="2" t="str">
        <f>IF('December_Tide_2025 (2)'!A674="","",'December_Tide_2025 (2)'!A674)</f>
        <v>2025-12-29 00:00:00</v>
      </c>
      <c r="B674" s="3">
        <f>IF('December_Tide_2025 (2)'!B674="","",'December_Tide_2025 (2)'!B674)</f>
        <v>2.73</v>
      </c>
      <c r="C674" s="3">
        <f>IF($A674="","", INDEX([1]Calc!$E:$E, MATCH("KminusZ_m", [1]Calc!$C:$C, 0)) + $B674 - INDEX([1]Calc!$E:$E, MATCH("L_ramp_m", [1]Calc!$C:$C, 0)) * TAN(RADIANS(INDEX([1]Calc!$E:$E, MATCH("theta_max_deg", [1]Calc!$C:$C, 0)))))</f>
        <v>4.4687491768118832</v>
      </c>
      <c r="D674" s="3"/>
      <c r="E674" s="3">
        <f t="shared" si="30"/>
        <v>4.4687491768118832</v>
      </c>
      <c r="F674" s="3">
        <f t="shared" si="31"/>
        <v>4.4687491768118832</v>
      </c>
      <c r="G674" s="3">
        <f>IF($E674="","", DEGREES(ATAN((INDEX([1]Calc!$E:$E, MATCH("KminusZ_m", [1]Calc!$C:$C, 0)) - $E674 + $B674) / INDEX([1]Calc!$E:$E, MATCH("L_ramp_m", [1]Calc!$C:$C, 0)))))</f>
        <v>5.9999999999999964</v>
      </c>
      <c r="H674" s="2" t="str">
        <f>IF($E674="","", IF(AND($E674&gt;=INDEX([1]Calc!$E:$E, MATCH("min_fwd_draft_m", [1]Calc!$C:$C, 0)), $E674&lt;=INDEX([1]Calc!$E:$E, MATCH("max_fwd_draft_m", [1]Calc!$C:$C, 0)), $G674&lt;=INDEX([1]Calc!$E:$E, MATCH("theta_max_deg", [1]Calc!$C:$C, 0))), "OK", "CHECK"))</f>
        <v>CHECK</v>
      </c>
      <c r="I674" s="3">
        <f>IF($E674="","", INDEX([1]Calc!$E:$E, MATCH("D_vessel_m", [1]Calc!$C:$C, 0)) - $E674 + $B674)</f>
        <v>1.9112508231881167</v>
      </c>
      <c r="J674" s="3">
        <f>IF($F674="","", INDEX([1]Calc!$E:$E, MATCH("D_vessel_m", [1]Calc!$C:$C, 0)) - $F674 + $B674)</f>
        <v>1.9112508231881167</v>
      </c>
      <c r="K674" s="2" t="str">
        <f t="shared" si="32"/>
        <v>Even Keel</v>
      </c>
    </row>
    <row r="675" spans="1:11" x14ac:dyDescent="0.6">
      <c r="A675" s="2" t="str">
        <f>IF('December_Tide_2025 (2)'!A675="","",'December_Tide_2025 (2)'!A675)</f>
        <v>2025-12-29 01:00:00</v>
      </c>
      <c r="B675" s="3">
        <f>IF('December_Tide_2025 (2)'!B675="","",'December_Tide_2025 (2)'!B675)</f>
        <v>2.65</v>
      </c>
      <c r="C675" s="3">
        <f>IF($A675="","", INDEX([1]Calc!$E:$E, MATCH("KminusZ_m", [1]Calc!$C:$C, 0)) + $B675 - INDEX([1]Calc!$E:$E, MATCH("L_ramp_m", [1]Calc!$C:$C, 0)) * TAN(RADIANS(INDEX([1]Calc!$E:$E, MATCH("theta_max_deg", [1]Calc!$C:$C, 0)))))</f>
        <v>4.3887491768118831</v>
      </c>
      <c r="D675" s="3"/>
      <c r="E675" s="3">
        <f t="shared" si="30"/>
        <v>4.3887491768118831</v>
      </c>
      <c r="F675" s="3">
        <f t="shared" si="31"/>
        <v>4.3887491768118831</v>
      </c>
      <c r="G675" s="3">
        <f>IF($E675="","", DEGREES(ATAN((INDEX([1]Calc!$E:$E, MATCH("KminusZ_m", [1]Calc!$C:$C, 0)) - $E675 + $B675) / INDEX([1]Calc!$E:$E, MATCH("L_ramp_m", [1]Calc!$C:$C, 0)))))</f>
        <v>5.9999999999999964</v>
      </c>
      <c r="H675" s="2" t="str">
        <f>IF($E675="","", IF(AND($E675&gt;=INDEX([1]Calc!$E:$E, MATCH("min_fwd_draft_m", [1]Calc!$C:$C, 0)), $E675&lt;=INDEX([1]Calc!$E:$E, MATCH("max_fwd_draft_m", [1]Calc!$C:$C, 0)), $G675&lt;=INDEX([1]Calc!$E:$E, MATCH("theta_max_deg", [1]Calc!$C:$C, 0))), "OK", "CHECK"))</f>
        <v>CHECK</v>
      </c>
      <c r="I675" s="3">
        <f>IF($E675="","", INDEX([1]Calc!$E:$E, MATCH("D_vessel_m", [1]Calc!$C:$C, 0)) - $E675 + $B675)</f>
        <v>1.9112508231881167</v>
      </c>
      <c r="J675" s="3">
        <f>IF($F675="","", INDEX([1]Calc!$E:$E, MATCH("D_vessel_m", [1]Calc!$C:$C, 0)) - $F675 + $B675)</f>
        <v>1.9112508231881167</v>
      </c>
      <c r="K675" s="2" t="str">
        <f t="shared" si="32"/>
        <v>Even Keel</v>
      </c>
    </row>
    <row r="676" spans="1:11" x14ac:dyDescent="0.6">
      <c r="A676" s="2" t="str">
        <f>IF('December_Tide_2025 (2)'!A676="","",'December_Tide_2025 (2)'!A676)</f>
        <v>2025-12-29 02:00:00</v>
      </c>
      <c r="B676" s="3">
        <f>IF('December_Tide_2025 (2)'!B676="","",'December_Tide_2025 (2)'!B676)</f>
        <v>2.35</v>
      </c>
      <c r="C676" s="3">
        <f>IF($A676="","", INDEX([1]Calc!$E:$E, MATCH("KminusZ_m", [1]Calc!$C:$C, 0)) + $B676 - INDEX([1]Calc!$E:$E, MATCH("L_ramp_m", [1]Calc!$C:$C, 0)) * TAN(RADIANS(INDEX([1]Calc!$E:$E, MATCH("theta_max_deg", [1]Calc!$C:$C, 0)))))</f>
        <v>4.0887491768118824</v>
      </c>
      <c r="D676" s="3"/>
      <c r="E676" s="3">
        <f t="shared" si="30"/>
        <v>4.0887491768118824</v>
      </c>
      <c r="F676" s="3">
        <f t="shared" si="31"/>
        <v>4.0887491768118824</v>
      </c>
      <c r="G676" s="3">
        <f>IF($E676="","", DEGREES(ATAN((INDEX([1]Calc!$E:$E, MATCH("KminusZ_m", [1]Calc!$C:$C, 0)) - $E676 + $B676) / INDEX([1]Calc!$E:$E, MATCH("L_ramp_m", [1]Calc!$C:$C, 0)))))</f>
        <v>6.0000000000000009</v>
      </c>
      <c r="H676" s="2" t="str">
        <f>IF($E676="","", IF(AND($E676&gt;=INDEX([1]Calc!$E:$E, MATCH("min_fwd_draft_m", [1]Calc!$C:$C, 0)), $E676&lt;=INDEX([1]Calc!$E:$E, MATCH("max_fwd_draft_m", [1]Calc!$C:$C, 0)), $G676&lt;=INDEX([1]Calc!$E:$E, MATCH("theta_max_deg", [1]Calc!$C:$C, 0))), "OK", "CHECK"))</f>
        <v>CHECK</v>
      </c>
      <c r="I676" s="3">
        <f>IF($E676="","", INDEX([1]Calc!$E:$E, MATCH("D_vessel_m", [1]Calc!$C:$C, 0)) - $E676 + $B676)</f>
        <v>1.9112508231881176</v>
      </c>
      <c r="J676" s="3">
        <f>IF($F676="","", INDEX([1]Calc!$E:$E, MATCH("D_vessel_m", [1]Calc!$C:$C, 0)) - $F676 + $B676)</f>
        <v>1.9112508231881176</v>
      </c>
      <c r="K676" s="2" t="str">
        <f t="shared" si="32"/>
        <v>Even Keel</v>
      </c>
    </row>
    <row r="677" spans="1:11" x14ac:dyDescent="0.6">
      <c r="A677" s="2" t="str">
        <f>IF('December_Tide_2025 (2)'!A677="","",'December_Tide_2025 (2)'!A677)</f>
        <v>2025-12-29 03:00:00</v>
      </c>
      <c r="B677" s="3">
        <f>IF('December_Tide_2025 (2)'!B677="","",'December_Tide_2025 (2)'!B677)</f>
        <v>1.92</v>
      </c>
      <c r="C677" s="3">
        <f>IF($A677="","", INDEX([1]Calc!$E:$E, MATCH("KminusZ_m", [1]Calc!$C:$C, 0)) + $B677 - INDEX([1]Calc!$E:$E, MATCH("L_ramp_m", [1]Calc!$C:$C, 0)) * TAN(RADIANS(INDEX([1]Calc!$E:$E, MATCH("theta_max_deg", [1]Calc!$C:$C, 0)))))</f>
        <v>3.6587491768118823</v>
      </c>
      <c r="D677" s="3"/>
      <c r="E677" s="3">
        <f t="shared" si="30"/>
        <v>3.6587491768118823</v>
      </c>
      <c r="F677" s="3">
        <f t="shared" si="31"/>
        <v>3.6587491768118823</v>
      </c>
      <c r="G677" s="3">
        <f>IF($E677="","", DEGREES(ATAN((INDEX([1]Calc!$E:$E, MATCH("KminusZ_m", [1]Calc!$C:$C, 0)) - $E677 + $B677) / INDEX([1]Calc!$E:$E, MATCH("L_ramp_m", [1]Calc!$C:$C, 0)))))</f>
        <v>6.0000000000000009</v>
      </c>
      <c r="H677" s="2" t="str">
        <f>IF($E677="","", IF(AND($E677&gt;=INDEX([1]Calc!$E:$E, MATCH("min_fwd_draft_m", [1]Calc!$C:$C, 0)), $E677&lt;=INDEX([1]Calc!$E:$E, MATCH("max_fwd_draft_m", [1]Calc!$C:$C, 0)), $G677&lt;=INDEX([1]Calc!$E:$E, MATCH("theta_max_deg", [1]Calc!$C:$C, 0))), "OK", "CHECK"))</f>
        <v>CHECK</v>
      </c>
      <c r="I677" s="3">
        <f>IF($E677="","", INDEX([1]Calc!$E:$E, MATCH("D_vessel_m", [1]Calc!$C:$C, 0)) - $E677 + $B677)</f>
        <v>1.9112508231881176</v>
      </c>
      <c r="J677" s="3">
        <f>IF($F677="","", INDEX([1]Calc!$E:$E, MATCH("D_vessel_m", [1]Calc!$C:$C, 0)) - $F677 + $B677)</f>
        <v>1.9112508231881176</v>
      </c>
      <c r="K677" s="2" t="str">
        <f t="shared" si="32"/>
        <v>Even Keel</v>
      </c>
    </row>
    <row r="678" spans="1:11" x14ac:dyDescent="0.6">
      <c r="A678" s="2" t="str">
        <f>IF('December_Tide_2025 (2)'!A678="","",'December_Tide_2025 (2)'!A678)</f>
        <v>2025-12-29 04:00:00</v>
      </c>
      <c r="B678" s="3">
        <f>IF('December_Tide_2025 (2)'!B678="","",'December_Tide_2025 (2)'!B678)</f>
        <v>1.45</v>
      </c>
      <c r="C678" s="3">
        <f>IF($A678="","", INDEX([1]Calc!$E:$E, MATCH("KminusZ_m", [1]Calc!$C:$C, 0)) + $B678 - INDEX([1]Calc!$E:$E, MATCH("L_ramp_m", [1]Calc!$C:$C, 0)) * TAN(RADIANS(INDEX([1]Calc!$E:$E, MATCH("theta_max_deg", [1]Calc!$C:$C, 0)))))</f>
        <v>3.1887491768118825</v>
      </c>
      <c r="D678" s="3"/>
      <c r="E678" s="3">
        <f t="shared" si="30"/>
        <v>3.1887491768118825</v>
      </c>
      <c r="F678" s="3">
        <f t="shared" si="31"/>
        <v>3.1887491768118825</v>
      </c>
      <c r="G678" s="3">
        <f>IF($E678="","", DEGREES(ATAN((INDEX([1]Calc!$E:$E, MATCH("KminusZ_m", [1]Calc!$C:$C, 0)) - $E678 + $B678) / INDEX([1]Calc!$E:$E, MATCH("L_ramp_m", [1]Calc!$C:$C, 0)))))</f>
        <v>6</v>
      </c>
      <c r="H678" s="2" t="str">
        <f>IF($E678="","", IF(AND($E678&gt;=INDEX([1]Calc!$E:$E, MATCH("min_fwd_draft_m", [1]Calc!$C:$C, 0)), $E678&lt;=INDEX([1]Calc!$E:$E, MATCH("max_fwd_draft_m", [1]Calc!$C:$C, 0)), $G678&lt;=INDEX([1]Calc!$E:$E, MATCH("theta_max_deg", [1]Calc!$C:$C, 0))), "OK", "CHECK"))</f>
        <v>OK</v>
      </c>
      <c r="I678" s="3">
        <f>IF($E678="","", INDEX([1]Calc!$E:$E, MATCH("D_vessel_m", [1]Calc!$C:$C, 0)) - $E678 + $B678)</f>
        <v>1.9112508231881173</v>
      </c>
      <c r="J678" s="3">
        <f>IF($F678="","", INDEX([1]Calc!$E:$E, MATCH("D_vessel_m", [1]Calc!$C:$C, 0)) - $F678 + $B678)</f>
        <v>1.9112508231881173</v>
      </c>
      <c r="K678" s="2" t="str">
        <f t="shared" si="32"/>
        <v>Even Keel</v>
      </c>
    </row>
    <row r="679" spans="1:11" x14ac:dyDescent="0.6">
      <c r="A679" s="2" t="str">
        <f>IF('December_Tide_2025 (2)'!A679="","",'December_Tide_2025 (2)'!A679)</f>
        <v>2025-12-29 05:00:00</v>
      </c>
      <c r="B679" s="3">
        <f>IF('December_Tide_2025 (2)'!B679="","",'December_Tide_2025 (2)'!B679)</f>
        <v>1.07</v>
      </c>
      <c r="C679" s="3">
        <f>IF($A679="","", INDEX([1]Calc!$E:$E, MATCH("KminusZ_m", [1]Calc!$C:$C, 0)) + $B679 - INDEX([1]Calc!$E:$E, MATCH("L_ramp_m", [1]Calc!$C:$C, 0)) * TAN(RADIANS(INDEX([1]Calc!$E:$E, MATCH("theta_max_deg", [1]Calc!$C:$C, 0)))))</f>
        <v>2.8087491768118826</v>
      </c>
      <c r="D679" s="3"/>
      <c r="E679" s="3">
        <f t="shared" si="30"/>
        <v>2.8087491768118826</v>
      </c>
      <c r="F679" s="3">
        <f t="shared" si="31"/>
        <v>2.8087491768118826</v>
      </c>
      <c r="G679" s="3">
        <f>IF($E679="","", DEGREES(ATAN((INDEX([1]Calc!$E:$E, MATCH("KminusZ_m", [1]Calc!$C:$C, 0)) - $E679 + $B679) / INDEX([1]Calc!$E:$E, MATCH("L_ramp_m", [1]Calc!$C:$C, 0)))))</f>
        <v>6</v>
      </c>
      <c r="H679" s="2" t="str">
        <f>IF($E679="","", IF(AND($E679&gt;=INDEX([1]Calc!$E:$E, MATCH("min_fwd_draft_m", [1]Calc!$C:$C, 0)), $E679&lt;=INDEX([1]Calc!$E:$E, MATCH("max_fwd_draft_m", [1]Calc!$C:$C, 0)), $G679&lt;=INDEX([1]Calc!$E:$E, MATCH("theta_max_deg", [1]Calc!$C:$C, 0))), "OK", "CHECK"))</f>
        <v>OK</v>
      </c>
      <c r="I679" s="3">
        <f>IF($E679="","", INDEX([1]Calc!$E:$E, MATCH("D_vessel_m", [1]Calc!$C:$C, 0)) - $E679 + $B679)</f>
        <v>1.9112508231881173</v>
      </c>
      <c r="J679" s="3">
        <f>IF($F679="","", INDEX([1]Calc!$E:$E, MATCH("D_vessel_m", [1]Calc!$C:$C, 0)) - $F679 + $B679)</f>
        <v>1.9112508231881173</v>
      </c>
      <c r="K679" s="2" t="str">
        <f t="shared" si="32"/>
        <v>Even Keel</v>
      </c>
    </row>
    <row r="680" spans="1:11" x14ac:dyDescent="0.6">
      <c r="A680" s="2" t="str">
        <f>IF('December_Tide_2025 (2)'!A680="","",'December_Tide_2025 (2)'!A680)</f>
        <v>2025-12-29 06:00:00</v>
      </c>
      <c r="B680" s="3">
        <f>IF('December_Tide_2025 (2)'!B680="","",'December_Tide_2025 (2)'!B680)</f>
        <v>0.88</v>
      </c>
      <c r="C680" s="3">
        <f>IF($A680="","", INDEX([1]Calc!$E:$E, MATCH("KminusZ_m", [1]Calc!$C:$C, 0)) + $B680 - INDEX([1]Calc!$E:$E, MATCH("L_ramp_m", [1]Calc!$C:$C, 0)) * TAN(RADIANS(INDEX([1]Calc!$E:$E, MATCH("theta_max_deg", [1]Calc!$C:$C, 0)))))</f>
        <v>2.6187491768118822</v>
      </c>
      <c r="D680" s="3"/>
      <c r="E680" s="3">
        <f t="shared" si="30"/>
        <v>2.6187491768118822</v>
      </c>
      <c r="F680" s="3">
        <f t="shared" si="31"/>
        <v>2.6187491768118822</v>
      </c>
      <c r="G680" s="3">
        <f>IF($E680="","", DEGREES(ATAN((INDEX([1]Calc!$E:$E, MATCH("KminusZ_m", [1]Calc!$C:$C, 0)) - $E680 + $B680) / INDEX([1]Calc!$E:$E, MATCH("L_ramp_m", [1]Calc!$C:$C, 0)))))</f>
        <v>6.0000000000000009</v>
      </c>
      <c r="H680" s="2" t="str">
        <f>IF($E680="","", IF(AND($E680&gt;=INDEX([1]Calc!$E:$E, MATCH("min_fwd_draft_m", [1]Calc!$C:$C, 0)), $E680&lt;=INDEX([1]Calc!$E:$E, MATCH("max_fwd_draft_m", [1]Calc!$C:$C, 0)), $G680&lt;=INDEX([1]Calc!$E:$E, MATCH("theta_max_deg", [1]Calc!$C:$C, 0))), "OK", "CHECK"))</f>
        <v>OK</v>
      </c>
      <c r="I680" s="3">
        <f>IF($E680="","", INDEX([1]Calc!$E:$E, MATCH("D_vessel_m", [1]Calc!$C:$C, 0)) - $E680 + $B680)</f>
        <v>1.9112508231881176</v>
      </c>
      <c r="J680" s="3">
        <f>IF($F680="","", INDEX([1]Calc!$E:$E, MATCH("D_vessel_m", [1]Calc!$C:$C, 0)) - $F680 + $B680)</f>
        <v>1.9112508231881176</v>
      </c>
      <c r="K680" s="2" t="str">
        <f t="shared" si="32"/>
        <v>Even Keel</v>
      </c>
    </row>
    <row r="681" spans="1:11" x14ac:dyDescent="0.6">
      <c r="A681" s="2" t="str">
        <f>IF('December_Tide_2025 (2)'!A681="","",'December_Tide_2025 (2)'!A681)</f>
        <v>2025-12-29 07:00:00</v>
      </c>
      <c r="B681" s="3">
        <f>IF('December_Tide_2025 (2)'!B681="","",'December_Tide_2025 (2)'!B681)</f>
        <v>0.91</v>
      </c>
      <c r="C681" s="3">
        <f>IF($A681="","", INDEX([1]Calc!$E:$E, MATCH("KminusZ_m", [1]Calc!$C:$C, 0)) + $B681 - INDEX([1]Calc!$E:$E, MATCH("L_ramp_m", [1]Calc!$C:$C, 0)) * TAN(RADIANS(INDEX([1]Calc!$E:$E, MATCH("theta_max_deg", [1]Calc!$C:$C, 0)))))</f>
        <v>2.6487491768118825</v>
      </c>
      <c r="D681" s="3"/>
      <c r="E681" s="3">
        <f t="shared" si="30"/>
        <v>2.6487491768118825</v>
      </c>
      <c r="F681" s="3">
        <f t="shared" si="31"/>
        <v>2.6487491768118825</v>
      </c>
      <c r="G681" s="3">
        <f>IF($E681="","", DEGREES(ATAN((INDEX([1]Calc!$E:$E, MATCH("KminusZ_m", [1]Calc!$C:$C, 0)) - $E681 + $B681) / INDEX([1]Calc!$E:$E, MATCH("L_ramp_m", [1]Calc!$C:$C, 0)))))</f>
        <v>6.0000000000000009</v>
      </c>
      <c r="H681" s="2" t="str">
        <f>IF($E681="","", IF(AND($E681&gt;=INDEX([1]Calc!$E:$E, MATCH("min_fwd_draft_m", [1]Calc!$C:$C, 0)), $E681&lt;=INDEX([1]Calc!$E:$E, MATCH("max_fwd_draft_m", [1]Calc!$C:$C, 0)), $G681&lt;=INDEX([1]Calc!$E:$E, MATCH("theta_max_deg", [1]Calc!$C:$C, 0))), "OK", "CHECK"))</f>
        <v>OK</v>
      </c>
      <c r="I681" s="3">
        <f>IF($E681="","", INDEX([1]Calc!$E:$E, MATCH("D_vessel_m", [1]Calc!$C:$C, 0)) - $E681 + $B681)</f>
        <v>1.9112508231881176</v>
      </c>
      <c r="J681" s="3">
        <f>IF($F681="","", INDEX([1]Calc!$E:$E, MATCH("D_vessel_m", [1]Calc!$C:$C, 0)) - $F681 + $B681)</f>
        <v>1.9112508231881176</v>
      </c>
      <c r="K681" s="2" t="str">
        <f t="shared" si="32"/>
        <v>Even Keel</v>
      </c>
    </row>
    <row r="682" spans="1:11" x14ac:dyDescent="0.6">
      <c r="A682" s="2" t="str">
        <f>IF('December_Tide_2025 (2)'!A682="","",'December_Tide_2025 (2)'!A682)</f>
        <v>2025-12-29 08:00:00</v>
      </c>
      <c r="B682" s="3">
        <f>IF('December_Tide_2025 (2)'!B682="","",'December_Tide_2025 (2)'!B682)</f>
        <v>1.17</v>
      </c>
      <c r="C682" s="3">
        <f>IF($A682="","", INDEX([1]Calc!$E:$E, MATCH("KminusZ_m", [1]Calc!$C:$C, 0)) + $B682 - INDEX([1]Calc!$E:$E, MATCH("L_ramp_m", [1]Calc!$C:$C, 0)) * TAN(RADIANS(INDEX([1]Calc!$E:$E, MATCH("theta_max_deg", [1]Calc!$C:$C, 0)))))</f>
        <v>2.9087491768118823</v>
      </c>
      <c r="D682" s="3"/>
      <c r="E682" s="3">
        <f t="shared" si="30"/>
        <v>2.9087491768118823</v>
      </c>
      <c r="F682" s="3">
        <f t="shared" si="31"/>
        <v>2.9087491768118823</v>
      </c>
      <c r="G682" s="3">
        <f>IF($E682="","", DEGREES(ATAN((INDEX([1]Calc!$E:$E, MATCH("KminusZ_m", [1]Calc!$C:$C, 0)) - $E682 + $B682) / INDEX([1]Calc!$E:$E, MATCH("L_ramp_m", [1]Calc!$C:$C, 0)))))</f>
        <v>6.0000000000000009</v>
      </c>
      <c r="H682" s="2" t="str">
        <f>IF($E682="","", IF(AND($E682&gt;=INDEX([1]Calc!$E:$E, MATCH("min_fwd_draft_m", [1]Calc!$C:$C, 0)), $E682&lt;=INDEX([1]Calc!$E:$E, MATCH("max_fwd_draft_m", [1]Calc!$C:$C, 0)), $G682&lt;=INDEX([1]Calc!$E:$E, MATCH("theta_max_deg", [1]Calc!$C:$C, 0))), "OK", "CHECK"))</f>
        <v>OK</v>
      </c>
      <c r="I682" s="3">
        <f>IF($E682="","", INDEX([1]Calc!$E:$E, MATCH("D_vessel_m", [1]Calc!$C:$C, 0)) - $E682 + $B682)</f>
        <v>1.9112508231881176</v>
      </c>
      <c r="J682" s="3">
        <f>IF($F682="","", INDEX([1]Calc!$E:$E, MATCH("D_vessel_m", [1]Calc!$C:$C, 0)) - $F682 + $B682)</f>
        <v>1.9112508231881176</v>
      </c>
      <c r="K682" s="2" t="str">
        <f t="shared" si="32"/>
        <v>Even Keel</v>
      </c>
    </row>
    <row r="683" spans="1:11" x14ac:dyDescent="0.6">
      <c r="A683" s="2" t="str">
        <f>IF('December_Tide_2025 (2)'!A683="","",'December_Tide_2025 (2)'!A683)</f>
        <v>2025-12-29 09:00:00</v>
      </c>
      <c r="B683" s="3">
        <f>IF('December_Tide_2025 (2)'!B683="","",'December_Tide_2025 (2)'!B683)</f>
        <v>1.59</v>
      </c>
      <c r="C683" s="3">
        <f>IF($A683="","", INDEX([1]Calc!$E:$E, MATCH("KminusZ_m", [1]Calc!$C:$C, 0)) + $B683 - INDEX([1]Calc!$E:$E, MATCH("L_ramp_m", [1]Calc!$C:$C, 0)) * TAN(RADIANS(INDEX([1]Calc!$E:$E, MATCH("theta_max_deg", [1]Calc!$C:$C, 0)))))</f>
        <v>3.3287491768118822</v>
      </c>
      <c r="D683" s="3"/>
      <c r="E683" s="3">
        <f t="shared" si="30"/>
        <v>3.3287491768118822</v>
      </c>
      <c r="F683" s="3">
        <f t="shared" si="31"/>
        <v>3.3287491768118822</v>
      </c>
      <c r="G683" s="3">
        <f>IF($E683="","", DEGREES(ATAN((INDEX([1]Calc!$E:$E, MATCH("KminusZ_m", [1]Calc!$C:$C, 0)) - $E683 + $B683) / INDEX([1]Calc!$E:$E, MATCH("L_ramp_m", [1]Calc!$C:$C, 0)))))</f>
        <v>6.0000000000000009</v>
      </c>
      <c r="H683" s="2" t="str">
        <f>IF($E683="","", IF(AND($E683&gt;=INDEX([1]Calc!$E:$E, MATCH("min_fwd_draft_m", [1]Calc!$C:$C, 0)), $E683&lt;=INDEX([1]Calc!$E:$E, MATCH("max_fwd_draft_m", [1]Calc!$C:$C, 0)), $G683&lt;=INDEX([1]Calc!$E:$E, MATCH("theta_max_deg", [1]Calc!$C:$C, 0))), "OK", "CHECK"))</f>
        <v>OK</v>
      </c>
      <c r="I683" s="3">
        <f>IF($E683="","", INDEX([1]Calc!$E:$E, MATCH("D_vessel_m", [1]Calc!$C:$C, 0)) - $E683 + $B683)</f>
        <v>1.9112508231881178</v>
      </c>
      <c r="J683" s="3">
        <f>IF($F683="","", INDEX([1]Calc!$E:$E, MATCH("D_vessel_m", [1]Calc!$C:$C, 0)) - $F683 + $B683)</f>
        <v>1.9112508231881178</v>
      </c>
      <c r="K683" s="2" t="str">
        <f t="shared" si="32"/>
        <v>Even Keel</v>
      </c>
    </row>
    <row r="684" spans="1:11" x14ac:dyDescent="0.6">
      <c r="A684" s="2" t="str">
        <f>IF('December_Tide_2025 (2)'!A684="","",'December_Tide_2025 (2)'!A684)</f>
        <v>2025-12-29 10:00:00</v>
      </c>
      <c r="B684" s="3">
        <f>IF('December_Tide_2025 (2)'!B684="","",'December_Tide_2025 (2)'!B684)</f>
        <v>2.06</v>
      </c>
      <c r="C684" s="3">
        <f>IF($A684="","", INDEX([1]Calc!$E:$E, MATCH("KminusZ_m", [1]Calc!$C:$C, 0)) + $B684 - INDEX([1]Calc!$E:$E, MATCH("L_ramp_m", [1]Calc!$C:$C, 0)) * TAN(RADIANS(INDEX([1]Calc!$E:$E, MATCH("theta_max_deg", [1]Calc!$C:$C, 0)))))</f>
        <v>3.7987491768118828</v>
      </c>
      <c r="D684" s="3"/>
      <c r="E684" s="3">
        <f t="shared" si="30"/>
        <v>3.7987491768118828</v>
      </c>
      <c r="F684" s="3">
        <f t="shared" si="31"/>
        <v>3.7987491768118828</v>
      </c>
      <c r="G684" s="3">
        <f>IF($E684="","", DEGREES(ATAN((INDEX([1]Calc!$E:$E, MATCH("KminusZ_m", [1]Calc!$C:$C, 0)) - $E684 + $B684) / INDEX([1]Calc!$E:$E, MATCH("L_ramp_m", [1]Calc!$C:$C, 0)))))</f>
        <v>5.9999999999999982</v>
      </c>
      <c r="H684" s="2" t="str">
        <f>IF($E684="","", IF(AND($E684&gt;=INDEX([1]Calc!$E:$E, MATCH("min_fwd_draft_m", [1]Calc!$C:$C, 0)), $E684&lt;=INDEX([1]Calc!$E:$E, MATCH("max_fwd_draft_m", [1]Calc!$C:$C, 0)), $G684&lt;=INDEX([1]Calc!$E:$E, MATCH("theta_max_deg", [1]Calc!$C:$C, 0))), "OK", "CHECK"))</f>
        <v>CHECK</v>
      </c>
      <c r="I684" s="3">
        <f>IF($E684="","", INDEX([1]Calc!$E:$E, MATCH("D_vessel_m", [1]Calc!$C:$C, 0)) - $E684 + $B684)</f>
        <v>1.9112508231881171</v>
      </c>
      <c r="J684" s="3">
        <f>IF($F684="","", INDEX([1]Calc!$E:$E, MATCH("D_vessel_m", [1]Calc!$C:$C, 0)) - $F684 + $B684)</f>
        <v>1.9112508231881171</v>
      </c>
      <c r="K684" s="2" t="str">
        <f t="shared" si="32"/>
        <v>Even Keel</v>
      </c>
    </row>
    <row r="685" spans="1:11" x14ac:dyDescent="0.6">
      <c r="A685" s="2" t="str">
        <f>IF('December_Tide_2025 (2)'!A685="","",'December_Tide_2025 (2)'!A685)</f>
        <v>2025-12-29 11:00:00</v>
      </c>
      <c r="B685" s="3">
        <f>IF('December_Tide_2025 (2)'!B685="","",'December_Tide_2025 (2)'!B685)</f>
        <v>2.46</v>
      </c>
      <c r="C685" s="3">
        <f>IF($A685="","", INDEX([1]Calc!$E:$E, MATCH("KminusZ_m", [1]Calc!$C:$C, 0)) + $B685 - INDEX([1]Calc!$E:$E, MATCH("L_ramp_m", [1]Calc!$C:$C, 0)) * TAN(RADIANS(INDEX([1]Calc!$E:$E, MATCH("theta_max_deg", [1]Calc!$C:$C, 0)))))</f>
        <v>4.1987491768118819</v>
      </c>
      <c r="D685" s="3"/>
      <c r="E685" s="3">
        <f t="shared" si="30"/>
        <v>4.1987491768118819</v>
      </c>
      <c r="F685" s="3">
        <f t="shared" si="31"/>
        <v>4.1987491768118819</v>
      </c>
      <c r="G685" s="3">
        <f>IF($E685="","", DEGREES(ATAN((INDEX([1]Calc!$E:$E, MATCH("KminusZ_m", [1]Calc!$C:$C, 0)) - $E685 + $B685) / INDEX([1]Calc!$E:$E, MATCH("L_ramp_m", [1]Calc!$C:$C, 0)))))</f>
        <v>6.0000000000000027</v>
      </c>
      <c r="H685" s="2" t="str">
        <f>IF($E685="","", IF(AND($E685&gt;=INDEX([1]Calc!$E:$E, MATCH("min_fwd_draft_m", [1]Calc!$C:$C, 0)), $E685&lt;=INDEX([1]Calc!$E:$E, MATCH("max_fwd_draft_m", [1]Calc!$C:$C, 0)), $G685&lt;=INDEX([1]Calc!$E:$E, MATCH("theta_max_deg", [1]Calc!$C:$C, 0))), "OK", "CHECK"))</f>
        <v>CHECK</v>
      </c>
      <c r="I685" s="3">
        <f>IF($E685="","", INDEX([1]Calc!$E:$E, MATCH("D_vessel_m", [1]Calc!$C:$C, 0)) - $E685 + $B685)</f>
        <v>1.911250823188118</v>
      </c>
      <c r="J685" s="3">
        <f>IF($F685="","", INDEX([1]Calc!$E:$E, MATCH("D_vessel_m", [1]Calc!$C:$C, 0)) - $F685 + $B685)</f>
        <v>1.911250823188118</v>
      </c>
      <c r="K685" s="2" t="str">
        <f t="shared" si="32"/>
        <v>Even Keel</v>
      </c>
    </row>
    <row r="686" spans="1:11" x14ac:dyDescent="0.6">
      <c r="A686" s="2" t="str">
        <f>IF('December_Tide_2025 (2)'!A686="","",'December_Tide_2025 (2)'!A686)</f>
        <v>2025-12-29 12:00:00</v>
      </c>
      <c r="B686" s="3">
        <f>IF('December_Tide_2025 (2)'!B686="","",'December_Tide_2025 (2)'!B686)</f>
        <v>2.7</v>
      </c>
      <c r="C686" s="3">
        <f>IF($A686="","", INDEX([1]Calc!$E:$E, MATCH("KminusZ_m", [1]Calc!$C:$C, 0)) + $B686 - INDEX([1]Calc!$E:$E, MATCH("L_ramp_m", [1]Calc!$C:$C, 0)) * TAN(RADIANS(INDEX([1]Calc!$E:$E, MATCH("theta_max_deg", [1]Calc!$C:$C, 0)))))</f>
        <v>4.4387491768118821</v>
      </c>
      <c r="D686" s="3"/>
      <c r="E686" s="3">
        <f t="shared" si="30"/>
        <v>4.4387491768118821</v>
      </c>
      <c r="F686" s="3">
        <f t="shared" si="31"/>
        <v>4.4387491768118821</v>
      </c>
      <c r="G686" s="3">
        <f>IF($E686="","", DEGREES(ATAN((INDEX([1]Calc!$E:$E, MATCH("KminusZ_m", [1]Calc!$C:$C, 0)) - $E686 + $B686) / INDEX([1]Calc!$E:$E, MATCH("L_ramp_m", [1]Calc!$C:$C, 0)))))</f>
        <v>6.0000000000000027</v>
      </c>
      <c r="H686" s="2" t="str">
        <f>IF($E686="","", IF(AND($E686&gt;=INDEX([1]Calc!$E:$E, MATCH("min_fwd_draft_m", [1]Calc!$C:$C, 0)), $E686&lt;=INDEX([1]Calc!$E:$E, MATCH("max_fwd_draft_m", [1]Calc!$C:$C, 0)), $G686&lt;=INDEX([1]Calc!$E:$E, MATCH("theta_max_deg", [1]Calc!$C:$C, 0))), "OK", "CHECK"))</f>
        <v>CHECK</v>
      </c>
      <c r="I686" s="3">
        <f>IF($E686="","", INDEX([1]Calc!$E:$E, MATCH("D_vessel_m", [1]Calc!$C:$C, 0)) - $E686 + $B686)</f>
        <v>1.911250823188118</v>
      </c>
      <c r="J686" s="3">
        <f>IF($F686="","", INDEX([1]Calc!$E:$E, MATCH("D_vessel_m", [1]Calc!$C:$C, 0)) - $F686 + $B686)</f>
        <v>1.911250823188118</v>
      </c>
      <c r="K686" s="2" t="str">
        <f t="shared" si="32"/>
        <v>Even Keel</v>
      </c>
    </row>
    <row r="687" spans="1:11" x14ac:dyDescent="0.6">
      <c r="A687" s="2" t="str">
        <f>IF('December_Tide_2025 (2)'!A687="","",'December_Tide_2025 (2)'!A687)</f>
        <v>2025-12-29 13:00:00</v>
      </c>
      <c r="B687" s="3">
        <f>IF('December_Tide_2025 (2)'!B687="","",'December_Tide_2025 (2)'!B687)</f>
        <v>2.71</v>
      </c>
      <c r="C687" s="3">
        <f>IF($A687="","", INDEX([1]Calc!$E:$E, MATCH("KminusZ_m", [1]Calc!$C:$C, 0)) + $B687 - INDEX([1]Calc!$E:$E, MATCH("L_ramp_m", [1]Calc!$C:$C, 0)) * TAN(RADIANS(INDEX([1]Calc!$E:$E, MATCH("theta_max_deg", [1]Calc!$C:$C, 0)))))</f>
        <v>4.4487491768118819</v>
      </c>
      <c r="D687" s="3"/>
      <c r="E687" s="3">
        <f t="shared" si="30"/>
        <v>4.4487491768118819</v>
      </c>
      <c r="F687" s="3">
        <f t="shared" si="31"/>
        <v>4.4487491768118819</v>
      </c>
      <c r="G687" s="3">
        <f>IF($E687="","", DEGREES(ATAN((INDEX([1]Calc!$E:$E, MATCH("KminusZ_m", [1]Calc!$C:$C, 0)) - $E687 + $B687) / INDEX([1]Calc!$E:$E, MATCH("L_ramp_m", [1]Calc!$C:$C, 0)))))</f>
        <v>6.0000000000000027</v>
      </c>
      <c r="H687" s="2" t="str">
        <f>IF($E687="","", IF(AND($E687&gt;=INDEX([1]Calc!$E:$E, MATCH("min_fwd_draft_m", [1]Calc!$C:$C, 0)), $E687&lt;=INDEX([1]Calc!$E:$E, MATCH("max_fwd_draft_m", [1]Calc!$C:$C, 0)), $G687&lt;=INDEX([1]Calc!$E:$E, MATCH("theta_max_deg", [1]Calc!$C:$C, 0))), "OK", "CHECK"))</f>
        <v>CHECK</v>
      </c>
      <c r="I687" s="3">
        <f>IF($E687="","", INDEX([1]Calc!$E:$E, MATCH("D_vessel_m", [1]Calc!$C:$C, 0)) - $E687 + $B687)</f>
        <v>1.911250823188118</v>
      </c>
      <c r="J687" s="3">
        <f>IF($F687="","", INDEX([1]Calc!$E:$E, MATCH("D_vessel_m", [1]Calc!$C:$C, 0)) - $F687 + $B687)</f>
        <v>1.911250823188118</v>
      </c>
      <c r="K687" s="2" t="str">
        <f t="shared" si="32"/>
        <v>Even Keel</v>
      </c>
    </row>
    <row r="688" spans="1:11" x14ac:dyDescent="0.6">
      <c r="A688" s="2" t="str">
        <f>IF('December_Tide_2025 (2)'!A688="","",'December_Tide_2025 (2)'!A688)</f>
        <v>2025-12-29 14:00:00</v>
      </c>
      <c r="B688" s="3">
        <f>IF('December_Tide_2025 (2)'!B688="","",'December_Tide_2025 (2)'!B688)</f>
        <v>2.4900000000000002</v>
      </c>
      <c r="C688" s="3">
        <f>IF($A688="","", INDEX([1]Calc!$E:$E, MATCH("KminusZ_m", [1]Calc!$C:$C, 0)) + $B688 - INDEX([1]Calc!$E:$E, MATCH("L_ramp_m", [1]Calc!$C:$C, 0)) * TAN(RADIANS(INDEX([1]Calc!$E:$E, MATCH("theta_max_deg", [1]Calc!$C:$C, 0)))))</f>
        <v>4.228749176811883</v>
      </c>
      <c r="D688" s="3"/>
      <c r="E688" s="3">
        <f t="shared" si="30"/>
        <v>4.228749176811883</v>
      </c>
      <c r="F688" s="3">
        <f t="shared" si="31"/>
        <v>4.228749176811883</v>
      </c>
      <c r="G688" s="3">
        <f>IF($E688="","", DEGREES(ATAN((INDEX([1]Calc!$E:$E, MATCH("KminusZ_m", [1]Calc!$C:$C, 0)) - $E688 + $B688) / INDEX([1]Calc!$E:$E, MATCH("L_ramp_m", [1]Calc!$C:$C, 0)))))</f>
        <v>5.9999999999999982</v>
      </c>
      <c r="H688" s="2" t="str">
        <f>IF($E688="","", IF(AND($E688&gt;=INDEX([1]Calc!$E:$E, MATCH("min_fwd_draft_m", [1]Calc!$C:$C, 0)), $E688&lt;=INDEX([1]Calc!$E:$E, MATCH("max_fwd_draft_m", [1]Calc!$C:$C, 0)), $G688&lt;=INDEX([1]Calc!$E:$E, MATCH("theta_max_deg", [1]Calc!$C:$C, 0))), "OK", "CHECK"))</f>
        <v>CHECK</v>
      </c>
      <c r="I688" s="3">
        <f>IF($E688="","", INDEX([1]Calc!$E:$E, MATCH("D_vessel_m", [1]Calc!$C:$C, 0)) - $E688 + $B688)</f>
        <v>1.9112508231881171</v>
      </c>
      <c r="J688" s="3">
        <f>IF($F688="","", INDEX([1]Calc!$E:$E, MATCH("D_vessel_m", [1]Calc!$C:$C, 0)) - $F688 + $B688)</f>
        <v>1.9112508231881171</v>
      </c>
      <c r="K688" s="2" t="str">
        <f t="shared" si="32"/>
        <v>Even Keel</v>
      </c>
    </row>
    <row r="689" spans="1:11" x14ac:dyDescent="0.6">
      <c r="A689" s="2" t="str">
        <f>IF('December_Tide_2025 (2)'!A689="","",'December_Tide_2025 (2)'!A689)</f>
        <v>2025-12-29 15:00:00</v>
      </c>
      <c r="B689" s="3">
        <f>IF('December_Tide_2025 (2)'!B689="","",'December_Tide_2025 (2)'!B689)</f>
        <v>2.1</v>
      </c>
      <c r="C689" s="3">
        <f>IF($A689="","", INDEX([1]Calc!$E:$E, MATCH("KminusZ_m", [1]Calc!$C:$C, 0)) + $B689 - INDEX([1]Calc!$E:$E, MATCH("L_ramp_m", [1]Calc!$C:$C, 0)) * TAN(RADIANS(INDEX([1]Calc!$E:$E, MATCH("theta_max_deg", [1]Calc!$C:$C, 0)))))</f>
        <v>3.838749176811882</v>
      </c>
      <c r="D689" s="3"/>
      <c r="E689" s="3">
        <f t="shared" si="30"/>
        <v>3.838749176811882</v>
      </c>
      <c r="F689" s="3">
        <f t="shared" si="31"/>
        <v>3.838749176811882</v>
      </c>
      <c r="G689" s="3">
        <f>IF($E689="","", DEGREES(ATAN((INDEX([1]Calc!$E:$E, MATCH("KminusZ_m", [1]Calc!$C:$C, 0)) - $E689 + $B689) / INDEX([1]Calc!$E:$E, MATCH("L_ramp_m", [1]Calc!$C:$C, 0)))))</f>
        <v>6.0000000000000027</v>
      </c>
      <c r="H689" s="2" t="str">
        <f>IF($E689="","", IF(AND($E689&gt;=INDEX([1]Calc!$E:$E, MATCH("min_fwd_draft_m", [1]Calc!$C:$C, 0)), $E689&lt;=INDEX([1]Calc!$E:$E, MATCH("max_fwd_draft_m", [1]Calc!$C:$C, 0)), $G689&lt;=INDEX([1]Calc!$E:$E, MATCH("theta_max_deg", [1]Calc!$C:$C, 0))), "OK", "CHECK"))</f>
        <v>CHECK</v>
      </c>
      <c r="I689" s="3">
        <f>IF($E689="","", INDEX([1]Calc!$E:$E, MATCH("D_vessel_m", [1]Calc!$C:$C, 0)) - $E689 + $B689)</f>
        <v>1.911250823188118</v>
      </c>
      <c r="J689" s="3">
        <f>IF($F689="","", INDEX([1]Calc!$E:$E, MATCH("D_vessel_m", [1]Calc!$C:$C, 0)) - $F689 + $B689)</f>
        <v>1.911250823188118</v>
      </c>
      <c r="K689" s="2" t="str">
        <f t="shared" si="32"/>
        <v>Even Keel</v>
      </c>
    </row>
    <row r="690" spans="1:11" x14ac:dyDescent="0.6">
      <c r="A690" s="2" t="str">
        <f>IF('December_Tide_2025 (2)'!A690="","",'December_Tide_2025 (2)'!A690)</f>
        <v>2025-12-29 16:00:00</v>
      </c>
      <c r="B690" s="3">
        <f>IF('December_Tide_2025 (2)'!B690="","",'December_Tide_2025 (2)'!B690)</f>
        <v>1.63</v>
      </c>
      <c r="C690" s="3">
        <f>IF($A690="","", INDEX([1]Calc!$E:$E, MATCH("KminusZ_m", [1]Calc!$C:$C, 0)) + $B690 - INDEX([1]Calc!$E:$E, MATCH("L_ramp_m", [1]Calc!$C:$C, 0)) * TAN(RADIANS(INDEX([1]Calc!$E:$E, MATCH("theta_max_deg", [1]Calc!$C:$C, 0)))))</f>
        <v>3.3687491768118822</v>
      </c>
      <c r="D690" s="3"/>
      <c r="E690" s="3">
        <f t="shared" si="30"/>
        <v>3.3687491768118822</v>
      </c>
      <c r="F690" s="3">
        <f t="shared" si="31"/>
        <v>3.3687491768118822</v>
      </c>
      <c r="G690" s="3">
        <f>IF($E690="","", DEGREES(ATAN((INDEX([1]Calc!$E:$E, MATCH("KminusZ_m", [1]Calc!$C:$C, 0)) - $E690 + $B690) / INDEX([1]Calc!$E:$E, MATCH("L_ramp_m", [1]Calc!$C:$C, 0)))))</f>
        <v>6.0000000000000009</v>
      </c>
      <c r="H690" s="2" t="str">
        <f>IF($E690="","", IF(AND($E690&gt;=INDEX([1]Calc!$E:$E, MATCH("min_fwd_draft_m", [1]Calc!$C:$C, 0)), $E690&lt;=INDEX([1]Calc!$E:$E, MATCH("max_fwd_draft_m", [1]Calc!$C:$C, 0)), $G690&lt;=INDEX([1]Calc!$E:$E, MATCH("theta_max_deg", [1]Calc!$C:$C, 0))), "OK", "CHECK"))</f>
        <v>OK</v>
      </c>
      <c r="I690" s="3">
        <f>IF($E690="","", INDEX([1]Calc!$E:$E, MATCH("D_vessel_m", [1]Calc!$C:$C, 0)) - $E690 + $B690)</f>
        <v>1.9112508231881176</v>
      </c>
      <c r="J690" s="3">
        <f>IF($F690="","", INDEX([1]Calc!$E:$E, MATCH("D_vessel_m", [1]Calc!$C:$C, 0)) - $F690 + $B690)</f>
        <v>1.9112508231881176</v>
      </c>
      <c r="K690" s="2" t="str">
        <f t="shared" si="32"/>
        <v>Even Keel</v>
      </c>
    </row>
    <row r="691" spans="1:11" x14ac:dyDescent="0.6">
      <c r="A691" s="2" t="str">
        <f>IF('December_Tide_2025 (2)'!A691="","",'December_Tide_2025 (2)'!A691)</f>
        <v>2025-12-29 17:00:00</v>
      </c>
      <c r="B691" s="3">
        <f>IF('December_Tide_2025 (2)'!B691="","",'December_Tide_2025 (2)'!B691)</f>
        <v>1.21</v>
      </c>
      <c r="C691" s="3">
        <f>IF($A691="","", INDEX([1]Calc!$E:$E, MATCH("KminusZ_m", [1]Calc!$C:$C, 0)) + $B691 - INDEX([1]Calc!$E:$E, MATCH("L_ramp_m", [1]Calc!$C:$C, 0)) * TAN(RADIANS(INDEX([1]Calc!$E:$E, MATCH("theta_max_deg", [1]Calc!$C:$C, 0)))))</f>
        <v>2.9487491768118823</v>
      </c>
      <c r="D691" s="3"/>
      <c r="E691" s="3">
        <f t="shared" si="30"/>
        <v>2.9487491768118823</v>
      </c>
      <c r="F691" s="3">
        <f t="shared" si="31"/>
        <v>2.9487491768118823</v>
      </c>
      <c r="G691" s="3">
        <f>IF($E691="","", DEGREES(ATAN((INDEX([1]Calc!$E:$E, MATCH("KminusZ_m", [1]Calc!$C:$C, 0)) - $E691 + $B691) / INDEX([1]Calc!$E:$E, MATCH("L_ramp_m", [1]Calc!$C:$C, 0)))))</f>
        <v>6.0000000000000009</v>
      </c>
      <c r="H691" s="2" t="str">
        <f>IF($E691="","", IF(AND($E691&gt;=INDEX([1]Calc!$E:$E, MATCH("min_fwd_draft_m", [1]Calc!$C:$C, 0)), $E691&lt;=INDEX([1]Calc!$E:$E, MATCH("max_fwd_draft_m", [1]Calc!$C:$C, 0)), $G691&lt;=INDEX([1]Calc!$E:$E, MATCH("theta_max_deg", [1]Calc!$C:$C, 0))), "OK", "CHECK"))</f>
        <v>OK</v>
      </c>
      <c r="I691" s="3">
        <f>IF($E691="","", INDEX([1]Calc!$E:$E, MATCH("D_vessel_m", [1]Calc!$C:$C, 0)) - $E691 + $B691)</f>
        <v>1.9112508231881176</v>
      </c>
      <c r="J691" s="3">
        <f>IF($F691="","", INDEX([1]Calc!$E:$E, MATCH("D_vessel_m", [1]Calc!$C:$C, 0)) - $F691 + $B691)</f>
        <v>1.9112508231881176</v>
      </c>
      <c r="K691" s="2" t="str">
        <f t="shared" si="32"/>
        <v>Even Keel</v>
      </c>
    </row>
    <row r="692" spans="1:11" x14ac:dyDescent="0.6">
      <c r="A692" s="2" t="str">
        <f>IF('December_Tide_2025 (2)'!A692="","",'December_Tide_2025 (2)'!A692)</f>
        <v>2025-12-29 18:00:00</v>
      </c>
      <c r="B692" s="3">
        <f>IF('December_Tide_2025 (2)'!B692="","",'December_Tide_2025 (2)'!B692)</f>
        <v>0.93</v>
      </c>
      <c r="C692" s="3">
        <f>IF($A692="","", INDEX([1]Calc!$E:$E, MATCH("KminusZ_m", [1]Calc!$C:$C, 0)) + $B692 - INDEX([1]Calc!$E:$E, MATCH("L_ramp_m", [1]Calc!$C:$C, 0)) * TAN(RADIANS(INDEX([1]Calc!$E:$E, MATCH("theta_max_deg", [1]Calc!$C:$C, 0)))))</f>
        <v>2.6687491768118825</v>
      </c>
      <c r="D692" s="3"/>
      <c r="E692" s="3">
        <f t="shared" si="30"/>
        <v>2.6687491768118825</v>
      </c>
      <c r="F692" s="3">
        <f t="shared" si="31"/>
        <v>2.6687491768118825</v>
      </c>
      <c r="G692" s="3">
        <f>IF($E692="","", DEGREES(ATAN((INDEX([1]Calc!$E:$E, MATCH("KminusZ_m", [1]Calc!$C:$C, 0)) - $E692 + $B692) / INDEX([1]Calc!$E:$E, MATCH("L_ramp_m", [1]Calc!$C:$C, 0)))))</f>
        <v>6.0000000000000009</v>
      </c>
      <c r="H692" s="2" t="str">
        <f>IF($E692="","", IF(AND($E692&gt;=INDEX([1]Calc!$E:$E, MATCH("min_fwd_draft_m", [1]Calc!$C:$C, 0)), $E692&lt;=INDEX([1]Calc!$E:$E, MATCH("max_fwd_draft_m", [1]Calc!$C:$C, 0)), $G692&lt;=INDEX([1]Calc!$E:$E, MATCH("theta_max_deg", [1]Calc!$C:$C, 0))), "OK", "CHECK"))</f>
        <v>OK</v>
      </c>
      <c r="I692" s="3">
        <f>IF($E692="","", INDEX([1]Calc!$E:$E, MATCH("D_vessel_m", [1]Calc!$C:$C, 0)) - $E692 + $B692)</f>
        <v>1.9112508231881176</v>
      </c>
      <c r="J692" s="3">
        <f>IF($F692="","", INDEX([1]Calc!$E:$E, MATCH("D_vessel_m", [1]Calc!$C:$C, 0)) - $F692 + $B692)</f>
        <v>1.9112508231881176</v>
      </c>
      <c r="K692" s="2" t="str">
        <f t="shared" si="32"/>
        <v>Even Keel</v>
      </c>
    </row>
    <row r="693" spans="1:11" x14ac:dyDescent="0.6">
      <c r="A693" s="2" t="str">
        <f>IF('December_Tide_2025 (2)'!A693="","",'December_Tide_2025 (2)'!A693)</f>
        <v>2025-12-29 19:00:00</v>
      </c>
      <c r="B693" s="3">
        <f>IF('December_Tide_2025 (2)'!B693="","",'December_Tide_2025 (2)'!B693)</f>
        <v>0.87</v>
      </c>
      <c r="C693" s="3">
        <f>IF($A693="","", INDEX([1]Calc!$E:$E, MATCH("KminusZ_m", [1]Calc!$C:$C, 0)) + $B693 - INDEX([1]Calc!$E:$E, MATCH("L_ramp_m", [1]Calc!$C:$C, 0)) * TAN(RADIANS(INDEX([1]Calc!$E:$E, MATCH("theta_max_deg", [1]Calc!$C:$C, 0)))))</f>
        <v>2.6087491768118825</v>
      </c>
      <c r="D693" s="3"/>
      <c r="E693" s="3">
        <f t="shared" si="30"/>
        <v>2.6087491768118825</v>
      </c>
      <c r="F693" s="3">
        <f t="shared" si="31"/>
        <v>2.6087491768118825</v>
      </c>
      <c r="G693" s="3">
        <f>IF($E693="","", DEGREES(ATAN((INDEX([1]Calc!$E:$E, MATCH("KminusZ_m", [1]Calc!$C:$C, 0)) - $E693 + $B693) / INDEX([1]Calc!$E:$E, MATCH("L_ramp_m", [1]Calc!$C:$C, 0)))))</f>
        <v>6.0000000000000009</v>
      </c>
      <c r="H693" s="2" t="str">
        <f>IF($E693="","", IF(AND($E693&gt;=INDEX([1]Calc!$E:$E, MATCH("min_fwd_draft_m", [1]Calc!$C:$C, 0)), $E693&lt;=INDEX([1]Calc!$E:$E, MATCH("max_fwd_draft_m", [1]Calc!$C:$C, 0)), $G693&lt;=INDEX([1]Calc!$E:$E, MATCH("theta_max_deg", [1]Calc!$C:$C, 0))), "OK", "CHECK"))</f>
        <v>OK</v>
      </c>
      <c r="I693" s="3">
        <f>IF($E693="","", INDEX([1]Calc!$E:$E, MATCH("D_vessel_m", [1]Calc!$C:$C, 0)) - $E693 + $B693)</f>
        <v>1.9112508231881176</v>
      </c>
      <c r="J693" s="3">
        <f>IF($F693="","", INDEX([1]Calc!$E:$E, MATCH("D_vessel_m", [1]Calc!$C:$C, 0)) - $F693 + $B693)</f>
        <v>1.9112508231881176</v>
      </c>
      <c r="K693" s="2" t="str">
        <f t="shared" si="32"/>
        <v>Even Keel</v>
      </c>
    </row>
    <row r="694" spans="1:11" x14ac:dyDescent="0.6">
      <c r="A694" s="2" t="str">
        <f>IF('December_Tide_2025 (2)'!A694="","",'December_Tide_2025 (2)'!A694)</f>
        <v>2025-12-29 20:00:00</v>
      </c>
      <c r="B694" s="3">
        <f>IF('December_Tide_2025 (2)'!B694="","",'December_Tide_2025 (2)'!B694)</f>
        <v>1.05</v>
      </c>
      <c r="C694" s="3">
        <f>IF($A694="","", INDEX([1]Calc!$E:$E, MATCH("KminusZ_m", [1]Calc!$C:$C, 0)) + $B694 - INDEX([1]Calc!$E:$E, MATCH("L_ramp_m", [1]Calc!$C:$C, 0)) * TAN(RADIANS(INDEX([1]Calc!$E:$E, MATCH("theta_max_deg", [1]Calc!$C:$C, 0)))))</f>
        <v>2.7887491768118822</v>
      </c>
      <c r="D694" s="3"/>
      <c r="E694" s="3">
        <f t="shared" si="30"/>
        <v>2.7887491768118822</v>
      </c>
      <c r="F694" s="3">
        <f t="shared" si="31"/>
        <v>2.7887491768118822</v>
      </c>
      <c r="G694" s="3">
        <f>IF($E694="","", DEGREES(ATAN((INDEX([1]Calc!$E:$E, MATCH("KminusZ_m", [1]Calc!$C:$C, 0)) - $E694 + $B694) / INDEX([1]Calc!$E:$E, MATCH("L_ramp_m", [1]Calc!$C:$C, 0)))))</f>
        <v>6.0000000000000009</v>
      </c>
      <c r="H694" s="2" t="str">
        <f>IF($E694="","", IF(AND($E694&gt;=INDEX([1]Calc!$E:$E, MATCH("min_fwd_draft_m", [1]Calc!$C:$C, 0)), $E694&lt;=INDEX([1]Calc!$E:$E, MATCH("max_fwd_draft_m", [1]Calc!$C:$C, 0)), $G694&lt;=INDEX([1]Calc!$E:$E, MATCH("theta_max_deg", [1]Calc!$C:$C, 0))), "OK", "CHECK"))</f>
        <v>OK</v>
      </c>
      <c r="I694" s="3">
        <f>IF($E694="","", INDEX([1]Calc!$E:$E, MATCH("D_vessel_m", [1]Calc!$C:$C, 0)) - $E694 + $B694)</f>
        <v>1.9112508231881178</v>
      </c>
      <c r="J694" s="3">
        <f>IF($F694="","", INDEX([1]Calc!$E:$E, MATCH("D_vessel_m", [1]Calc!$C:$C, 0)) - $F694 + $B694)</f>
        <v>1.9112508231881178</v>
      </c>
      <c r="K694" s="2" t="str">
        <f t="shared" si="32"/>
        <v>Even Keel</v>
      </c>
    </row>
    <row r="695" spans="1:11" x14ac:dyDescent="0.6">
      <c r="A695" s="2" t="str">
        <f>IF('December_Tide_2025 (2)'!A695="","",'December_Tide_2025 (2)'!A695)</f>
        <v>2025-12-29 21:00:00</v>
      </c>
      <c r="B695" s="3">
        <f>IF('December_Tide_2025 (2)'!B695="","",'December_Tide_2025 (2)'!B695)</f>
        <v>1.41</v>
      </c>
      <c r="C695" s="3">
        <f>IF($A695="","", INDEX([1]Calc!$E:$E, MATCH("KminusZ_m", [1]Calc!$C:$C, 0)) + $B695 - INDEX([1]Calc!$E:$E, MATCH("L_ramp_m", [1]Calc!$C:$C, 0)) * TAN(RADIANS(INDEX([1]Calc!$E:$E, MATCH("theta_max_deg", [1]Calc!$C:$C, 0)))))</f>
        <v>3.1487491768118825</v>
      </c>
      <c r="D695" s="3"/>
      <c r="E695" s="3">
        <f t="shared" si="30"/>
        <v>3.1487491768118825</v>
      </c>
      <c r="F695" s="3">
        <f t="shared" si="31"/>
        <v>3.1487491768118825</v>
      </c>
      <c r="G695" s="3">
        <f>IF($E695="","", DEGREES(ATAN((INDEX([1]Calc!$E:$E, MATCH("KminusZ_m", [1]Calc!$C:$C, 0)) - $E695 + $B695) / INDEX([1]Calc!$E:$E, MATCH("L_ramp_m", [1]Calc!$C:$C, 0)))))</f>
        <v>6</v>
      </c>
      <c r="H695" s="2" t="str">
        <f>IF($E695="","", IF(AND($E695&gt;=INDEX([1]Calc!$E:$E, MATCH("min_fwd_draft_m", [1]Calc!$C:$C, 0)), $E695&lt;=INDEX([1]Calc!$E:$E, MATCH("max_fwd_draft_m", [1]Calc!$C:$C, 0)), $G695&lt;=INDEX([1]Calc!$E:$E, MATCH("theta_max_deg", [1]Calc!$C:$C, 0))), "OK", "CHECK"))</f>
        <v>OK</v>
      </c>
      <c r="I695" s="3">
        <f>IF($E695="","", INDEX([1]Calc!$E:$E, MATCH("D_vessel_m", [1]Calc!$C:$C, 0)) - $E695 + $B695)</f>
        <v>1.9112508231881173</v>
      </c>
      <c r="J695" s="3">
        <f>IF($F695="","", INDEX([1]Calc!$E:$E, MATCH("D_vessel_m", [1]Calc!$C:$C, 0)) - $F695 + $B695)</f>
        <v>1.9112508231881173</v>
      </c>
      <c r="K695" s="2" t="str">
        <f t="shared" si="32"/>
        <v>Even Keel</v>
      </c>
    </row>
    <row r="696" spans="1:11" x14ac:dyDescent="0.6">
      <c r="A696" s="2" t="str">
        <f>IF('December_Tide_2025 (2)'!A696="","",'December_Tide_2025 (2)'!A696)</f>
        <v>2025-12-29 22:00:00</v>
      </c>
      <c r="B696" s="3">
        <f>IF('December_Tide_2025 (2)'!B696="","",'December_Tide_2025 (2)'!B696)</f>
        <v>1.87</v>
      </c>
      <c r="C696" s="3">
        <f>IF($A696="","", INDEX([1]Calc!$E:$E, MATCH("KminusZ_m", [1]Calc!$C:$C, 0)) + $B696 - INDEX([1]Calc!$E:$E, MATCH("L_ramp_m", [1]Calc!$C:$C, 0)) * TAN(RADIANS(INDEX([1]Calc!$E:$E, MATCH("theta_max_deg", [1]Calc!$C:$C, 0)))))</f>
        <v>3.6087491768118825</v>
      </c>
      <c r="D696" s="3"/>
      <c r="E696" s="3">
        <f t="shared" si="30"/>
        <v>3.6087491768118825</v>
      </c>
      <c r="F696" s="3">
        <f t="shared" si="31"/>
        <v>3.6087491768118825</v>
      </c>
      <c r="G696" s="3">
        <f>IF($E696="","", DEGREES(ATAN((INDEX([1]Calc!$E:$E, MATCH("KminusZ_m", [1]Calc!$C:$C, 0)) - $E696 + $B696) / INDEX([1]Calc!$E:$E, MATCH("L_ramp_m", [1]Calc!$C:$C, 0)))))</f>
        <v>6.0000000000000009</v>
      </c>
      <c r="H696" s="2" t="str">
        <f>IF($E696="","", IF(AND($E696&gt;=INDEX([1]Calc!$E:$E, MATCH("min_fwd_draft_m", [1]Calc!$C:$C, 0)), $E696&lt;=INDEX([1]Calc!$E:$E, MATCH("max_fwd_draft_m", [1]Calc!$C:$C, 0)), $G696&lt;=INDEX([1]Calc!$E:$E, MATCH("theta_max_deg", [1]Calc!$C:$C, 0))), "OK", "CHECK"))</f>
        <v>CHECK</v>
      </c>
      <c r="I696" s="3">
        <f>IF($E696="","", INDEX([1]Calc!$E:$E, MATCH("D_vessel_m", [1]Calc!$C:$C, 0)) - $E696 + $B696)</f>
        <v>1.9112508231881176</v>
      </c>
      <c r="J696" s="3">
        <f>IF($F696="","", INDEX([1]Calc!$E:$E, MATCH("D_vessel_m", [1]Calc!$C:$C, 0)) - $F696 + $B696)</f>
        <v>1.9112508231881176</v>
      </c>
      <c r="K696" s="2" t="str">
        <f t="shared" si="32"/>
        <v>Even Keel</v>
      </c>
    </row>
    <row r="697" spans="1:11" x14ac:dyDescent="0.6">
      <c r="A697" s="2" t="str">
        <f>IF('December_Tide_2025 (2)'!A697="","",'December_Tide_2025 (2)'!A697)</f>
        <v>2025-12-29 23:00:00</v>
      </c>
      <c r="B697" s="3">
        <f>IF('December_Tide_2025 (2)'!B697="","",'December_Tide_2025 (2)'!B697)</f>
        <v>2.3199999999999998</v>
      </c>
      <c r="C697" s="3">
        <f>IF($A697="","", INDEX([1]Calc!$E:$E, MATCH("KminusZ_m", [1]Calc!$C:$C, 0)) + $B697 - INDEX([1]Calc!$E:$E, MATCH("L_ramp_m", [1]Calc!$C:$C, 0)) * TAN(RADIANS(INDEX([1]Calc!$E:$E, MATCH("theta_max_deg", [1]Calc!$C:$C, 0)))))</f>
        <v>4.0587491768118831</v>
      </c>
      <c r="D697" s="3"/>
      <c r="E697" s="3">
        <f t="shared" si="30"/>
        <v>4.0587491768118831</v>
      </c>
      <c r="F697" s="3">
        <f t="shared" si="31"/>
        <v>4.0587491768118831</v>
      </c>
      <c r="G697" s="3">
        <f>IF($E697="","", DEGREES(ATAN((INDEX([1]Calc!$E:$E, MATCH("KminusZ_m", [1]Calc!$C:$C, 0)) - $E697 + $B697) / INDEX([1]Calc!$E:$E, MATCH("L_ramp_m", [1]Calc!$C:$C, 0)))))</f>
        <v>5.9999999999999964</v>
      </c>
      <c r="H697" s="2" t="str">
        <f>IF($E697="","", IF(AND($E697&gt;=INDEX([1]Calc!$E:$E, MATCH("min_fwd_draft_m", [1]Calc!$C:$C, 0)), $E697&lt;=INDEX([1]Calc!$E:$E, MATCH("max_fwd_draft_m", [1]Calc!$C:$C, 0)), $G697&lt;=INDEX([1]Calc!$E:$E, MATCH("theta_max_deg", [1]Calc!$C:$C, 0))), "OK", "CHECK"))</f>
        <v>CHECK</v>
      </c>
      <c r="I697" s="3">
        <f>IF($E697="","", INDEX([1]Calc!$E:$E, MATCH("D_vessel_m", [1]Calc!$C:$C, 0)) - $E697 + $B697)</f>
        <v>1.9112508231881167</v>
      </c>
      <c r="J697" s="3">
        <f>IF($F697="","", INDEX([1]Calc!$E:$E, MATCH("D_vessel_m", [1]Calc!$C:$C, 0)) - $F697 + $B697)</f>
        <v>1.9112508231881167</v>
      </c>
      <c r="K697" s="2" t="str">
        <f t="shared" si="32"/>
        <v>Even Keel</v>
      </c>
    </row>
    <row r="698" spans="1:11" x14ac:dyDescent="0.6">
      <c r="A698" s="2" t="str">
        <f>IF('December_Tide_2025 (2)'!A698="","",'December_Tide_2025 (2)'!A698)</f>
        <v>2025-12-30 00:00:00</v>
      </c>
      <c r="B698" s="3">
        <f>IF('December_Tide_2025 (2)'!B698="","",'December_Tide_2025 (2)'!B698)</f>
        <v>2.63</v>
      </c>
      <c r="C698" s="3">
        <f>IF($A698="","", INDEX([1]Calc!$E:$E, MATCH("KminusZ_m", [1]Calc!$C:$C, 0)) + $B698 - INDEX([1]Calc!$E:$E, MATCH("L_ramp_m", [1]Calc!$C:$C, 0)) * TAN(RADIANS(INDEX([1]Calc!$E:$E, MATCH("theta_max_deg", [1]Calc!$C:$C, 0)))))</f>
        <v>4.3687491768118818</v>
      </c>
      <c r="D698" s="3"/>
      <c r="E698" s="3">
        <f t="shared" si="30"/>
        <v>4.3687491768118818</v>
      </c>
      <c r="F698" s="3">
        <f t="shared" si="31"/>
        <v>4.3687491768118818</v>
      </c>
      <c r="G698" s="3">
        <f>IF($E698="","", DEGREES(ATAN((INDEX([1]Calc!$E:$E, MATCH("KminusZ_m", [1]Calc!$C:$C, 0)) - $E698 + $B698) / INDEX([1]Calc!$E:$E, MATCH("L_ramp_m", [1]Calc!$C:$C, 0)))))</f>
        <v>6.0000000000000027</v>
      </c>
      <c r="H698" s="2" t="str">
        <f>IF($E698="","", IF(AND($E698&gt;=INDEX([1]Calc!$E:$E, MATCH("min_fwd_draft_m", [1]Calc!$C:$C, 0)), $E698&lt;=INDEX([1]Calc!$E:$E, MATCH("max_fwd_draft_m", [1]Calc!$C:$C, 0)), $G698&lt;=INDEX([1]Calc!$E:$E, MATCH("theta_max_deg", [1]Calc!$C:$C, 0))), "OK", "CHECK"))</f>
        <v>CHECK</v>
      </c>
      <c r="I698" s="3">
        <f>IF($E698="","", INDEX([1]Calc!$E:$E, MATCH("D_vessel_m", [1]Calc!$C:$C, 0)) - $E698 + $B698)</f>
        <v>1.911250823188118</v>
      </c>
      <c r="J698" s="3">
        <f>IF($F698="","", INDEX([1]Calc!$E:$E, MATCH("D_vessel_m", [1]Calc!$C:$C, 0)) - $F698 + $B698)</f>
        <v>1.911250823188118</v>
      </c>
      <c r="K698" s="2" t="str">
        <f t="shared" si="32"/>
        <v>Even Keel</v>
      </c>
    </row>
    <row r="699" spans="1:11" x14ac:dyDescent="0.6">
      <c r="A699" s="2" t="str">
        <f>IF('December_Tide_2025 (2)'!A699="","",'December_Tide_2025 (2)'!A699)</f>
        <v>2025-12-30 01:00:00</v>
      </c>
      <c r="B699" s="3">
        <f>IF('December_Tide_2025 (2)'!B699="","",'December_Tide_2025 (2)'!B699)</f>
        <v>2.74</v>
      </c>
      <c r="C699" s="3">
        <f>IF($A699="","", INDEX([1]Calc!$E:$E, MATCH("KminusZ_m", [1]Calc!$C:$C, 0)) + $B699 - INDEX([1]Calc!$E:$E, MATCH("L_ramp_m", [1]Calc!$C:$C, 0)) * TAN(RADIANS(INDEX([1]Calc!$E:$E, MATCH("theta_max_deg", [1]Calc!$C:$C, 0)))))</f>
        <v>4.478749176811883</v>
      </c>
      <c r="D699" s="3"/>
      <c r="E699" s="3">
        <f t="shared" si="30"/>
        <v>4.478749176811883</v>
      </c>
      <c r="F699" s="3">
        <f t="shared" si="31"/>
        <v>4.478749176811883</v>
      </c>
      <c r="G699" s="3">
        <f>IF($E699="","", DEGREES(ATAN((INDEX([1]Calc!$E:$E, MATCH("KminusZ_m", [1]Calc!$C:$C, 0)) - $E699 + $B699) / INDEX([1]Calc!$E:$E, MATCH("L_ramp_m", [1]Calc!$C:$C, 0)))))</f>
        <v>5.9999999999999982</v>
      </c>
      <c r="H699" s="2" t="str">
        <f>IF($E699="","", IF(AND($E699&gt;=INDEX([1]Calc!$E:$E, MATCH("min_fwd_draft_m", [1]Calc!$C:$C, 0)), $E699&lt;=INDEX([1]Calc!$E:$E, MATCH("max_fwd_draft_m", [1]Calc!$C:$C, 0)), $G699&lt;=INDEX([1]Calc!$E:$E, MATCH("theta_max_deg", [1]Calc!$C:$C, 0))), "OK", "CHECK"))</f>
        <v>CHECK</v>
      </c>
      <c r="I699" s="3">
        <f>IF($E699="","", INDEX([1]Calc!$E:$E, MATCH("D_vessel_m", [1]Calc!$C:$C, 0)) - $E699 + $B699)</f>
        <v>1.9112508231881171</v>
      </c>
      <c r="J699" s="3">
        <f>IF($F699="","", INDEX([1]Calc!$E:$E, MATCH("D_vessel_m", [1]Calc!$C:$C, 0)) - $F699 + $B699)</f>
        <v>1.9112508231881171</v>
      </c>
      <c r="K699" s="2" t="str">
        <f t="shared" si="32"/>
        <v>Even Keel</v>
      </c>
    </row>
    <row r="700" spans="1:11" x14ac:dyDescent="0.6">
      <c r="A700" s="2" t="str">
        <f>IF('December_Tide_2025 (2)'!A700="","",'December_Tide_2025 (2)'!A700)</f>
        <v>2025-12-30 02:00:00</v>
      </c>
      <c r="B700" s="3">
        <f>IF('December_Tide_2025 (2)'!B700="","",'December_Tide_2025 (2)'!B700)</f>
        <v>2.61</v>
      </c>
      <c r="C700" s="3">
        <f>IF($A700="","", INDEX([1]Calc!$E:$E, MATCH("KminusZ_m", [1]Calc!$C:$C, 0)) + $B700 - INDEX([1]Calc!$E:$E, MATCH("L_ramp_m", [1]Calc!$C:$C, 0)) * TAN(RADIANS(INDEX([1]Calc!$E:$E, MATCH("theta_max_deg", [1]Calc!$C:$C, 0)))))</f>
        <v>4.3487491768118822</v>
      </c>
      <c r="D700" s="3"/>
      <c r="E700" s="3">
        <f t="shared" si="30"/>
        <v>4.3487491768118822</v>
      </c>
      <c r="F700" s="3">
        <f t="shared" si="31"/>
        <v>4.3487491768118822</v>
      </c>
      <c r="G700" s="3">
        <f>IF($E700="","", DEGREES(ATAN((INDEX([1]Calc!$E:$E, MATCH("KminusZ_m", [1]Calc!$C:$C, 0)) - $E700 + $B700) / INDEX([1]Calc!$E:$E, MATCH("L_ramp_m", [1]Calc!$C:$C, 0)))))</f>
        <v>6.0000000000000009</v>
      </c>
      <c r="H700" s="2" t="str">
        <f>IF($E700="","", IF(AND($E700&gt;=INDEX([1]Calc!$E:$E, MATCH("min_fwd_draft_m", [1]Calc!$C:$C, 0)), $E700&lt;=INDEX([1]Calc!$E:$E, MATCH("max_fwd_draft_m", [1]Calc!$C:$C, 0)), $G700&lt;=INDEX([1]Calc!$E:$E, MATCH("theta_max_deg", [1]Calc!$C:$C, 0))), "OK", "CHECK"))</f>
        <v>CHECK</v>
      </c>
      <c r="I700" s="3">
        <f>IF($E700="","", INDEX([1]Calc!$E:$E, MATCH("D_vessel_m", [1]Calc!$C:$C, 0)) - $E700 + $B700)</f>
        <v>1.9112508231881176</v>
      </c>
      <c r="J700" s="3">
        <f>IF($F700="","", INDEX([1]Calc!$E:$E, MATCH("D_vessel_m", [1]Calc!$C:$C, 0)) - $F700 + $B700)</f>
        <v>1.9112508231881176</v>
      </c>
      <c r="K700" s="2" t="str">
        <f t="shared" si="32"/>
        <v>Even Keel</v>
      </c>
    </row>
    <row r="701" spans="1:11" x14ac:dyDescent="0.6">
      <c r="A701" s="2" t="str">
        <f>IF('December_Tide_2025 (2)'!A701="","",'December_Tide_2025 (2)'!A701)</f>
        <v>2025-12-30 03:00:00</v>
      </c>
      <c r="B701" s="3">
        <f>IF('December_Tide_2025 (2)'!B701="","",'December_Tide_2025 (2)'!B701)</f>
        <v>2.27</v>
      </c>
      <c r="C701" s="3">
        <f>IF($A701="","", INDEX([1]Calc!$E:$E, MATCH("KminusZ_m", [1]Calc!$C:$C, 0)) + $B701 - INDEX([1]Calc!$E:$E, MATCH("L_ramp_m", [1]Calc!$C:$C, 0)) * TAN(RADIANS(INDEX([1]Calc!$E:$E, MATCH("theta_max_deg", [1]Calc!$C:$C, 0)))))</f>
        <v>4.0087491768118824</v>
      </c>
      <c r="D701" s="3"/>
      <c r="E701" s="3">
        <f t="shared" si="30"/>
        <v>4.0087491768118824</v>
      </c>
      <c r="F701" s="3">
        <f t="shared" si="31"/>
        <v>4.0087491768118824</v>
      </c>
      <c r="G701" s="3">
        <f>IF($E701="","", DEGREES(ATAN((INDEX([1]Calc!$E:$E, MATCH("KminusZ_m", [1]Calc!$C:$C, 0)) - $E701 + $B701) / INDEX([1]Calc!$E:$E, MATCH("L_ramp_m", [1]Calc!$C:$C, 0)))))</f>
        <v>6.0000000000000009</v>
      </c>
      <c r="H701" s="2" t="str">
        <f>IF($E701="","", IF(AND($E701&gt;=INDEX([1]Calc!$E:$E, MATCH("min_fwd_draft_m", [1]Calc!$C:$C, 0)), $E701&lt;=INDEX([1]Calc!$E:$E, MATCH("max_fwd_draft_m", [1]Calc!$C:$C, 0)), $G701&lt;=INDEX([1]Calc!$E:$E, MATCH("theta_max_deg", [1]Calc!$C:$C, 0))), "OK", "CHECK"))</f>
        <v>CHECK</v>
      </c>
      <c r="I701" s="3">
        <f>IF($E701="","", INDEX([1]Calc!$E:$E, MATCH("D_vessel_m", [1]Calc!$C:$C, 0)) - $E701 + $B701)</f>
        <v>1.9112508231881176</v>
      </c>
      <c r="J701" s="3">
        <f>IF($F701="","", INDEX([1]Calc!$E:$E, MATCH("D_vessel_m", [1]Calc!$C:$C, 0)) - $F701 + $B701)</f>
        <v>1.9112508231881176</v>
      </c>
      <c r="K701" s="2" t="str">
        <f t="shared" si="32"/>
        <v>Even Keel</v>
      </c>
    </row>
    <row r="702" spans="1:11" x14ac:dyDescent="0.6">
      <c r="A702" s="2" t="str">
        <f>IF('December_Tide_2025 (2)'!A702="","",'December_Tide_2025 (2)'!A702)</f>
        <v>2025-12-30 04:00:00</v>
      </c>
      <c r="B702" s="3">
        <f>IF('December_Tide_2025 (2)'!B702="","",'December_Tide_2025 (2)'!B702)</f>
        <v>1.82</v>
      </c>
      <c r="C702" s="3">
        <f>IF($A702="","", INDEX([1]Calc!$E:$E, MATCH("KminusZ_m", [1]Calc!$C:$C, 0)) + $B702 - INDEX([1]Calc!$E:$E, MATCH("L_ramp_m", [1]Calc!$C:$C, 0)) * TAN(RADIANS(INDEX([1]Calc!$E:$E, MATCH("theta_max_deg", [1]Calc!$C:$C, 0)))))</f>
        <v>3.5587491768118826</v>
      </c>
      <c r="D702" s="3"/>
      <c r="E702" s="3">
        <f t="shared" si="30"/>
        <v>3.5587491768118826</v>
      </c>
      <c r="F702" s="3">
        <f t="shared" si="31"/>
        <v>3.5587491768118826</v>
      </c>
      <c r="G702" s="3">
        <f>IF($E702="","", DEGREES(ATAN((INDEX([1]Calc!$E:$E, MATCH("KminusZ_m", [1]Calc!$C:$C, 0)) - $E702 + $B702) / INDEX([1]Calc!$E:$E, MATCH("L_ramp_m", [1]Calc!$C:$C, 0)))))</f>
        <v>6</v>
      </c>
      <c r="H702" s="2" t="str">
        <f>IF($E702="","", IF(AND($E702&gt;=INDEX([1]Calc!$E:$E, MATCH("min_fwd_draft_m", [1]Calc!$C:$C, 0)), $E702&lt;=INDEX([1]Calc!$E:$E, MATCH("max_fwd_draft_m", [1]Calc!$C:$C, 0)), $G702&lt;=INDEX([1]Calc!$E:$E, MATCH("theta_max_deg", [1]Calc!$C:$C, 0))), "OK", "CHECK"))</f>
        <v>CHECK</v>
      </c>
      <c r="I702" s="3">
        <f>IF($E702="","", INDEX([1]Calc!$E:$E, MATCH("D_vessel_m", [1]Calc!$C:$C, 0)) - $E702 + $B702)</f>
        <v>1.9112508231881173</v>
      </c>
      <c r="J702" s="3">
        <f>IF($F702="","", INDEX([1]Calc!$E:$E, MATCH("D_vessel_m", [1]Calc!$C:$C, 0)) - $F702 + $B702)</f>
        <v>1.9112508231881173</v>
      </c>
      <c r="K702" s="2" t="str">
        <f t="shared" si="32"/>
        <v>Even Keel</v>
      </c>
    </row>
    <row r="703" spans="1:11" x14ac:dyDescent="0.6">
      <c r="A703" s="2" t="str">
        <f>IF('December_Tide_2025 (2)'!A703="","",'December_Tide_2025 (2)'!A703)</f>
        <v>2025-12-30 05:00:00</v>
      </c>
      <c r="B703" s="3">
        <f>IF('December_Tide_2025 (2)'!B703="","",'December_Tide_2025 (2)'!B703)</f>
        <v>1.36</v>
      </c>
      <c r="C703" s="3">
        <f>IF($A703="","", INDEX([1]Calc!$E:$E, MATCH("KminusZ_m", [1]Calc!$C:$C, 0)) + $B703 - INDEX([1]Calc!$E:$E, MATCH("L_ramp_m", [1]Calc!$C:$C, 0)) * TAN(RADIANS(INDEX([1]Calc!$E:$E, MATCH("theta_max_deg", [1]Calc!$C:$C, 0)))))</f>
        <v>3.0987491768118827</v>
      </c>
      <c r="D703" s="3"/>
      <c r="E703" s="3">
        <f t="shared" si="30"/>
        <v>3.0987491768118827</v>
      </c>
      <c r="F703" s="3">
        <f t="shared" si="31"/>
        <v>3.0987491768118827</v>
      </c>
      <c r="G703" s="3">
        <f>IF($E703="","", DEGREES(ATAN((INDEX([1]Calc!$E:$E, MATCH("KminusZ_m", [1]Calc!$C:$C, 0)) - $E703 + $B703) / INDEX([1]Calc!$E:$E, MATCH("L_ramp_m", [1]Calc!$C:$C, 0)))))</f>
        <v>6</v>
      </c>
      <c r="H703" s="2" t="str">
        <f>IF($E703="","", IF(AND($E703&gt;=INDEX([1]Calc!$E:$E, MATCH("min_fwd_draft_m", [1]Calc!$C:$C, 0)), $E703&lt;=INDEX([1]Calc!$E:$E, MATCH("max_fwd_draft_m", [1]Calc!$C:$C, 0)), $G703&lt;=INDEX([1]Calc!$E:$E, MATCH("theta_max_deg", [1]Calc!$C:$C, 0))), "OK", "CHECK"))</f>
        <v>OK</v>
      </c>
      <c r="I703" s="3">
        <f>IF($E703="","", INDEX([1]Calc!$E:$E, MATCH("D_vessel_m", [1]Calc!$C:$C, 0)) - $E703 + $B703)</f>
        <v>1.9112508231881173</v>
      </c>
      <c r="J703" s="3">
        <f>IF($F703="","", INDEX([1]Calc!$E:$E, MATCH("D_vessel_m", [1]Calc!$C:$C, 0)) - $F703 + $B703)</f>
        <v>1.9112508231881173</v>
      </c>
      <c r="K703" s="2" t="str">
        <f t="shared" si="32"/>
        <v>Even Keel</v>
      </c>
    </row>
    <row r="704" spans="1:11" x14ac:dyDescent="0.6">
      <c r="A704" s="2" t="str">
        <f>IF('December_Tide_2025 (2)'!A704="","",'December_Tide_2025 (2)'!A704)</f>
        <v>2025-12-30 06:00:00</v>
      </c>
      <c r="B704" s="3">
        <f>IF('December_Tide_2025 (2)'!B704="","",'December_Tide_2025 (2)'!B704)</f>
        <v>1.02</v>
      </c>
      <c r="C704" s="3">
        <f>IF($A704="","", INDEX([1]Calc!$E:$E, MATCH("KminusZ_m", [1]Calc!$C:$C, 0)) + $B704 - INDEX([1]Calc!$E:$E, MATCH("L_ramp_m", [1]Calc!$C:$C, 0)) * TAN(RADIANS(INDEX([1]Calc!$E:$E, MATCH("theta_max_deg", [1]Calc!$C:$C, 0)))))</f>
        <v>2.7587491768118819</v>
      </c>
      <c r="D704" s="3"/>
      <c r="E704" s="3">
        <f t="shared" si="30"/>
        <v>2.7587491768118819</v>
      </c>
      <c r="F704" s="3">
        <f t="shared" si="31"/>
        <v>2.7587491768118819</v>
      </c>
      <c r="G704" s="3">
        <f>IF($E704="","", DEGREES(ATAN((INDEX([1]Calc!$E:$E, MATCH("KminusZ_m", [1]Calc!$C:$C, 0)) - $E704 + $B704) / INDEX([1]Calc!$E:$E, MATCH("L_ramp_m", [1]Calc!$C:$C, 0)))))</f>
        <v>6.0000000000000027</v>
      </c>
      <c r="H704" s="2" t="str">
        <f>IF($E704="","", IF(AND($E704&gt;=INDEX([1]Calc!$E:$E, MATCH("min_fwd_draft_m", [1]Calc!$C:$C, 0)), $E704&lt;=INDEX([1]Calc!$E:$E, MATCH("max_fwd_draft_m", [1]Calc!$C:$C, 0)), $G704&lt;=INDEX([1]Calc!$E:$E, MATCH("theta_max_deg", [1]Calc!$C:$C, 0))), "OK", "CHECK"))</f>
        <v>OK</v>
      </c>
      <c r="I704" s="3">
        <f>IF($E704="","", INDEX([1]Calc!$E:$E, MATCH("D_vessel_m", [1]Calc!$C:$C, 0)) - $E704 + $B704)</f>
        <v>1.911250823188118</v>
      </c>
      <c r="J704" s="3">
        <f>IF($F704="","", INDEX([1]Calc!$E:$E, MATCH("D_vessel_m", [1]Calc!$C:$C, 0)) - $F704 + $B704)</f>
        <v>1.911250823188118</v>
      </c>
      <c r="K704" s="2" t="str">
        <f t="shared" si="32"/>
        <v>Even Keel</v>
      </c>
    </row>
    <row r="705" spans="1:11" x14ac:dyDescent="0.6">
      <c r="A705" s="2" t="str">
        <f>IF('December_Tide_2025 (2)'!A705="","",'December_Tide_2025 (2)'!A705)</f>
        <v>2025-12-30 07:00:00</v>
      </c>
      <c r="B705" s="3">
        <f>IF('December_Tide_2025 (2)'!B705="","",'December_Tide_2025 (2)'!B705)</f>
        <v>0.87</v>
      </c>
      <c r="C705" s="3">
        <f>IF($A705="","", INDEX([1]Calc!$E:$E, MATCH("KminusZ_m", [1]Calc!$C:$C, 0)) + $B705 - INDEX([1]Calc!$E:$E, MATCH("L_ramp_m", [1]Calc!$C:$C, 0)) * TAN(RADIANS(INDEX([1]Calc!$E:$E, MATCH("theta_max_deg", [1]Calc!$C:$C, 0)))))</f>
        <v>2.6087491768118825</v>
      </c>
      <c r="D705" s="3"/>
      <c r="E705" s="3">
        <f t="shared" si="30"/>
        <v>2.6087491768118825</v>
      </c>
      <c r="F705" s="3">
        <f t="shared" si="31"/>
        <v>2.6087491768118825</v>
      </c>
      <c r="G705" s="3">
        <f>IF($E705="","", DEGREES(ATAN((INDEX([1]Calc!$E:$E, MATCH("KminusZ_m", [1]Calc!$C:$C, 0)) - $E705 + $B705) / INDEX([1]Calc!$E:$E, MATCH("L_ramp_m", [1]Calc!$C:$C, 0)))))</f>
        <v>6.0000000000000009</v>
      </c>
      <c r="H705" s="2" t="str">
        <f>IF($E705="","", IF(AND($E705&gt;=INDEX([1]Calc!$E:$E, MATCH("min_fwd_draft_m", [1]Calc!$C:$C, 0)), $E705&lt;=INDEX([1]Calc!$E:$E, MATCH("max_fwd_draft_m", [1]Calc!$C:$C, 0)), $G705&lt;=INDEX([1]Calc!$E:$E, MATCH("theta_max_deg", [1]Calc!$C:$C, 0))), "OK", "CHECK"))</f>
        <v>OK</v>
      </c>
      <c r="I705" s="3">
        <f>IF($E705="","", INDEX([1]Calc!$E:$E, MATCH("D_vessel_m", [1]Calc!$C:$C, 0)) - $E705 + $B705)</f>
        <v>1.9112508231881176</v>
      </c>
      <c r="J705" s="3">
        <f>IF($F705="","", INDEX([1]Calc!$E:$E, MATCH("D_vessel_m", [1]Calc!$C:$C, 0)) - $F705 + $B705)</f>
        <v>1.9112508231881176</v>
      </c>
      <c r="K705" s="2" t="str">
        <f t="shared" si="32"/>
        <v>Even Keel</v>
      </c>
    </row>
    <row r="706" spans="1:11" x14ac:dyDescent="0.6">
      <c r="A706" s="2" t="str">
        <f>IF('December_Tide_2025 (2)'!A706="","",'December_Tide_2025 (2)'!A706)</f>
        <v>2025-12-30 08:00:00</v>
      </c>
      <c r="B706" s="3">
        <f>IF('December_Tide_2025 (2)'!B706="","",'December_Tide_2025 (2)'!B706)</f>
        <v>0.95</v>
      </c>
      <c r="C706" s="3">
        <f>IF($A706="","", INDEX([1]Calc!$E:$E, MATCH("KminusZ_m", [1]Calc!$C:$C, 0)) + $B706 - INDEX([1]Calc!$E:$E, MATCH("L_ramp_m", [1]Calc!$C:$C, 0)) * TAN(RADIANS(INDEX([1]Calc!$E:$E, MATCH("theta_max_deg", [1]Calc!$C:$C, 0)))))</f>
        <v>2.6887491768118825</v>
      </c>
      <c r="D706" s="3"/>
      <c r="E706" s="3">
        <f t="shared" ref="E706:E745" si="33">IF($C706="","", IF($D706="", $C706, $C706 - $D706/2))</f>
        <v>2.6887491768118825</v>
      </c>
      <c r="F706" s="3">
        <f t="shared" ref="F706:F745" si="34">IF($C706="","", IF($D706="", $C706, $C706 + $D706/2))</f>
        <v>2.6887491768118825</v>
      </c>
      <c r="G706" s="3">
        <f>IF($E706="","", DEGREES(ATAN((INDEX([1]Calc!$E:$E, MATCH("KminusZ_m", [1]Calc!$C:$C, 0)) - $E706 + $B706) / INDEX([1]Calc!$E:$E, MATCH("L_ramp_m", [1]Calc!$C:$C, 0)))))</f>
        <v>6</v>
      </c>
      <c r="H706" s="2" t="str">
        <f>IF($E706="","", IF(AND($E706&gt;=INDEX([1]Calc!$E:$E, MATCH("min_fwd_draft_m", [1]Calc!$C:$C, 0)), $E706&lt;=INDEX([1]Calc!$E:$E, MATCH("max_fwd_draft_m", [1]Calc!$C:$C, 0)), $G706&lt;=INDEX([1]Calc!$E:$E, MATCH("theta_max_deg", [1]Calc!$C:$C, 0))), "OK", "CHECK"))</f>
        <v>OK</v>
      </c>
      <c r="I706" s="3">
        <f>IF($E706="","", INDEX([1]Calc!$E:$E, MATCH("D_vessel_m", [1]Calc!$C:$C, 0)) - $E706 + $B706)</f>
        <v>1.9112508231881173</v>
      </c>
      <c r="J706" s="3">
        <f>IF($F706="","", INDEX([1]Calc!$E:$E, MATCH("D_vessel_m", [1]Calc!$C:$C, 0)) - $F706 + $B706)</f>
        <v>1.9112508231881173</v>
      </c>
      <c r="K706" s="2" t="str">
        <f t="shared" ref="K706:K745" si="35">IF(D706=0, "Even Keel", "")</f>
        <v>Even Keel</v>
      </c>
    </row>
    <row r="707" spans="1:11" x14ac:dyDescent="0.6">
      <c r="A707" s="2" t="str">
        <f>IF('December_Tide_2025 (2)'!A707="","",'December_Tide_2025 (2)'!A707)</f>
        <v>2025-12-30 09:00:00</v>
      </c>
      <c r="B707" s="3">
        <f>IF('December_Tide_2025 (2)'!B707="","",'December_Tide_2025 (2)'!B707)</f>
        <v>1.25</v>
      </c>
      <c r="C707" s="3">
        <f>IF($A707="","", INDEX([1]Calc!$E:$E, MATCH("KminusZ_m", [1]Calc!$C:$C, 0)) + $B707 - INDEX([1]Calc!$E:$E, MATCH("L_ramp_m", [1]Calc!$C:$C, 0)) * TAN(RADIANS(INDEX([1]Calc!$E:$E, MATCH("theta_max_deg", [1]Calc!$C:$C, 0)))))</f>
        <v>2.9887491768118823</v>
      </c>
      <c r="D707" s="3"/>
      <c r="E707" s="3">
        <f t="shared" si="33"/>
        <v>2.9887491768118823</v>
      </c>
      <c r="F707" s="3">
        <f t="shared" si="34"/>
        <v>2.9887491768118823</v>
      </c>
      <c r="G707" s="3">
        <f>IF($E707="","", DEGREES(ATAN((INDEX([1]Calc!$E:$E, MATCH("KminusZ_m", [1]Calc!$C:$C, 0)) - $E707 + $B707) / INDEX([1]Calc!$E:$E, MATCH("L_ramp_m", [1]Calc!$C:$C, 0)))))</f>
        <v>6.0000000000000009</v>
      </c>
      <c r="H707" s="2" t="str">
        <f>IF($E707="","", IF(AND($E707&gt;=INDEX([1]Calc!$E:$E, MATCH("min_fwd_draft_m", [1]Calc!$C:$C, 0)), $E707&lt;=INDEX([1]Calc!$E:$E, MATCH("max_fwd_draft_m", [1]Calc!$C:$C, 0)), $G707&lt;=INDEX([1]Calc!$E:$E, MATCH("theta_max_deg", [1]Calc!$C:$C, 0))), "OK", "CHECK"))</f>
        <v>OK</v>
      </c>
      <c r="I707" s="3">
        <f>IF($E707="","", INDEX([1]Calc!$E:$E, MATCH("D_vessel_m", [1]Calc!$C:$C, 0)) - $E707 + $B707)</f>
        <v>1.9112508231881176</v>
      </c>
      <c r="J707" s="3">
        <f>IF($F707="","", INDEX([1]Calc!$E:$E, MATCH("D_vessel_m", [1]Calc!$C:$C, 0)) - $F707 + $B707)</f>
        <v>1.9112508231881176</v>
      </c>
      <c r="K707" s="2" t="str">
        <f t="shared" si="35"/>
        <v>Even Keel</v>
      </c>
    </row>
    <row r="708" spans="1:11" x14ac:dyDescent="0.6">
      <c r="A708" s="2" t="str">
        <f>IF('December_Tide_2025 (2)'!A708="","",'December_Tide_2025 (2)'!A708)</f>
        <v>2025-12-30 10:00:00</v>
      </c>
      <c r="B708" s="3">
        <f>IF('December_Tide_2025 (2)'!B708="","",'December_Tide_2025 (2)'!B708)</f>
        <v>1.68</v>
      </c>
      <c r="C708" s="3">
        <f>IF($A708="","", INDEX([1]Calc!$E:$E, MATCH("KminusZ_m", [1]Calc!$C:$C, 0)) + $B708 - INDEX([1]Calc!$E:$E, MATCH("L_ramp_m", [1]Calc!$C:$C, 0)) * TAN(RADIANS(INDEX([1]Calc!$E:$E, MATCH("theta_max_deg", [1]Calc!$C:$C, 0)))))</f>
        <v>3.4187491768118821</v>
      </c>
      <c r="D708" s="3"/>
      <c r="E708" s="3">
        <f t="shared" si="33"/>
        <v>3.4187491768118821</v>
      </c>
      <c r="F708" s="3">
        <f t="shared" si="34"/>
        <v>3.4187491768118821</v>
      </c>
      <c r="G708" s="3">
        <f>IF($E708="","", DEGREES(ATAN((INDEX([1]Calc!$E:$E, MATCH("KminusZ_m", [1]Calc!$C:$C, 0)) - $E708 + $B708) / INDEX([1]Calc!$E:$E, MATCH("L_ramp_m", [1]Calc!$C:$C, 0)))))</f>
        <v>6.0000000000000009</v>
      </c>
      <c r="H708" s="2" t="str">
        <f>IF($E708="","", IF(AND($E708&gt;=INDEX([1]Calc!$E:$E, MATCH("min_fwd_draft_m", [1]Calc!$C:$C, 0)), $E708&lt;=INDEX([1]Calc!$E:$E, MATCH("max_fwd_draft_m", [1]Calc!$C:$C, 0)), $G708&lt;=INDEX([1]Calc!$E:$E, MATCH("theta_max_deg", [1]Calc!$C:$C, 0))), "OK", "CHECK"))</f>
        <v>OK</v>
      </c>
      <c r="I708" s="3">
        <f>IF($E708="","", INDEX([1]Calc!$E:$E, MATCH("D_vessel_m", [1]Calc!$C:$C, 0)) - $E708 + $B708)</f>
        <v>1.9112508231881178</v>
      </c>
      <c r="J708" s="3">
        <f>IF($F708="","", INDEX([1]Calc!$E:$E, MATCH("D_vessel_m", [1]Calc!$C:$C, 0)) - $F708 + $B708)</f>
        <v>1.9112508231881178</v>
      </c>
      <c r="K708" s="2" t="str">
        <f t="shared" si="35"/>
        <v>Even Keel</v>
      </c>
    </row>
    <row r="709" spans="1:11" x14ac:dyDescent="0.6">
      <c r="A709" s="2" t="str">
        <f>IF('December_Tide_2025 (2)'!A709="","",'December_Tide_2025 (2)'!A709)</f>
        <v>2025-12-30 11:00:00</v>
      </c>
      <c r="B709" s="3">
        <f>IF('December_Tide_2025 (2)'!B709="","",'December_Tide_2025 (2)'!B709)</f>
        <v>2.15</v>
      </c>
      <c r="C709" s="3">
        <f>IF($A709="","", INDEX([1]Calc!$E:$E, MATCH("KminusZ_m", [1]Calc!$C:$C, 0)) + $B709 - INDEX([1]Calc!$E:$E, MATCH("L_ramp_m", [1]Calc!$C:$C, 0)) * TAN(RADIANS(INDEX([1]Calc!$E:$E, MATCH("theta_max_deg", [1]Calc!$C:$C, 0)))))</f>
        <v>3.8887491768118827</v>
      </c>
      <c r="D709" s="3"/>
      <c r="E709" s="3">
        <f t="shared" si="33"/>
        <v>3.8887491768118827</v>
      </c>
      <c r="F709" s="3">
        <f t="shared" si="34"/>
        <v>3.8887491768118827</v>
      </c>
      <c r="G709" s="3">
        <f>IF($E709="","", DEGREES(ATAN((INDEX([1]Calc!$E:$E, MATCH("KminusZ_m", [1]Calc!$C:$C, 0)) - $E709 + $B709) / INDEX([1]Calc!$E:$E, MATCH("L_ramp_m", [1]Calc!$C:$C, 0)))))</f>
        <v>5.9999999999999982</v>
      </c>
      <c r="H709" s="2" t="str">
        <f>IF($E709="","", IF(AND($E709&gt;=INDEX([1]Calc!$E:$E, MATCH("min_fwd_draft_m", [1]Calc!$C:$C, 0)), $E709&lt;=INDEX([1]Calc!$E:$E, MATCH("max_fwd_draft_m", [1]Calc!$C:$C, 0)), $G709&lt;=INDEX([1]Calc!$E:$E, MATCH("theta_max_deg", [1]Calc!$C:$C, 0))), "OK", "CHECK"))</f>
        <v>CHECK</v>
      </c>
      <c r="I709" s="3">
        <f>IF($E709="","", INDEX([1]Calc!$E:$E, MATCH("D_vessel_m", [1]Calc!$C:$C, 0)) - $E709 + $B709)</f>
        <v>1.9112508231881171</v>
      </c>
      <c r="J709" s="3">
        <f>IF($F709="","", INDEX([1]Calc!$E:$E, MATCH("D_vessel_m", [1]Calc!$C:$C, 0)) - $F709 + $B709)</f>
        <v>1.9112508231881171</v>
      </c>
      <c r="K709" s="2" t="str">
        <f t="shared" si="35"/>
        <v>Even Keel</v>
      </c>
    </row>
    <row r="710" spans="1:11" x14ac:dyDescent="0.6">
      <c r="A710" s="2" t="str">
        <f>IF('December_Tide_2025 (2)'!A710="","",'December_Tide_2025 (2)'!A710)</f>
        <v>2025-12-30 12:00:00</v>
      </c>
      <c r="B710" s="3">
        <f>IF('December_Tide_2025 (2)'!B710="","",'December_Tide_2025 (2)'!B710)</f>
        <v>2.5299999999999998</v>
      </c>
      <c r="C710" s="3">
        <f>IF($A710="","", INDEX([1]Calc!$E:$E, MATCH("KminusZ_m", [1]Calc!$C:$C, 0)) + $B710 - INDEX([1]Calc!$E:$E, MATCH("L_ramp_m", [1]Calc!$C:$C, 0)) * TAN(RADIANS(INDEX([1]Calc!$E:$E, MATCH("theta_max_deg", [1]Calc!$C:$C, 0)))))</f>
        <v>4.2687491768118822</v>
      </c>
      <c r="D710" s="3"/>
      <c r="E710" s="3">
        <f t="shared" si="33"/>
        <v>4.2687491768118822</v>
      </c>
      <c r="F710" s="3">
        <f t="shared" si="34"/>
        <v>4.2687491768118822</v>
      </c>
      <c r="G710" s="3">
        <f>IF($E710="","", DEGREES(ATAN((INDEX([1]Calc!$E:$E, MATCH("KminusZ_m", [1]Calc!$C:$C, 0)) - $E710 + $B710) / INDEX([1]Calc!$E:$E, MATCH("L_ramp_m", [1]Calc!$C:$C, 0)))))</f>
        <v>6.0000000000000009</v>
      </c>
      <c r="H710" s="2" t="str">
        <f>IF($E710="","", IF(AND($E710&gt;=INDEX([1]Calc!$E:$E, MATCH("min_fwd_draft_m", [1]Calc!$C:$C, 0)), $E710&lt;=INDEX([1]Calc!$E:$E, MATCH("max_fwd_draft_m", [1]Calc!$C:$C, 0)), $G710&lt;=INDEX([1]Calc!$E:$E, MATCH("theta_max_deg", [1]Calc!$C:$C, 0))), "OK", "CHECK"))</f>
        <v>CHECK</v>
      </c>
      <c r="I710" s="3">
        <f>IF($E710="","", INDEX([1]Calc!$E:$E, MATCH("D_vessel_m", [1]Calc!$C:$C, 0)) - $E710 + $B710)</f>
        <v>1.9112508231881176</v>
      </c>
      <c r="J710" s="3">
        <f>IF($F710="","", INDEX([1]Calc!$E:$E, MATCH("D_vessel_m", [1]Calc!$C:$C, 0)) - $F710 + $B710)</f>
        <v>1.9112508231881176</v>
      </c>
      <c r="K710" s="2" t="str">
        <f t="shared" si="35"/>
        <v>Even Keel</v>
      </c>
    </row>
    <row r="711" spans="1:11" x14ac:dyDescent="0.6">
      <c r="A711" s="2" t="str">
        <f>IF('December_Tide_2025 (2)'!A711="","",'December_Tide_2025 (2)'!A711)</f>
        <v>2025-12-30 13:00:00</v>
      </c>
      <c r="B711" s="3">
        <f>IF('December_Tide_2025 (2)'!B711="","",'December_Tide_2025 (2)'!B711)</f>
        <v>2.72</v>
      </c>
      <c r="C711" s="3">
        <f>IF($A711="","", INDEX([1]Calc!$E:$E, MATCH("KminusZ_m", [1]Calc!$C:$C, 0)) + $B711 - INDEX([1]Calc!$E:$E, MATCH("L_ramp_m", [1]Calc!$C:$C, 0)) * TAN(RADIANS(INDEX([1]Calc!$E:$E, MATCH("theta_max_deg", [1]Calc!$C:$C, 0)))))</f>
        <v>4.4587491768118834</v>
      </c>
      <c r="D711" s="3"/>
      <c r="E711" s="3">
        <f t="shared" si="33"/>
        <v>4.4587491768118834</v>
      </c>
      <c r="F711" s="3">
        <f t="shared" si="34"/>
        <v>4.4587491768118834</v>
      </c>
      <c r="G711" s="3">
        <f>IF($E711="","", DEGREES(ATAN((INDEX([1]Calc!$E:$E, MATCH("KminusZ_m", [1]Calc!$C:$C, 0)) - $E711 + $B711) / INDEX([1]Calc!$E:$E, MATCH("L_ramp_m", [1]Calc!$C:$C, 0)))))</f>
        <v>5.9999999999999964</v>
      </c>
      <c r="H711" s="2" t="str">
        <f>IF($E711="","", IF(AND($E711&gt;=INDEX([1]Calc!$E:$E, MATCH("min_fwd_draft_m", [1]Calc!$C:$C, 0)), $E711&lt;=INDEX([1]Calc!$E:$E, MATCH("max_fwd_draft_m", [1]Calc!$C:$C, 0)), $G711&lt;=INDEX([1]Calc!$E:$E, MATCH("theta_max_deg", [1]Calc!$C:$C, 0))), "OK", "CHECK"))</f>
        <v>CHECK</v>
      </c>
      <c r="I711" s="3">
        <f>IF($E711="","", INDEX([1]Calc!$E:$E, MATCH("D_vessel_m", [1]Calc!$C:$C, 0)) - $E711 + $B711)</f>
        <v>1.9112508231881167</v>
      </c>
      <c r="J711" s="3">
        <f>IF($F711="","", INDEX([1]Calc!$E:$E, MATCH("D_vessel_m", [1]Calc!$C:$C, 0)) - $F711 + $B711)</f>
        <v>1.9112508231881167</v>
      </c>
      <c r="K711" s="2" t="str">
        <f t="shared" si="35"/>
        <v>Even Keel</v>
      </c>
    </row>
    <row r="712" spans="1:11" x14ac:dyDescent="0.6">
      <c r="A712" s="2" t="str">
        <f>IF('December_Tide_2025 (2)'!A712="","",'December_Tide_2025 (2)'!A712)</f>
        <v>2025-12-30 14:00:00</v>
      </c>
      <c r="B712" s="3">
        <f>IF('December_Tide_2025 (2)'!B712="","",'December_Tide_2025 (2)'!B712)</f>
        <v>2.69</v>
      </c>
      <c r="C712" s="3">
        <f>IF($A712="","", INDEX([1]Calc!$E:$E, MATCH("KminusZ_m", [1]Calc!$C:$C, 0)) + $B712 - INDEX([1]Calc!$E:$E, MATCH("L_ramp_m", [1]Calc!$C:$C, 0)) * TAN(RADIANS(INDEX([1]Calc!$E:$E, MATCH("theta_max_deg", [1]Calc!$C:$C, 0)))))</f>
        <v>4.4287491768118823</v>
      </c>
      <c r="D712" s="3"/>
      <c r="E712" s="3">
        <f t="shared" si="33"/>
        <v>4.4287491768118823</v>
      </c>
      <c r="F712" s="3">
        <f t="shared" si="34"/>
        <v>4.4287491768118823</v>
      </c>
      <c r="G712" s="3">
        <f>IF($E712="","", DEGREES(ATAN((INDEX([1]Calc!$E:$E, MATCH("KminusZ_m", [1]Calc!$C:$C, 0)) - $E712 + $B712) / INDEX([1]Calc!$E:$E, MATCH("L_ramp_m", [1]Calc!$C:$C, 0)))))</f>
        <v>6.0000000000000009</v>
      </c>
      <c r="H712" s="2" t="str">
        <f>IF($E712="","", IF(AND($E712&gt;=INDEX([1]Calc!$E:$E, MATCH("min_fwd_draft_m", [1]Calc!$C:$C, 0)), $E712&lt;=INDEX([1]Calc!$E:$E, MATCH("max_fwd_draft_m", [1]Calc!$C:$C, 0)), $G712&lt;=INDEX([1]Calc!$E:$E, MATCH("theta_max_deg", [1]Calc!$C:$C, 0))), "OK", "CHECK"))</f>
        <v>CHECK</v>
      </c>
      <c r="I712" s="3">
        <f>IF($E712="","", INDEX([1]Calc!$E:$E, MATCH("D_vessel_m", [1]Calc!$C:$C, 0)) - $E712 + $B712)</f>
        <v>1.9112508231881176</v>
      </c>
      <c r="J712" s="3">
        <f>IF($F712="","", INDEX([1]Calc!$E:$E, MATCH("D_vessel_m", [1]Calc!$C:$C, 0)) - $F712 + $B712)</f>
        <v>1.9112508231881176</v>
      </c>
      <c r="K712" s="2" t="str">
        <f t="shared" si="35"/>
        <v>Even Keel</v>
      </c>
    </row>
    <row r="713" spans="1:11" x14ac:dyDescent="0.6">
      <c r="A713" s="2" t="str">
        <f>IF('December_Tide_2025 (2)'!A713="","",'December_Tide_2025 (2)'!A713)</f>
        <v>2025-12-30 15:00:00</v>
      </c>
      <c r="B713" s="3">
        <f>IF('December_Tide_2025 (2)'!B713="","",'December_Tide_2025 (2)'!B713)</f>
        <v>2.4300000000000002</v>
      </c>
      <c r="C713" s="3">
        <f>IF($A713="","", INDEX([1]Calc!$E:$E, MATCH("KminusZ_m", [1]Calc!$C:$C, 0)) + $B713 - INDEX([1]Calc!$E:$E, MATCH("L_ramp_m", [1]Calc!$C:$C, 0)) * TAN(RADIANS(INDEX([1]Calc!$E:$E, MATCH("theta_max_deg", [1]Calc!$C:$C, 0)))))</f>
        <v>4.1687491768118825</v>
      </c>
      <c r="D713" s="3"/>
      <c r="E713" s="3">
        <f t="shared" si="33"/>
        <v>4.1687491768118825</v>
      </c>
      <c r="F713" s="3">
        <f t="shared" si="34"/>
        <v>4.1687491768118825</v>
      </c>
      <c r="G713" s="3">
        <f>IF($E713="","", DEGREES(ATAN((INDEX([1]Calc!$E:$E, MATCH("KminusZ_m", [1]Calc!$C:$C, 0)) - $E713 + $B713) / INDEX([1]Calc!$E:$E, MATCH("L_ramp_m", [1]Calc!$C:$C, 0)))))</f>
        <v>6.0000000000000009</v>
      </c>
      <c r="H713" s="2" t="str">
        <f>IF($E713="","", IF(AND($E713&gt;=INDEX([1]Calc!$E:$E, MATCH("min_fwd_draft_m", [1]Calc!$C:$C, 0)), $E713&lt;=INDEX([1]Calc!$E:$E, MATCH("max_fwd_draft_m", [1]Calc!$C:$C, 0)), $G713&lt;=INDEX([1]Calc!$E:$E, MATCH("theta_max_deg", [1]Calc!$C:$C, 0))), "OK", "CHECK"))</f>
        <v>CHECK</v>
      </c>
      <c r="I713" s="3">
        <f>IF($E713="","", INDEX([1]Calc!$E:$E, MATCH("D_vessel_m", [1]Calc!$C:$C, 0)) - $E713 + $B713)</f>
        <v>1.9112508231881176</v>
      </c>
      <c r="J713" s="3">
        <f>IF($F713="","", INDEX([1]Calc!$E:$E, MATCH("D_vessel_m", [1]Calc!$C:$C, 0)) - $F713 + $B713)</f>
        <v>1.9112508231881176</v>
      </c>
      <c r="K713" s="2" t="str">
        <f t="shared" si="35"/>
        <v>Even Keel</v>
      </c>
    </row>
    <row r="714" spans="1:11" x14ac:dyDescent="0.6">
      <c r="A714" s="2" t="str">
        <f>IF('December_Tide_2025 (2)'!A714="","",'December_Tide_2025 (2)'!A714)</f>
        <v>2025-12-30 16:00:00</v>
      </c>
      <c r="B714" s="3">
        <f>IF('December_Tide_2025 (2)'!B714="","",'December_Tide_2025 (2)'!B714)</f>
        <v>2.0099999999999998</v>
      </c>
      <c r="C714" s="3">
        <f>IF($A714="","", INDEX([1]Calc!$E:$E, MATCH("KminusZ_m", [1]Calc!$C:$C, 0)) + $B714 - INDEX([1]Calc!$E:$E, MATCH("L_ramp_m", [1]Calc!$C:$C, 0)) * TAN(RADIANS(INDEX([1]Calc!$E:$E, MATCH("theta_max_deg", [1]Calc!$C:$C, 0)))))</f>
        <v>3.7487491768118821</v>
      </c>
      <c r="D714" s="3"/>
      <c r="E714" s="3">
        <f t="shared" si="33"/>
        <v>3.7487491768118821</v>
      </c>
      <c r="F714" s="3">
        <f t="shared" si="34"/>
        <v>3.7487491768118821</v>
      </c>
      <c r="G714" s="3">
        <f>IF($E714="","", DEGREES(ATAN((INDEX([1]Calc!$E:$E, MATCH("KminusZ_m", [1]Calc!$C:$C, 0)) - $E714 + $B714) / INDEX([1]Calc!$E:$E, MATCH("L_ramp_m", [1]Calc!$C:$C, 0)))))</f>
        <v>6.0000000000000009</v>
      </c>
      <c r="H714" s="2" t="str">
        <f>IF($E714="","", IF(AND($E714&gt;=INDEX([1]Calc!$E:$E, MATCH("min_fwd_draft_m", [1]Calc!$C:$C, 0)), $E714&lt;=INDEX([1]Calc!$E:$E, MATCH("max_fwd_draft_m", [1]Calc!$C:$C, 0)), $G714&lt;=INDEX([1]Calc!$E:$E, MATCH("theta_max_deg", [1]Calc!$C:$C, 0))), "OK", "CHECK"))</f>
        <v>CHECK</v>
      </c>
      <c r="I714" s="3">
        <f>IF($E714="","", INDEX([1]Calc!$E:$E, MATCH("D_vessel_m", [1]Calc!$C:$C, 0)) - $E714 + $B714)</f>
        <v>1.9112508231881176</v>
      </c>
      <c r="J714" s="3">
        <f>IF($F714="","", INDEX([1]Calc!$E:$E, MATCH("D_vessel_m", [1]Calc!$C:$C, 0)) - $F714 + $B714)</f>
        <v>1.9112508231881176</v>
      </c>
      <c r="K714" s="2" t="str">
        <f t="shared" si="35"/>
        <v>Even Keel</v>
      </c>
    </row>
    <row r="715" spans="1:11" x14ac:dyDescent="0.6">
      <c r="A715" s="2" t="str">
        <f>IF('December_Tide_2025 (2)'!A715="","",'December_Tide_2025 (2)'!A715)</f>
        <v>2025-12-30 17:00:00</v>
      </c>
      <c r="B715" s="3">
        <f>IF('December_Tide_2025 (2)'!B715="","",'December_Tide_2025 (2)'!B715)</f>
        <v>1.54</v>
      </c>
      <c r="C715" s="3">
        <f>IF($A715="","", INDEX([1]Calc!$E:$E, MATCH("KminusZ_m", [1]Calc!$C:$C, 0)) + $B715 - INDEX([1]Calc!$E:$E, MATCH("L_ramp_m", [1]Calc!$C:$C, 0)) * TAN(RADIANS(INDEX([1]Calc!$E:$E, MATCH("theta_max_deg", [1]Calc!$C:$C, 0)))))</f>
        <v>3.2787491768118824</v>
      </c>
      <c r="D715" s="3"/>
      <c r="E715" s="3">
        <f t="shared" si="33"/>
        <v>3.2787491768118824</v>
      </c>
      <c r="F715" s="3">
        <f t="shared" si="34"/>
        <v>3.2787491768118824</v>
      </c>
      <c r="G715" s="3">
        <f>IF($E715="","", DEGREES(ATAN((INDEX([1]Calc!$E:$E, MATCH("KminusZ_m", [1]Calc!$C:$C, 0)) - $E715 + $B715) / INDEX([1]Calc!$E:$E, MATCH("L_ramp_m", [1]Calc!$C:$C, 0)))))</f>
        <v>6.0000000000000009</v>
      </c>
      <c r="H715" s="2" t="str">
        <f>IF($E715="","", IF(AND($E715&gt;=INDEX([1]Calc!$E:$E, MATCH("min_fwd_draft_m", [1]Calc!$C:$C, 0)), $E715&lt;=INDEX([1]Calc!$E:$E, MATCH("max_fwd_draft_m", [1]Calc!$C:$C, 0)), $G715&lt;=INDEX([1]Calc!$E:$E, MATCH("theta_max_deg", [1]Calc!$C:$C, 0))), "OK", "CHECK"))</f>
        <v>OK</v>
      </c>
      <c r="I715" s="3">
        <f>IF($E715="","", INDEX([1]Calc!$E:$E, MATCH("D_vessel_m", [1]Calc!$C:$C, 0)) - $E715 + $B715)</f>
        <v>1.9112508231881176</v>
      </c>
      <c r="J715" s="3">
        <f>IF($F715="","", INDEX([1]Calc!$E:$E, MATCH("D_vessel_m", [1]Calc!$C:$C, 0)) - $F715 + $B715)</f>
        <v>1.9112508231881176</v>
      </c>
      <c r="K715" s="2" t="str">
        <f t="shared" si="35"/>
        <v>Even Keel</v>
      </c>
    </row>
    <row r="716" spans="1:11" x14ac:dyDescent="0.6">
      <c r="A716" s="2" t="str">
        <f>IF('December_Tide_2025 (2)'!A716="","",'December_Tide_2025 (2)'!A716)</f>
        <v>2025-12-30 18:00:00</v>
      </c>
      <c r="B716" s="3">
        <f>IF('December_Tide_2025 (2)'!B716="","",'December_Tide_2025 (2)'!B716)</f>
        <v>1.1399999999999999</v>
      </c>
      <c r="C716" s="3">
        <f>IF($A716="","", INDEX([1]Calc!$E:$E, MATCH("KminusZ_m", [1]Calc!$C:$C, 0)) + $B716 - INDEX([1]Calc!$E:$E, MATCH("L_ramp_m", [1]Calc!$C:$C, 0)) * TAN(RADIANS(INDEX([1]Calc!$E:$E, MATCH("theta_max_deg", [1]Calc!$C:$C, 0)))))</f>
        <v>2.878749176811882</v>
      </c>
      <c r="D716" s="3"/>
      <c r="E716" s="3">
        <f t="shared" si="33"/>
        <v>2.878749176811882</v>
      </c>
      <c r="F716" s="3">
        <f t="shared" si="34"/>
        <v>2.878749176811882</v>
      </c>
      <c r="G716" s="3">
        <f>IF($E716="","", DEGREES(ATAN((INDEX([1]Calc!$E:$E, MATCH("KminusZ_m", [1]Calc!$C:$C, 0)) - $E716 + $B716) / INDEX([1]Calc!$E:$E, MATCH("L_ramp_m", [1]Calc!$C:$C, 0)))))</f>
        <v>6.0000000000000009</v>
      </c>
      <c r="H716" s="2" t="str">
        <f>IF($E716="","", IF(AND($E716&gt;=INDEX([1]Calc!$E:$E, MATCH("min_fwd_draft_m", [1]Calc!$C:$C, 0)), $E716&lt;=INDEX([1]Calc!$E:$E, MATCH("max_fwd_draft_m", [1]Calc!$C:$C, 0)), $G716&lt;=INDEX([1]Calc!$E:$E, MATCH("theta_max_deg", [1]Calc!$C:$C, 0))), "OK", "CHECK"))</f>
        <v>OK</v>
      </c>
      <c r="I716" s="3">
        <f>IF($E716="","", INDEX([1]Calc!$E:$E, MATCH("D_vessel_m", [1]Calc!$C:$C, 0)) - $E716 + $B716)</f>
        <v>1.9112508231881178</v>
      </c>
      <c r="J716" s="3">
        <f>IF($F716="","", INDEX([1]Calc!$E:$E, MATCH("D_vessel_m", [1]Calc!$C:$C, 0)) - $F716 + $B716)</f>
        <v>1.9112508231881178</v>
      </c>
      <c r="K716" s="2" t="str">
        <f t="shared" si="35"/>
        <v>Even Keel</v>
      </c>
    </row>
    <row r="717" spans="1:11" x14ac:dyDescent="0.6">
      <c r="A717" s="2" t="str">
        <f>IF('December_Tide_2025 (2)'!A717="","",'December_Tide_2025 (2)'!A717)</f>
        <v>2025-12-30 19:00:00</v>
      </c>
      <c r="B717" s="3">
        <f>IF('December_Tide_2025 (2)'!B717="","",'December_Tide_2025 (2)'!B717)</f>
        <v>0.9</v>
      </c>
      <c r="C717" s="3">
        <f>IF($A717="","", INDEX([1]Calc!$E:$E, MATCH("KminusZ_m", [1]Calc!$C:$C, 0)) + $B717 - INDEX([1]Calc!$E:$E, MATCH("L_ramp_m", [1]Calc!$C:$C, 0)) * TAN(RADIANS(INDEX([1]Calc!$E:$E, MATCH("theta_max_deg", [1]Calc!$C:$C, 0)))))</f>
        <v>2.6387491768118823</v>
      </c>
      <c r="D717" s="3"/>
      <c r="E717" s="3">
        <f t="shared" si="33"/>
        <v>2.6387491768118823</v>
      </c>
      <c r="F717" s="3">
        <f t="shared" si="34"/>
        <v>2.6387491768118823</v>
      </c>
      <c r="G717" s="3">
        <f>IF($E717="","", DEGREES(ATAN((INDEX([1]Calc!$E:$E, MATCH("KminusZ_m", [1]Calc!$C:$C, 0)) - $E717 + $B717) / INDEX([1]Calc!$E:$E, MATCH("L_ramp_m", [1]Calc!$C:$C, 0)))))</f>
        <v>6.0000000000000009</v>
      </c>
      <c r="H717" s="2" t="str">
        <f>IF($E717="","", IF(AND($E717&gt;=INDEX([1]Calc!$E:$E, MATCH("min_fwd_draft_m", [1]Calc!$C:$C, 0)), $E717&lt;=INDEX([1]Calc!$E:$E, MATCH("max_fwd_draft_m", [1]Calc!$C:$C, 0)), $G717&lt;=INDEX([1]Calc!$E:$E, MATCH("theta_max_deg", [1]Calc!$C:$C, 0))), "OK", "CHECK"))</f>
        <v>OK</v>
      </c>
      <c r="I717" s="3">
        <f>IF($E717="","", INDEX([1]Calc!$E:$E, MATCH("D_vessel_m", [1]Calc!$C:$C, 0)) - $E717 + $B717)</f>
        <v>1.9112508231881176</v>
      </c>
      <c r="J717" s="3">
        <f>IF($F717="","", INDEX([1]Calc!$E:$E, MATCH("D_vessel_m", [1]Calc!$C:$C, 0)) - $F717 + $B717)</f>
        <v>1.9112508231881176</v>
      </c>
      <c r="K717" s="2" t="str">
        <f t="shared" si="35"/>
        <v>Even Keel</v>
      </c>
    </row>
    <row r="718" spans="1:11" x14ac:dyDescent="0.6">
      <c r="A718" s="2" t="str">
        <f>IF('December_Tide_2025 (2)'!A718="","",'December_Tide_2025 (2)'!A718)</f>
        <v>2025-12-30 20:00:00</v>
      </c>
      <c r="B718" s="3">
        <f>IF('December_Tide_2025 (2)'!B718="","",'December_Tide_2025 (2)'!B718)</f>
        <v>0.89</v>
      </c>
      <c r="C718" s="3">
        <f>IF($A718="","", INDEX([1]Calc!$E:$E, MATCH("KminusZ_m", [1]Calc!$C:$C, 0)) + $B718 - INDEX([1]Calc!$E:$E, MATCH("L_ramp_m", [1]Calc!$C:$C, 0)) * TAN(RADIANS(INDEX([1]Calc!$E:$E, MATCH("theta_max_deg", [1]Calc!$C:$C, 0)))))</f>
        <v>2.6287491768118825</v>
      </c>
      <c r="D718" s="3"/>
      <c r="E718" s="3">
        <f t="shared" si="33"/>
        <v>2.6287491768118825</v>
      </c>
      <c r="F718" s="3">
        <f t="shared" si="34"/>
        <v>2.6287491768118825</v>
      </c>
      <c r="G718" s="3">
        <f>IF($E718="","", DEGREES(ATAN((INDEX([1]Calc!$E:$E, MATCH("KminusZ_m", [1]Calc!$C:$C, 0)) - $E718 + $B718) / INDEX([1]Calc!$E:$E, MATCH("L_ramp_m", [1]Calc!$C:$C, 0)))))</f>
        <v>6.0000000000000009</v>
      </c>
      <c r="H718" s="2" t="str">
        <f>IF($E718="","", IF(AND($E718&gt;=INDEX([1]Calc!$E:$E, MATCH("min_fwd_draft_m", [1]Calc!$C:$C, 0)), $E718&lt;=INDEX([1]Calc!$E:$E, MATCH("max_fwd_draft_m", [1]Calc!$C:$C, 0)), $G718&lt;=INDEX([1]Calc!$E:$E, MATCH("theta_max_deg", [1]Calc!$C:$C, 0))), "OK", "CHECK"))</f>
        <v>OK</v>
      </c>
      <c r="I718" s="3">
        <f>IF($E718="","", INDEX([1]Calc!$E:$E, MATCH("D_vessel_m", [1]Calc!$C:$C, 0)) - $E718 + $B718)</f>
        <v>1.9112508231881176</v>
      </c>
      <c r="J718" s="3">
        <f>IF($F718="","", INDEX([1]Calc!$E:$E, MATCH("D_vessel_m", [1]Calc!$C:$C, 0)) - $F718 + $B718)</f>
        <v>1.9112508231881176</v>
      </c>
      <c r="K718" s="2" t="str">
        <f t="shared" si="35"/>
        <v>Even Keel</v>
      </c>
    </row>
    <row r="719" spans="1:11" x14ac:dyDescent="0.6">
      <c r="A719" s="2" t="str">
        <f>IF('December_Tide_2025 (2)'!A719="","",'December_Tide_2025 (2)'!A719)</f>
        <v>2025-12-30 21:00:00</v>
      </c>
      <c r="B719" s="3">
        <f>IF('December_Tide_2025 (2)'!B719="","",'December_Tide_2025 (2)'!B719)</f>
        <v>1.1100000000000001</v>
      </c>
      <c r="C719" s="3">
        <f>IF($A719="","", INDEX([1]Calc!$E:$E, MATCH("KminusZ_m", [1]Calc!$C:$C, 0)) + $B719 - INDEX([1]Calc!$E:$E, MATCH("L_ramp_m", [1]Calc!$C:$C, 0)) * TAN(RADIANS(INDEX([1]Calc!$E:$E, MATCH("theta_max_deg", [1]Calc!$C:$C, 0)))))</f>
        <v>2.8487491768118827</v>
      </c>
      <c r="D719" s="3"/>
      <c r="E719" s="3">
        <f t="shared" si="33"/>
        <v>2.8487491768118827</v>
      </c>
      <c r="F719" s="3">
        <f t="shared" si="34"/>
        <v>2.8487491768118827</v>
      </c>
      <c r="G719" s="3">
        <f>IF($E719="","", DEGREES(ATAN((INDEX([1]Calc!$E:$E, MATCH("KminusZ_m", [1]Calc!$C:$C, 0)) - $E719 + $B719) / INDEX([1]Calc!$E:$E, MATCH("L_ramp_m", [1]Calc!$C:$C, 0)))))</f>
        <v>6</v>
      </c>
      <c r="H719" s="2" t="str">
        <f>IF($E719="","", IF(AND($E719&gt;=INDEX([1]Calc!$E:$E, MATCH("min_fwd_draft_m", [1]Calc!$C:$C, 0)), $E719&lt;=INDEX([1]Calc!$E:$E, MATCH("max_fwd_draft_m", [1]Calc!$C:$C, 0)), $G719&lt;=INDEX([1]Calc!$E:$E, MATCH("theta_max_deg", [1]Calc!$C:$C, 0))), "OK", "CHECK"))</f>
        <v>OK</v>
      </c>
      <c r="I719" s="3">
        <f>IF($E719="","", INDEX([1]Calc!$E:$E, MATCH("D_vessel_m", [1]Calc!$C:$C, 0)) - $E719 + $B719)</f>
        <v>1.9112508231881173</v>
      </c>
      <c r="J719" s="3">
        <f>IF($F719="","", INDEX([1]Calc!$E:$E, MATCH("D_vessel_m", [1]Calc!$C:$C, 0)) - $F719 + $B719)</f>
        <v>1.9112508231881173</v>
      </c>
      <c r="K719" s="2" t="str">
        <f t="shared" si="35"/>
        <v>Even Keel</v>
      </c>
    </row>
    <row r="720" spans="1:11" x14ac:dyDescent="0.6">
      <c r="A720" s="2" t="str">
        <f>IF('December_Tide_2025 (2)'!A720="","",'December_Tide_2025 (2)'!A720)</f>
        <v>2025-12-30 22:00:00</v>
      </c>
      <c r="B720" s="3">
        <f>IF('December_Tide_2025 (2)'!B720="","",'December_Tide_2025 (2)'!B720)</f>
        <v>1.5</v>
      </c>
      <c r="C720" s="3">
        <f>IF($A720="","", INDEX([1]Calc!$E:$E, MATCH("KminusZ_m", [1]Calc!$C:$C, 0)) + $B720 - INDEX([1]Calc!$E:$E, MATCH("L_ramp_m", [1]Calc!$C:$C, 0)) * TAN(RADIANS(INDEX([1]Calc!$E:$E, MATCH("theta_max_deg", [1]Calc!$C:$C, 0)))))</f>
        <v>3.2387491768118823</v>
      </c>
      <c r="D720" s="3"/>
      <c r="E720" s="3">
        <f t="shared" si="33"/>
        <v>3.2387491768118823</v>
      </c>
      <c r="F720" s="3">
        <f t="shared" si="34"/>
        <v>3.2387491768118823</v>
      </c>
      <c r="G720" s="3">
        <f>IF($E720="","", DEGREES(ATAN((INDEX([1]Calc!$E:$E, MATCH("KminusZ_m", [1]Calc!$C:$C, 0)) - $E720 + $B720) / INDEX([1]Calc!$E:$E, MATCH("L_ramp_m", [1]Calc!$C:$C, 0)))))</f>
        <v>6.0000000000000009</v>
      </c>
      <c r="H720" s="2" t="str">
        <f>IF($E720="","", IF(AND($E720&gt;=INDEX([1]Calc!$E:$E, MATCH("min_fwd_draft_m", [1]Calc!$C:$C, 0)), $E720&lt;=INDEX([1]Calc!$E:$E, MATCH("max_fwd_draft_m", [1]Calc!$C:$C, 0)), $G720&lt;=INDEX([1]Calc!$E:$E, MATCH("theta_max_deg", [1]Calc!$C:$C, 0))), "OK", "CHECK"))</f>
        <v>OK</v>
      </c>
      <c r="I720" s="3">
        <f>IF($E720="","", INDEX([1]Calc!$E:$E, MATCH("D_vessel_m", [1]Calc!$C:$C, 0)) - $E720 + $B720)</f>
        <v>1.9112508231881176</v>
      </c>
      <c r="J720" s="3">
        <f>IF($F720="","", INDEX([1]Calc!$E:$E, MATCH("D_vessel_m", [1]Calc!$C:$C, 0)) - $F720 + $B720)</f>
        <v>1.9112508231881176</v>
      </c>
      <c r="K720" s="2" t="str">
        <f t="shared" si="35"/>
        <v>Even Keel</v>
      </c>
    </row>
    <row r="721" spans="1:11" x14ac:dyDescent="0.6">
      <c r="A721" s="2" t="str">
        <f>IF('December_Tide_2025 (2)'!A721="","",'December_Tide_2025 (2)'!A721)</f>
        <v>2025-12-30 23:00:00</v>
      </c>
      <c r="B721" s="3">
        <f>IF('December_Tide_2025 (2)'!B721="","",'December_Tide_2025 (2)'!B721)</f>
        <v>1.97</v>
      </c>
      <c r="C721" s="3">
        <f>IF($A721="","", INDEX([1]Calc!$E:$E, MATCH("KminusZ_m", [1]Calc!$C:$C, 0)) + $B721 - INDEX([1]Calc!$E:$E, MATCH("L_ramp_m", [1]Calc!$C:$C, 0)) * TAN(RADIANS(INDEX([1]Calc!$E:$E, MATCH("theta_max_deg", [1]Calc!$C:$C, 0)))))</f>
        <v>3.7087491768118821</v>
      </c>
      <c r="D721" s="3"/>
      <c r="E721" s="3">
        <f t="shared" si="33"/>
        <v>3.7087491768118821</v>
      </c>
      <c r="F721" s="3">
        <f t="shared" si="34"/>
        <v>3.7087491768118821</v>
      </c>
      <c r="G721" s="3">
        <f>IF($E721="","", DEGREES(ATAN((INDEX([1]Calc!$E:$E, MATCH("KminusZ_m", [1]Calc!$C:$C, 0)) - $E721 + $B721) / INDEX([1]Calc!$E:$E, MATCH("L_ramp_m", [1]Calc!$C:$C, 0)))))</f>
        <v>6.0000000000000009</v>
      </c>
      <c r="H721" s="2" t="str">
        <f>IF($E721="","", IF(AND($E721&gt;=INDEX([1]Calc!$E:$E, MATCH("min_fwd_draft_m", [1]Calc!$C:$C, 0)), $E721&lt;=INDEX([1]Calc!$E:$E, MATCH("max_fwd_draft_m", [1]Calc!$C:$C, 0)), $G721&lt;=INDEX([1]Calc!$E:$E, MATCH("theta_max_deg", [1]Calc!$C:$C, 0))), "OK", "CHECK"))</f>
        <v>CHECK</v>
      </c>
      <c r="I721" s="3">
        <f>IF($E721="","", INDEX([1]Calc!$E:$E, MATCH("D_vessel_m", [1]Calc!$C:$C, 0)) - $E721 + $B721)</f>
        <v>1.9112508231881178</v>
      </c>
      <c r="J721" s="3">
        <f>IF($F721="","", INDEX([1]Calc!$E:$E, MATCH("D_vessel_m", [1]Calc!$C:$C, 0)) - $F721 + $B721)</f>
        <v>1.9112508231881178</v>
      </c>
      <c r="K721" s="2" t="str">
        <f t="shared" si="35"/>
        <v>Even Keel</v>
      </c>
    </row>
    <row r="722" spans="1:11" x14ac:dyDescent="0.6">
      <c r="A722" s="2" t="str">
        <f>IF('December_Tide_2025 (2)'!A722="","",'December_Tide_2025 (2)'!A722)</f>
        <v>2025-12-31 00:00:00</v>
      </c>
      <c r="B722" s="3">
        <f>IF('December_Tide_2025 (2)'!B722="","",'December_Tide_2025 (2)'!B722)</f>
        <v>2.39</v>
      </c>
      <c r="C722" s="3">
        <f>IF($A722="","", INDEX([1]Calc!$E:$E, MATCH("KminusZ_m", [1]Calc!$C:$C, 0)) + $B722 - INDEX([1]Calc!$E:$E, MATCH("L_ramp_m", [1]Calc!$C:$C, 0)) * TAN(RADIANS(INDEX([1]Calc!$E:$E, MATCH("theta_max_deg", [1]Calc!$C:$C, 0)))))</f>
        <v>4.1287491768118834</v>
      </c>
      <c r="D722" s="3"/>
      <c r="E722" s="3">
        <f t="shared" si="33"/>
        <v>4.1287491768118834</v>
      </c>
      <c r="F722" s="3">
        <f t="shared" si="34"/>
        <v>4.1287491768118834</v>
      </c>
      <c r="G722" s="3">
        <f>IF($E722="","", DEGREES(ATAN((INDEX([1]Calc!$E:$E, MATCH("KminusZ_m", [1]Calc!$C:$C, 0)) - $E722 + $B722) / INDEX([1]Calc!$E:$E, MATCH("L_ramp_m", [1]Calc!$C:$C, 0)))))</f>
        <v>5.9999999999999964</v>
      </c>
      <c r="H722" s="2" t="str">
        <f>IF($E722="","", IF(AND($E722&gt;=INDEX([1]Calc!$E:$E, MATCH("min_fwd_draft_m", [1]Calc!$C:$C, 0)), $E722&lt;=INDEX([1]Calc!$E:$E, MATCH("max_fwd_draft_m", [1]Calc!$C:$C, 0)), $G722&lt;=INDEX([1]Calc!$E:$E, MATCH("theta_max_deg", [1]Calc!$C:$C, 0))), "OK", "CHECK"))</f>
        <v>CHECK</v>
      </c>
      <c r="I722" s="3">
        <f>IF($E722="","", INDEX([1]Calc!$E:$E, MATCH("D_vessel_m", [1]Calc!$C:$C, 0)) - $E722 + $B722)</f>
        <v>1.9112508231881167</v>
      </c>
      <c r="J722" s="3">
        <f>IF($F722="","", INDEX([1]Calc!$E:$E, MATCH("D_vessel_m", [1]Calc!$C:$C, 0)) - $F722 + $B722)</f>
        <v>1.9112508231881167</v>
      </c>
      <c r="K722" s="2" t="str">
        <f t="shared" si="35"/>
        <v>Even Keel</v>
      </c>
    </row>
    <row r="723" spans="1:11" x14ac:dyDescent="0.6">
      <c r="A723" s="2" t="str">
        <f>IF('December_Tide_2025 (2)'!A723="","",'December_Tide_2025 (2)'!A723)</f>
        <v>2025-12-31 01:00:00</v>
      </c>
      <c r="B723" s="3">
        <f>IF('December_Tide_2025 (2)'!B723="","",'December_Tide_2025 (2)'!B723)</f>
        <v>2.67</v>
      </c>
      <c r="C723" s="3">
        <f>IF($A723="","", INDEX([1]Calc!$E:$E, MATCH("KminusZ_m", [1]Calc!$C:$C, 0)) + $B723 - INDEX([1]Calc!$E:$E, MATCH("L_ramp_m", [1]Calc!$C:$C, 0)) * TAN(RADIANS(INDEX([1]Calc!$E:$E, MATCH("theta_max_deg", [1]Calc!$C:$C, 0)))))</f>
        <v>4.4087491768118827</v>
      </c>
      <c r="D723" s="3"/>
      <c r="E723" s="3">
        <f t="shared" si="33"/>
        <v>4.4087491768118827</v>
      </c>
      <c r="F723" s="3">
        <f t="shared" si="34"/>
        <v>4.4087491768118827</v>
      </c>
      <c r="G723" s="3">
        <f>IF($E723="","", DEGREES(ATAN((INDEX([1]Calc!$E:$E, MATCH("KminusZ_m", [1]Calc!$C:$C, 0)) - $E723 + $B723) / INDEX([1]Calc!$E:$E, MATCH("L_ramp_m", [1]Calc!$C:$C, 0)))))</f>
        <v>5.9999999999999982</v>
      </c>
      <c r="H723" s="2" t="str">
        <f>IF($E723="","", IF(AND($E723&gt;=INDEX([1]Calc!$E:$E, MATCH("min_fwd_draft_m", [1]Calc!$C:$C, 0)), $E723&lt;=INDEX([1]Calc!$E:$E, MATCH("max_fwd_draft_m", [1]Calc!$C:$C, 0)), $G723&lt;=INDEX([1]Calc!$E:$E, MATCH("theta_max_deg", [1]Calc!$C:$C, 0))), "OK", "CHECK"))</f>
        <v>CHECK</v>
      </c>
      <c r="I723" s="3">
        <f>IF($E723="","", INDEX([1]Calc!$E:$E, MATCH("D_vessel_m", [1]Calc!$C:$C, 0)) - $E723 + $B723)</f>
        <v>1.9112508231881171</v>
      </c>
      <c r="J723" s="3">
        <f>IF($F723="","", INDEX([1]Calc!$E:$E, MATCH("D_vessel_m", [1]Calc!$C:$C, 0)) - $F723 + $B723)</f>
        <v>1.9112508231881171</v>
      </c>
      <c r="K723" s="2" t="str">
        <f t="shared" si="35"/>
        <v>Even Keel</v>
      </c>
    </row>
    <row r="724" spans="1:11" x14ac:dyDescent="0.6">
      <c r="A724" s="2" t="str">
        <f>IF('December_Tide_2025 (2)'!A724="","",'December_Tide_2025 (2)'!A724)</f>
        <v>2025-12-31 02:00:00</v>
      </c>
      <c r="B724" s="3">
        <f>IF('December_Tide_2025 (2)'!B724="","",'December_Tide_2025 (2)'!B724)</f>
        <v>2.73</v>
      </c>
      <c r="C724" s="3">
        <f>IF($A724="","", INDEX([1]Calc!$E:$E, MATCH("KminusZ_m", [1]Calc!$C:$C, 0)) + $B724 - INDEX([1]Calc!$E:$E, MATCH("L_ramp_m", [1]Calc!$C:$C, 0)) * TAN(RADIANS(INDEX([1]Calc!$E:$E, MATCH("theta_max_deg", [1]Calc!$C:$C, 0)))))</f>
        <v>4.4687491768118832</v>
      </c>
      <c r="D724" s="3"/>
      <c r="E724" s="3">
        <f t="shared" si="33"/>
        <v>4.4687491768118832</v>
      </c>
      <c r="F724" s="3">
        <f t="shared" si="34"/>
        <v>4.4687491768118832</v>
      </c>
      <c r="G724" s="3">
        <f>IF($E724="","", DEGREES(ATAN((INDEX([1]Calc!$E:$E, MATCH("KminusZ_m", [1]Calc!$C:$C, 0)) - $E724 + $B724) / INDEX([1]Calc!$E:$E, MATCH("L_ramp_m", [1]Calc!$C:$C, 0)))))</f>
        <v>5.9999999999999964</v>
      </c>
      <c r="H724" s="2" t="str">
        <f>IF($E724="","", IF(AND($E724&gt;=INDEX([1]Calc!$E:$E, MATCH("min_fwd_draft_m", [1]Calc!$C:$C, 0)), $E724&lt;=INDEX([1]Calc!$E:$E, MATCH("max_fwd_draft_m", [1]Calc!$C:$C, 0)), $G724&lt;=INDEX([1]Calc!$E:$E, MATCH("theta_max_deg", [1]Calc!$C:$C, 0))), "OK", "CHECK"))</f>
        <v>CHECK</v>
      </c>
      <c r="I724" s="3">
        <f>IF($E724="","", INDEX([1]Calc!$E:$E, MATCH("D_vessel_m", [1]Calc!$C:$C, 0)) - $E724 + $B724)</f>
        <v>1.9112508231881167</v>
      </c>
      <c r="J724" s="3">
        <f>IF($F724="","", INDEX([1]Calc!$E:$E, MATCH("D_vessel_m", [1]Calc!$C:$C, 0)) - $F724 + $B724)</f>
        <v>1.9112508231881167</v>
      </c>
      <c r="K724" s="2" t="str">
        <f t="shared" si="35"/>
        <v>Even Keel</v>
      </c>
    </row>
    <row r="725" spans="1:11" x14ac:dyDescent="0.6">
      <c r="A725" s="2" t="str">
        <f>IF('December_Tide_2025 (2)'!A725="","",'December_Tide_2025 (2)'!A725)</f>
        <v>2025-12-31 03:00:00</v>
      </c>
      <c r="B725" s="3">
        <f>IF('December_Tide_2025 (2)'!B725="","",'December_Tide_2025 (2)'!B725)</f>
        <v>2.5499999999999998</v>
      </c>
      <c r="C725" s="3">
        <f>IF($A725="","", INDEX([1]Calc!$E:$E, MATCH("KminusZ_m", [1]Calc!$C:$C, 0)) + $B725 - INDEX([1]Calc!$E:$E, MATCH("L_ramp_m", [1]Calc!$C:$C, 0)) * TAN(RADIANS(INDEX([1]Calc!$E:$E, MATCH("theta_max_deg", [1]Calc!$C:$C, 0)))))</f>
        <v>4.2887491768118817</v>
      </c>
      <c r="D725" s="3"/>
      <c r="E725" s="3">
        <f t="shared" si="33"/>
        <v>4.2887491768118817</v>
      </c>
      <c r="F725" s="3">
        <f t="shared" si="34"/>
        <v>4.2887491768118817</v>
      </c>
      <c r="G725" s="3">
        <f>IF($E725="","", DEGREES(ATAN((INDEX([1]Calc!$E:$E, MATCH("KminusZ_m", [1]Calc!$C:$C, 0)) - $E725 + $B725) / INDEX([1]Calc!$E:$E, MATCH("L_ramp_m", [1]Calc!$C:$C, 0)))))</f>
        <v>6.0000000000000027</v>
      </c>
      <c r="H725" s="2" t="str">
        <f>IF($E725="","", IF(AND($E725&gt;=INDEX([1]Calc!$E:$E, MATCH("min_fwd_draft_m", [1]Calc!$C:$C, 0)), $E725&lt;=INDEX([1]Calc!$E:$E, MATCH("max_fwd_draft_m", [1]Calc!$C:$C, 0)), $G725&lt;=INDEX([1]Calc!$E:$E, MATCH("theta_max_deg", [1]Calc!$C:$C, 0))), "OK", "CHECK"))</f>
        <v>CHECK</v>
      </c>
      <c r="I725" s="3">
        <f>IF($E725="","", INDEX([1]Calc!$E:$E, MATCH("D_vessel_m", [1]Calc!$C:$C, 0)) - $E725 + $B725)</f>
        <v>1.911250823188118</v>
      </c>
      <c r="J725" s="3">
        <f>IF($F725="","", INDEX([1]Calc!$E:$E, MATCH("D_vessel_m", [1]Calc!$C:$C, 0)) - $F725 + $B725)</f>
        <v>1.911250823188118</v>
      </c>
      <c r="K725" s="2" t="str">
        <f t="shared" si="35"/>
        <v>Even Keel</v>
      </c>
    </row>
    <row r="726" spans="1:11" x14ac:dyDescent="0.6">
      <c r="A726" s="2" t="str">
        <f>IF('December_Tide_2025 (2)'!A726="","",'December_Tide_2025 (2)'!A726)</f>
        <v>2025-12-31 04:00:00</v>
      </c>
      <c r="B726" s="3">
        <f>IF('December_Tide_2025 (2)'!B726="","",'December_Tide_2025 (2)'!B726)</f>
        <v>2.19</v>
      </c>
      <c r="C726" s="3">
        <f>IF($A726="","", INDEX([1]Calc!$E:$E, MATCH("KminusZ_m", [1]Calc!$C:$C, 0)) + $B726 - INDEX([1]Calc!$E:$E, MATCH("L_ramp_m", [1]Calc!$C:$C, 0)) * TAN(RADIANS(INDEX([1]Calc!$E:$E, MATCH("theta_max_deg", [1]Calc!$C:$C, 0)))))</f>
        <v>3.9287491768118818</v>
      </c>
      <c r="D726" s="3"/>
      <c r="E726" s="3">
        <f t="shared" si="33"/>
        <v>3.9287491768118818</v>
      </c>
      <c r="F726" s="3">
        <f t="shared" si="34"/>
        <v>3.9287491768118818</v>
      </c>
      <c r="G726" s="3">
        <f>IF($E726="","", DEGREES(ATAN((INDEX([1]Calc!$E:$E, MATCH("KminusZ_m", [1]Calc!$C:$C, 0)) - $E726 + $B726) / INDEX([1]Calc!$E:$E, MATCH("L_ramp_m", [1]Calc!$C:$C, 0)))))</f>
        <v>6.0000000000000027</v>
      </c>
      <c r="H726" s="2" t="str">
        <f>IF($E726="","", IF(AND($E726&gt;=INDEX([1]Calc!$E:$E, MATCH("min_fwd_draft_m", [1]Calc!$C:$C, 0)), $E726&lt;=INDEX([1]Calc!$E:$E, MATCH("max_fwd_draft_m", [1]Calc!$C:$C, 0)), $G726&lt;=INDEX([1]Calc!$E:$E, MATCH("theta_max_deg", [1]Calc!$C:$C, 0))), "OK", "CHECK"))</f>
        <v>CHECK</v>
      </c>
      <c r="I726" s="3">
        <f>IF($E726="","", INDEX([1]Calc!$E:$E, MATCH("D_vessel_m", [1]Calc!$C:$C, 0)) - $E726 + $B726)</f>
        <v>1.911250823188118</v>
      </c>
      <c r="J726" s="3">
        <f>IF($F726="","", INDEX([1]Calc!$E:$E, MATCH("D_vessel_m", [1]Calc!$C:$C, 0)) - $F726 + $B726)</f>
        <v>1.911250823188118</v>
      </c>
      <c r="K726" s="2" t="str">
        <f t="shared" si="35"/>
        <v>Even Keel</v>
      </c>
    </row>
    <row r="727" spans="1:11" x14ac:dyDescent="0.6">
      <c r="A727" s="2" t="str">
        <f>IF('December_Tide_2025 (2)'!A727="","",'December_Tide_2025 (2)'!A727)</f>
        <v>2025-12-31 05:00:00</v>
      </c>
      <c r="B727" s="3">
        <f>IF('December_Tide_2025 (2)'!B727="","",'December_Tide_2025 (2)'!B727)</f>
        <v>1.73</v>
      </c>
      <c r="C727" s="3">
        <f>IF($A727="","", INDEX([1]Calc!$E:$E, MATCH("KminusZ_m", [1]Calc!$C:$C, 0)) + $B727 - INDEX([1]Calc!$E:$E, MATCH("L_ramp_m", [1]Calc!$C:$C, 0)) * TAN(RADIANS(INDEX([1]Calc!$E:$E, MATCH("theta_max_deg", [1]Calc!$C:$C, 0)))))</f>
        <v>3.4687491768118828</v>
      </c>
      <c r="D727" s="3"/>
      <c r="E727" s="3">
        <f t="shared" si="33"/>
        <v>3.4687491768118828</v>
      </c>
      <c r="F727" s="3">
        <f t="shared" si="34"/>
        <v>3.4687491768118828</v>
      </c>
      <c r="G727" s="3">
        <f>IF($E727="","", DEGREES(ATAN((INDEX([1]Calc!$E:$E, MATCH("KminusZ_m", [1]Calc!$C:$C, 0)) - $E727 + $B727) / INDEX([1]Calc!$E:$E, MATCH("L_ramp_m", [1]Calc!$C:$C, 0)))))</f>
        <v>5.9999999999999982</v>
      </c>
      <c r="H727" s="2" t="str">
        <f>IF($E727="","", IF(AND($E727&gt;=INDEX([1]Calc!$E:$E, MATCH("min_fwd_draft_m", [1]Calc!$C:$C, 0)), $E727&lt;=INDEX([1]Calc!$E:$E, MATCH("max_fwd_draft_m", [1]Calc!$C:$C, 0)), $G727&lt;=INDEX([1]Calc!$E:$E, MATCH("theta_max_deg", [1]Calc!$C:$C, 0))), "OK", "CHECK"))</f>
        <v>OK</v>
      </c>
      <c r="I727" s="3">
        <f>IF($E727="","", INDEX([1]Calc!$E:$E, MATCH("D_vessel_m", [1]Calc!$C:$C, 0)) - $E727 + $B727)</f>
        <v>1.9112508231881171</v>
      </c>
      <c r="J727" s="3">
        <f>IF($F727="","", INDEX([1]Calc!$E:$E, MATCH("D_vessel_m", [1]Calc!$C:$C, 0)) - $F727 + $B727)</f>
        <v>1.9112508231881171</v>
      </c>
      <c r="K727" s="2" t="str">
        <f t="shared" si="35"/>
        <v>Even Keel</v>
      </c>
    </row>
    <row r="728" spans="1:11" x14ac:dyDescent="0.6">
      <c r="A728" s="2" t="str">
        <f>IF('December_Tide_2025 (2)'!A728="","",'December_Tide_2025 (2)'!A728)</f>
        <v>2025-12-31 06:00:00</v>
      </c>
      <c r="B728" s="3">
        <f>IF('December_Tide_2025 (2)'!B728="","",'December_Tide_2025 (2)'!B728)</f>
        <v>1.28</v>
      </c>
      <c r="C728" s="3">
        <f>IF($A728="","", INDEX([1]Calc!$E:$E, MATCH("KminusZ_m", [1]Calc!$C:$C, 0)) + $B728 - INDEX([1]Calc!$E:$E, MATCH("L_ramp_m", [1]Calc!$C:$C, 0)) * TAN(RADIANS(INDEX([1]Calc!$E:$E, MATCH("theta_max_deg", [1]Calc!$C:$C, 0)))))</f>
        <v>3.0187491768118826</v>
      </c>
      <c r="D728" s="3"/>
      <c r="E728" s="3">
        <f t="shared" si="33"/>
        <v>3.0187491768118826</v>
      </c>
      <c r="F728" s="3">
        <f t="shared" si="34"/>
        <v>3.0187491768118826</v>
      </c>
      <c r="G728" s="3">
        <f>IF($E728="","", DEGREES(ATAN((INDEX([1]Calc!$E:$E, MATCH("KminusZ_m", [1]Calc!$C:$C, 0)) - $E728 + $B728) / INDEX([1]Calc!$E:$E, MATCH("L_ramp_m", [1]Calc!$C:$C, 0)))))</f>
        <v>6</v>
      </c>
      <c r="H728" s="2" t="str">
        <f>IF($E728="","", IF(AND($E728&gt;=INDEX([1]Calc!$E:$E, MATCH("min_fwd_draft_m", [1]Calc!$C:$C, 0)), $E728&lt;=INDEX([1]Calc!$E:$E, MATCH("max_fwd_draft_m", [1]Calc!$C:$C, 0)), $G728&lt;=INDEX([1]Calc!$E:$E, MATCH("theta_max_deg", [1]Calc!$C:$C, 0))), "OK", "CHECK"))</f>
        <v>OK</v>
      </c>
      <c r="I728" s="3">
        <f>IF($E728="","", INDEX([1]Calc!$E:$E, MATCH("D_vessel_m", [1]Calc!$C:$C, 0)) - $E728 + $B728)</f>
        <v>1.9112508231881173</v>
      </c>
      <c r="J728" s="3">
        <f>IF($F728="","", INDEX([1]Calc!$E:$E, MATCH("D_vessel_m", [1]Calc!$C:$C, 0)) - $F728 + $B728)</f>
        <v>1.9112508231881173</v>
      </c>
      <c r="K728" s="2" t="str">
        <f t="shared" si="35"/>
        <v>Even Keel</v>
      </c>
    </row>
    <row r="729" spans="1:11" x14ac:dyDescent="0.6">
      <c r="A729" s="2" t="str">
        <f>IF('December_Tide_2025 (2)'!A729="","",'December_Tide_2025 (2)'!A729)</f>
        <v>2025-12-31 07:00:00</v>
      </c>
      <c r="B729" s="3">
        <f>IF('December_Tide_2025 (2)'!B729="","",'December_Tide_2025 (2)'!B729)</f>
        <v>0.97</v>
      </c>
      <c r="C729" s="3">
        <f>IF($A729="","", INDEX([1]Calc!$E:$E, MATCH("KminusZ_m", [1]Calc!$C:$C, 0)) + $B729 - INDEX([1]Calc!$E:$E, MATCH("L_ramp_m", [1]Calc!$C:$C, 0)) * TAN(RADIANS(INDEX([1]Calc!$E:$E, MATCH("theta_max_deg", [1]Calc!$C:$C, 0)))))</f>
        <v>2.7087491768118821</v>
      </c>
      <c r="D729" s="3"/>
      <c r="E729" s="3">
        <f t="shared" si="33"/>
        <v>2.7087491768118821</v>
      </c>
      <c r="F729" s="3">
        <f t="shared" si="34"/>
        <v>2.7087491768118821</v>
      </c>
      <c r="G729" s="3">
        <f>IF($E729="","", DEGREES(ATAN((INDEX([1]Calc!$E:$E, MATCH("KminusZ_m", [1]Calc!$C:$C, 0)) - $E729 + $B729) / INDEX([1]Calc!$E:$E, MATCH("L_ramp_m", [1]Calc!$C:$C, 0)))))</f>
        <v>6.0000000000000009</v>
      </c>
      <c r="H729" s="2" t="str">
        <f>IF($E729="","", IF(AND($E729&gt;=INDEX([1]Calc!$E:$E, MATCH("min_fwd_draft_m", [1]Calc!$C:$C, 0)), $E729&lt;=INDEX([1]Calc!$E:$E, MATCH("max_fwd_draft_m", [1]Calc!$C:$C, 0)), $G729&lt;=INDEX([1]Calc!$E:$E, MATCH("theta_max_deg", [1]Calc!$C:$C, 0))), "OK", "CHECK"))</f>
        <v>OK</v>
      </c>
      <c r="I729" s="3">
        <f>IF($E729="","", INDEX([1]Calc!$E:$E, MATCH("D_vessel_m", [1]Calc!$C:$C, 0)) - $E729 + $B729)</f>
        <v>1.9112508231881178</v>
      </c>
      <c r="J729" s="3">
        <f>IF($F729="","", INDEX([1]Calc!$E:$E, MATCH("D_vessel_m", [1]Calc!$C:$C, 0)) - $F729 + $B729)</f>
        <v>1.9112508231881178</v>
      </c>
      <c r="K729" s="2" t="str">
        <f t="shared" si="35"/>
        <v>Even Keel</v>
      </c>
    </row>
    <row r="730" spans="1:11" x14ac:dyDescent="0.6">
      <c r="A730" s="2" t="str">
        <f>IF('December_Tide_2025 (2)'!A730="","",'December_Tide_2025 (2)'!A730)</f>
        <v>2025-12-31 08:00:00</v>
      </c>
      <c r="B730" s="3">
        <f>IF('December_Tide_2025 (2)'!B730="","",'December_Tide_2025 (2)'!B730)</f>
        <v>0.86</v>
      </c>
      <c r="C730" s="3">
        <f>IF($A730="","", INDEX([1]Calc!$E:$E, MATCH("KminusZ_m", [1]Calc!$C:$C, 0)) + $B730 - INDEX([1]Calc!$E:$E, MATCH("L_ramp_m", [1]Calc!$C:$C, 0)) * TAN(RADIANS(INDEX([1]Calc!$E:$E, MATCH("theta_max_deg", [1]Calc!$C:$C, 0)))))</f>
        <v>2.5987491768118822</v>
      </c>
      <c r="D730" s="3"/>
      <c r="E730" s="3">
        <f t="shared" si="33"/>
        <v>2.5987491768118822</v>
      </c>
      <c r="F730" s="3">
        <f t="shared" si="34"/>
        <v>2.5987491768118822</v>
      </c>
      <c r="G730" s="3">
        <f>IF($E730="","", DEGREES(ATAN((INDEX([1]Calc!$E:$E, MATCH("KminusZ_m", [1]Calc!$C:$C, 0)) - $E730 + $B730) / INDEX([1]Calc!$E:$E, MATCH("L_ramp_m", [1]Calc!$C:$C, 0)))))</f>
        <v>6.0000000000000009</v>
      </c>
      <c r="H730" s="2" t="str">
        <f>IF($E730="","", IF(AND($E730&gt;=INDEX([1]Calc!$E:$E, MATCH("min_fwd_draft_m", [1]Calc!$C:$C, 0)), $E730&lt;=INDEX([1]Calc!$E:$E, MATCH("max_fwd_draft_m", [1]Calc!$C:$C, 0)), $G730&lt;=INDEX([1]Calc!$E:$E, MATCH("theta_max_deg", [1]Calc!$C:$C, 0))), "OK", "CHECK"))</f>
        <v>OK</v>
      </c>
      <c r="I730" s="3">
        <f>IF($E730="","", INDEX([1]Calc!$E:$E, MATCH("D_vessel_m", [1]Calc!$C:$C, 0)) - $E730 + $B730)</f>
        <v>1.9112508231881176</v>
      </c>
      <c r="J730" s="3">
        <f>IF($F730="","", INDEX([1]Calc!$E:$E, MATCH("D_vessel_m", [1]Calc!$C:$C, 0)) - $F730 + $B730)</f>
        <v>1.9112508231881176</v>
      </c>
      <c r="K730" s="2" t="str">
        <f t="shared" si="35"/>
        <v>Even Keel</v>
      </c>
    </row>
    <row r="731" spans="1:11" x14ac:dyDescent="0.6">
      <c r="A731" s="2" t="str">
        <f>IF('December_Tide_2025 (2)'!A731="","",'December_Tide_2025 (2)'!A731)</f>
        <v>2025-12-31 09:00:00</v>
      </c>
      <c r="B731" s="3">
        <f>IF('December_Tide_2025 (2)'!B731="","",'December_Tide_2025 (2)'!B731)</f>
        <v>0.99</v>
      </c>
      <c r="C731" s="3">
        <f>IF($A731="","", INDEX([1]Calc!$E:$E, MATCH("KminusZ_m", [1]Calc!$C:$C, 0)) + $B731 - INDEX([1]Calc!$E:$E, MATCH("L_ramp_m", [1]Calc!$C:$C, 0)) * TAN(RADIANS(INDEX([1]Calc!$E:$E, MATCH("theta_max_deg", [1]Calc!$C:$C, 0)))))</f>
        <v>2.7287491768118826</v>
      </c>
      <c r="D731" s="3"/>
      <c r="E731" s="3">
        <f t="shared" si="33"/>
        <v>2.7287491768118826</v>
      </c>
      <c r="F731" s="3">
        <f t="shared" si="34"/>
        <v>2.7287491768118826</v>
      </c>
      <c r="G731" s="3">
        <f>IF($E731="","", DEGREES(ATAN((INDEX([1]Calc!$E:$E, MATCH("KminusZ_m", [1]Calc!$C:$C, 0)) - $E731 + $B731) / INDEX([1]Calc!$E:$E, MATCH("L_ramp_m", [1]Calc!$C:$C, 0)))))</f>
        <v>6</v>
      </c>
      <c r="H731" s="2" t="str">
        <f>IF($E731="","", IF(AND($E731&gt;=INDEX([1]Calc!$E:$E, MATCH("min_fwd_draft_m", [1]Calc!$C:$C, 0)), $E731&lt;=INDEX([1]Calc!$E:$E, MATCH("max_fwd_draft_m", [1]Calc!$C:$C, 0)), $G731&lt;=INDEX([1]Calc!$E:$E, MATCH("theta_max_deg", [1]Calc!$C:$C, 0))), "OK", "CHECK"))</f>
        <v>OK</v>
      </c>
      <c r="I731" s="3">
        <f>IF($E731="","", INDEX([1]Calc!$E:$E, MATCH("D_vessel_m", [1]Calc!$C:$C, 0)) - $E731 + $B731)</f>
        <v>1.9112508231881173</v>
      </c>
      <c r="J731" s="3">
        <f>IF($F731="","", INDEX([1]Calc!$E:$E, MATCH("D_vessel_m", [1]Calc!$C:$C, 0)) - $F731 + $B731)</f>
        <v>1.9112508231881173</v>
      </c>
      <c r="K731" s="2" t="str">
        <f t="shared" si="35"/>
        <v>Even Keel</v>
      </c>
    </row>
    <row r="732" spans="1:11" x14ac:dyDescent="0.6">
      <c r="A732" s="2" t="str">
        <f>IF('December_Tide_2025 (2)'!A732="","",'December_Tide_2025 (2)'!A732)</f>
        <v>2025-12-31 10:00:00</v>
      </c>
      <c r="B732" s="3">
        <f>IF('December_Tide_2025 (2)'!B732="","",'December_Tide_2025 (2)'!B732)</f>
        <v>1.33</v>
      </c>
      <c r="C732" s="3">
        <f>IF($A732="","", INDEX([1]Calc!$E:$E, MATCH("KminusZ_m", [1]Calc!$C:$C, 0)) + $B732 - INDEX([1]Calc!$E:$E, MATCH("L_ramp_m", [1]Calc!$C:$C, 0)) * TAN(RADIANS(INDEX([1]Calc!$E:$E, MATCH("theta_max_deg", [1]Calc!$C:$C, 0)))))</f>
        <v>3.0687491768118824</v>
      </c>
      <c r="D732" s="3"/>
      <c r="E732" s="3">
        <f t="shared" si="33"/>
        <v>3.0687491768118824</v>
      </c>
      <c r="F732" s="3">
        <f t="shared" si="34"/>
        <v>3.0687491768118824</v>
      </c>
      <c r="G732" s="3">
        <f>IF($E732="","", DEGREES(ATAN((INDEX([1]Calc!$E:$E, MATCH("KminusZ_m", [1]Calc!$C:$C, 0)) - $E732 + $B732) / INDEX([1]Calc!$E:$E, MATCH("L_ramp_m", [1]Calc!$C:$C, 0)))))</f>
        <v>6.0000000000000009</v>
      </c>
      <c r="H732" s="2" t="str">
        <f>IF($E732="","", IF(AND($E732&gt;=INDEX([1]Calc!$E:$E, MATCH("min_fwd_draft_m", [1]Calc!$C:$C, 0)), $E732&lt;=INDEX([1]Calc!$E:$E, MATCH("max_fwd_draft_m", [1]Calc!$C:$C, 0)), $G732&lt;=INDEX([1]Calc!$E:$E, MATCH("theta_max_deg", [1]Calc!$C:$C, 0))), "OK", "CHECK"))</f>
        <v>OK</v>
      </c>
      <c r="I732" s="3">
        <f>IF($E732="","", INDEX([1]Calc!$E:$E, MATCH("D_vessel_m", [1]Calc!$C:$C, 0)) - $E732 + $B732)</f>
        <v>1.9112508231881176</v>
      </c>
      <c r="J732" s="3">
        <f>IF($F732="","", INDEX([1]Calc!$E:$E, MATCH("D_vessel_m", [1]Calc!$C:$C, 0)) - $F732 + $B732)</f>
        <v>1.9112508231881176</v>
      </c>
      <c r="K732" s="2" t="str">
        <f t="shared" si="35"/>
        <v>Even Keel</v>
      </c>
    </row>
    <row r="733" spans="1:11" x14ac:dyDescent="0.6">
      <c r="A733" s="2" t="str">
        <f>IF('December_Tide_2025 (2)'!A733="","",'December_Tide_2025 (2)'!A733)</f>
        <v>2025-12-31 11:00:00</v>
      </c>
      <c r="B733" s="3">
        <f>IF('December_Tide_2025 (2)'!B733="","",'December_Tide_2025 (2)'!B733)</f>
        <v>1.78</v>
      </c>
      <c r="C733" s="3">
        <f>IF($A733="","", INDEX([1]Calc!$E:$E, MATCH("KminusZ_m", [1]Calc!$C:$C, 0)) + $B733 - INDEX([1]Calc!$E:$E, MATCH("L_ramp_m", [1]Calc!$C:$C, 0)) * TAN(RADIANS(INDEX([1]Calc!$E:$E, MATCH("theta_max_deg", [1]Calc!$C:$C, 0)))))</f>
        <v>3.5187491768118826</v>
      </c>
      <c r="D733" s="3"/>
      <c r="E733" s="3">
        <f t="shared" si="33"/>
        <v>3.5187491768118826</v>
      </c>
      <c r="F733" s="3">
        <f t="shared" si="34"/>
        <v>3.5187491768118826</v>
      </c>
      <c r="G733" s="3">
        <f>IF($E733="","", DEGREES(ATAN((INDEX([1]Calc!$E:$E, MATCH("KminusZ_m", [1]Calc!$C:$C, 0)) - $E733 + $B733) / INDEX([1]Calc!$E:$E, MATCH("L_ramp_m", [1]Calc!$C:$C, 0)))))</f>
        <v>6</v>
      </c>
      <c r="H733" s="2" t="str">
        <f>IF($E733="","", IF(AND($E733&gt;=INDEX([1]Calc!$E:$E, MATCH("min_fwd_draft_m", [1]Calc!$C:$C, 0)), $E733&lt;=INDEX([1]Calc!$E:$E, MATCH("max_fwd_draft_m", [1]Calc!$C:$C, 0)), $G733&lt;=INDEX([1]Calc!$E:$E, MATCH("theta_max_deg", [1]Calc!$C:$C, 0))), "OK", "CHECK"))</f>
        <v>CHECK</v>
      </c>
      <c r="I733" s="3">
        <f>IF($E733="","", INDEX([1]Calc!$E:$E, MATCH("D_vessel_m", [1]Calc!$C:$C, 0)) - $E733 + $B733)</f>
        <v>1.9112508231881173</v>
      </c>
      <c r="J733" s="3">
        <f>IF($F733="","", INDEX([1]Calc!$E:$E, MATCH("D_vessel_m", [1]Calc!$C:$C, 0)) - $F733 + $B733)</f>
        <v>1.9112508231881173</v>
      </c>
      <c r="K733" s="2" t="str">
        <f t="shared" si="35"/>
        <v>Even Keel</v>
      </c>
    </row>
    <row r="734" spans="1:11" x14ac:dyDescent="0.6">
      <c r="A734" s="2" t="str">
        <f>IF('December_Tide_2025 (2)'!A734="","",'December_Tide_2025 (2)'!A734)</f>
        <v>2025-12-31 12:00:00</v>
      </c>
      <c r="B734" s="3">
        <f>IF('December_Tide_2025 (2)'!B734="","",'December_Tide_2025 (2)'!B734)</f>
        <v>2.2400000000000002</v>
      </c>
      <c r="C734" s="3">
        <f>IF($A734="","", INDEX([1]Calc!$E:$E, MATCH("KminusZ_m", [1]Calc!$C:$C, 0)) + $B734 - INDEX([1]Calc!$E:$E, MATCH("L_ramp_m", [1]Calc!$C:$C, 0)) * TAN(RADIANS(INDEX([1]Calc!$E:$E, MATCH("theta_max_deg", [1]Calc!$C:$C, 0)))))</f>
        <v>3.9787491768118826</v>
      </c>
      <c r="D734" s="3"/>
      <c r="E734" s="3">
        <f t="shared" si="33"/>
        <v>3.9787491768118826</v>
      </c>
      <c r="F734" s="3">
        <f t="shared" si="34"/>
        <v>3.9787491768118826</v>
      </c>
      <c r="G734" s="3">
        <f>IF($E734="","", DEGREES(ATAN((INDEX([1]Calc!$E:$E, MATCH("KminusZ_m", [1]Calc!$C:$C, 0)) - $E734 + $B734) / INDEX([1]Calc!$E:$E, MATCH("L_ramp_m", [1]Calc!$C:$C, 0)))))</f>
        <v>6.0000000000000009</v>
      </c>
      <c r="H734" s="2" t="str">
        <f>IF($E734="","", IF(AND($E734&gt;=INDEX([1]Calc!$E:$E, MATCH("min_fwd_draft_m", [1]Calc!$C:$C, 0)), $E734&lt;=INDEX([1]Calc!$E:$E, MATCH("max_fwd_draft_m", [1]Calc!$C:$C, 0)), $G734&lt;=INDEX([1]Calc!$E:$E, MATCH("theta_max_deg", [1]Calc!$C:$C, 0))), "OK", "CHECK"))</f>
        <v>CHECK</v>
      </c>
      <c r="I734" s="3">
        <f>IF($E734="","", INDEX([1]Calc!$E:$E, MATCH("D_vessel_m", [1]Calc!$C:$C, 0)) - $E734 + $B734)</f>
        <v>1.9112508231881176</v>
      </c>
      <c r="J734" s="3">
        <f>IF($F734="","", INDEX([1]Calc!$E:$E, MATCH("D_vessel_m", [1]Calc!$C:$C, 0)) - $F734 + $B734)</f>
        <v>1.9112508231881176</v>
      </c>
      <c r="K734" s="2" t="str">
        <f t="shared" si="35"/>
        <v>Even Keel</v>
      </c>
    </row>
    <row r="735" spans="1:11" x14ac:dyDescent="0.6">
      <c r="A735" s="2" t="str">
        <f>IF('December_Tide_2025 (2)'!A735="","",'December_Tide_2025 (2)'!A735)</f>
        <v>2025-12-31 13:00:00</v>
      </c>
      <c r="B735" s="3">
        <f>IF('December_Tide_2025 (2)'!B735="","",'December_Tide_2025 (2)'!B735)</f>
        <v>2.58</v>
      </c>
      <c r="C735" s="3">
        <f>IF($A735="","", INDEX([1]Calc!$E:$E, MATCH("KminusZ_m", [1]Calc!$C:$C, 0)) + $B735 - INDEX([1]Calc!$E:$E, MATCH("L_ramp_m", [1]Calc!$C:$C, 0)) * TAN(RADIANS(INDEX([1]Calc!$E:$E, MATCH("theta_max_deg", [1]Calc!$C:$C, 0)))))</f>
        <v>4.3187491768118829</v>
      </c>
      <c r="D735" s="3"/>
      <c r="E735" s="3">
        <f t="shared" si="33"/>
        <v>4.3187491768118829</v>
      </c>
      <c r="F735" s="3">
        <f t="shared" si="34"/>
        <v>4.3187491768118829</v>
      </c>
      <c r="G735" s="3">
        <f>IF($E735="","", DEGREES(ATAN((INDEX([1]Calc!$E:$E, MATCH("KminusZ_m", [1]Calc!$C:$C, 0)) - $E735 + $B735) / INDEX([1]Calc!$E:$E, MATCH("L_ramp_m", [1]Calc!$C:$C, 0)))))</f>
        <v>5.9999999999999982</v>
      </c>
      <c r="H735" s="2" t="str">
        <f>IF($E735="","", IF(AND($E735&gt;=INDEX([1]Calc!$E:$E, MATCH("min_fwd_draft_m", [1]Calc!$C:$C, 0)), $E735&lt;=INDEX([1]Calc!$E:$E, MATCH("max_fwd_draft_m", [1]Calc!$C:$C, 0)), $G735&lt;=INDEX([1]Calc!$E:$E, MATCH("theta_max_deg", [1]Calc!$C:$C, 0))), "OK", "CHECK"))</f>
        <v>CHECK</v>
      </c>
      <c r="I735" s="3">
        <f>IF($E735="","", INDEX([1]Calc!$E:$E, MATCH("D_vessel_m", [1]Calc!$C:$C, 0)) - $E735 + $B735)</f>
        <v>1.9112508231881171</v>
      </c>
      <c r="J735" s="3">
        <f>IF($F735="","", INDEX([1]Calc!$E:$E, MATCH("D_vessel_m", [1]Calc!$C:$C, 0)) - $F735 + $B735)</f>
        <v>1.9112508231881171</v>
      </c>
      <c r="K735" s="2" t="str">
        <f t="shared" si="35"/>
        <v>Even Keel</v>
      </c>
    </row>
    <row r="736" spans="1:11" x14ac:dyDescent="0.6">
      <c r="A736" s="2" t="str">
        <f>IF('December_Tide_2025 (2)'!A736="","",'December_Tide_2025 (2)'!A736)</f>
        <v>2025-12-31 14:00:00</v>
      </c>
      <c r="B736" s="3">
        <f>IF('December_Tide_2025 (2)'!B736="","",'December_Tide_2025 (2)'!B736)</f>
        <v>2.73</v>
      </c>
      <c r="C736" s="3">
        <f>IF($A736="","", INDEX([1]Calc!$E:$E, MATCH("KminusZ_m", [1]Calc!$C:$C, 0)) + $B736 - INDEX([1]Calc!$E:$E, MATCH("L_ramp_m", [1]Calc!$C:$C, 0)) * TAN(RADIANS(INDEX([1]Calc!$E:$E, MATCH("theta_max_deg", [1]Calc!$C:$C, 0)))))</f>
        <v>4.4687491768118832</v>
      </c>
      <c r="D736" s="3"/>
      <c r="E736" s="3">
        <f t="shared" si="33"/>
        <v>4.4687491768118832</v>
      </c>
      <c r="F736" s="3">
        <f t="shared" si="34"/>
        <v>4.4687491768118832</v>
      </c>
      <c r="G736" s="3">
        <f>IF($E736="","", DEGREES(ATAN((INDEX([1]Calc!$E:$E, MATCH("KminusZ_m", [1]Calc!$C:$C, 0)) - $E736 + $B736) / INDEX([1]Calc!$E:$E, MATCH("L_ramp_m", [1]Calc!$C:$C, 0)))))</f>
        <v>5.9999999999999964</v>
      </c>
      <c r="H736" s="2" t="str">
        <f>IF($E736="","", IF(AND($E736&gt;=INDEX([1]Calc!$E:$E, MATCH("min_fwd_draft_m", [1]Calc!$C:$C, 0)), $E736&lt;=INDEX([1]Calc!$E:$E, MATCH("max_fwd_draft_m", [1]Calc!$C:$C, 0)), $G736&lt;=INDEX([1]Calc!$E:$E, MATCH("theta_max_deg", [1]Calc!$C:$C, 0))), "OK", "CHECK"))</f>
        <v>CHECK</v>
      </c>
      <c r="I736" s="3">
        <f>IF($E736="","", INDEX([1]Calc!$E:$E, MATCH("D_vessel_m", [1]Calc!$C:$C, 0)) - $E736 + $B736)</f>
        <v>1.9112508231881167</v>
      </c>
      <c r="J736" s="3">
        <f>IF($F736="","", INDEX([1]Calc!$E:$E, MATCH("D_vessel_m", [1]Calc!$C:$C, 0)) - $F736 + $B736)</f>
        <v>1.9112508231881167</v>
      </c>
      <c r="K736" s="2" t="str">
        <f t="shared" si="35"/>
        <v>Even Keel</v>
      </c>
    </row>
    <row r="737" spans="1:11" x14ac:dyDescent="0.6">
      <c r="A737" s="2" t="str">
        <f>IF('December_Tide_2025 (2)'!A737="","",'December_Tide_2025 (2)'!A737)</f>
        <v>2025-12-31 15:00:00</v>
      </c>
      <c r="B737" s="3">
        <f>IF('December_Tide_2025 (2)'!B737="","",'December_Tide_2025 (2)'!B737)</f>
        <v>2.65</v>
      </c>
      <c r="C737" s="3">
        <f>IF($A737="","", INDEX([1]Calc!$E:$E, MATCH("KminusZ_m", [1]Calc!$C:$C, 0)) + $B737 - INDEX([1]Calc!$E:$E, MATCH("L_ramp_m", [1]Calc!$C:$C, 0)) * TAN(RADIANS(INDEX([1]Calc!$E:$E, MATCH("theta_max_deg", [1]Calc!$C:$C, 0)))))</f>
        <v>4.3887491768118831</v>
      </c>
      <c r="D737" s="3"/>
      <c r="E737" s="3">
        <f t="shared" si="33"/>
        <v>4.3887491768118831</v>
      </c>
      <c r="F737" s="3">
        <f t="shared" si="34"/>
        <v>4.3887491768118831</v>
      </c>
      <c r="G737" s="3">
        <f>IF($E737="","", DEGREES(ATAN((INDEX([1]Calc!$E:$E, MATCH("KminusZ_m", [1]Calc!$C:$C, 0)) - $E737 + $B737) / INDEX([1]Calc!$E:$E, MATCH("L_ramp_m", [1]Calc!$C:$C, 0)))))</f>
        <v>5.9999999999999964</v>
      </c>
      <c r="H737" s="2" t="str">
        <f>IF($E737="","", IF(AND($E737&gt;=INDEX([1]Calc!$E:$E, MATCH("min_fwd_draft_m", [1]Calc!$C:$C, 0)), $E737&lt;=INDEX([1]Calc!$E:$E, MATCH("max_fwd_draft_m", [1]Calc!$C:$C, 0)), $G737&lt;=INDEX([1]Calc!$E:$E, MATCH("theta_max_deg", [1]Calc!$C:$C, 0))), "OK", "CHECK"))</f>
        <v>CHECK</v>
      </c>
      <c r="I737" s="3">
        <f>IF($E737="","", INDEX([1]Calc!$E:$E, MATCH("D_vessel_m", [1]Calc!$C:$C, 0)) - $E737 + $B737)</f>
        <v>1.9112508231881167</v>
      </c>
      <c r="J737" s="3">
        <f>IF($F737="","", INDEX([1]Calc!$E:$E, MATCH("D_vessel_m", [1]Calc!$C:$C, 0)) - $F737 + $B737)</f>
        <v>1.9112508231881167</v>
      </c>
      <c r="K737" s="2" t="str">
        <f t="shared" si="35"/>
        <v>Even Keel</v>
      </c>
    </row>
    <row r="738" spans="1:11" x14ac:dyDescent="0.6">
      <c r="A738" s="2" t="str">
        <f>IF('December_Tide_2025 (2)'!A738="","",'December_Tide_2025 (2)'!A738)</f>
        <v>2025-12-31 16:00:00</v>
      </c>
      <c r="B738" s="3">
        <f>IF('December_Tide_2025 (2)'!B738="","",'December_Tide_2025 (2)'!B738)</f>
        <v>2.35</v>
      </c>
      <c r="C738" s="3">
        <f>IF($A738="","", INDEX([1]Calc!$E:$E, MATCH("KminusZ_m", [1]Calc!$C:$C, 0)) + $B738 - INDEX([1]Calc!$E:$E, MATCH("L_ramp_m", [1]Calc!$C:$C, 0)) * TAN(RADIANS(INDEX([1]Calc!$E:$E, MATCH("theta_max_deg", [1]Calc!$C:$C, 0)))))</f>
        <v>4.0887491768118824</v>
      </c>
      <c r="D738" s="3"/>
      <c r="E738" s="3">
        <f t="shared" si="33"/>
        <v>4.0887491768118824</v>
      </c>
      <c r="F738" s="3">
        <f t="shared" si="34"/>
        <v>4.0887491768118824</v>
      </c>
      <c r="G738" s="3">
        <f>IF($E738="","", DEGREES(ATAN((INDEX([1]Calc!$E:$E, MATCH("KminusZ_m", [1]Calc!$C:$C, 0)) - $E738 + $B738) / INDEX([1]Calc!$E:$E, MATCH("L_ramp_m", [1]Calc!$C:$C, 0)))))</f>
        <v>6.0000000000000009</v>
      </c>
      <c r="H738" s="2" t="str">
        <f>IF($E738="","", IF(AND($E738&gt;=INDEX([1]Calc!$E:$E, MATCH("min_fwd_draft_m", [1]Calc!$C:$C, 0)), $E738&lt;=INDEX([1]Calc!$E:$E, MATCH("max_fwd_draft_m", [1]Calc!$C:$C, 0)), $G738&lt;=INDEX([1]Calc!$E:$E, MATCH("theta_max_deg", [1]Calc!$C:$C, 0))), "OK", "CHECK"))</f>
        <v>CHECK</v>
      </c>
      <c r="I738" s="3">
        <f>IF($E738="","", INDEX([1]Calc!$E:$E, MATCH("D_vessel_m", [1]Calc!$C:$C, 0)) - $E738 + $B738)</f>
        <v>1.9112508231881176</v>
      </c>
      <c r="J738" s="3">
        <f>IF($F738="","", INDEX([1]Calc!$E:$E, MATCH("D_vessel_m", [1]Calc!$C:$C, 0)) - $F738 + $B738)</f>
        <v>1.9112508231881176</v>
      </c>
      <c r="K738" s="2" t="str">
        <f t="shared" si="35"/>
        <v>Even Keel</v>
      </c>
    </row>
    <row r="739" spans="1:11" x14ac:dyDescent="0.6">
      <c r="A739" s="2" t="str">
        <f>IF('December_Tide_2025 (2)'!A739="","",'December_Tide_2025 (2)'!A739)</f>
        <v>2025-12-31 17:00:00</v>
      </c>
      <c r="B739" s="3">
        <f>IF('December_Tide_2025 (2)'!B739="","",'December_Tide_2025 (2)'!B739)</f>
        <v>1.92</v>
      </c>
      <c r="C739" s="3">
        <f>IF($A739="","", INDEX([1]Calc!$E:$E, MATCH("KminusZ_m", [1]Calc!$C:$C, 0)) + $B739 - INDEX([1]Calc!$E:$E, MATCH("L_ramp_m", [1]Calc!$C:$C, 0)) * TAN(RADIANS(INDEX([1]Calc!$E:$E, MATCH("theta_max_deg", [1]Calc!$C:$C, 0)))))</f>
        <v>3.6587491768118823</v>
      </c>
      <c r="D739" s="3"/>
      <c r="E739" s="3">
        <f t="shared" si="33"/>
        <v>3.6587491768118823</v>
      </c>
      <c r="F739" s="3">
        <f t="shared" si="34"/>
        <v>3.6587491768118823</v>
      </c>
      <c r="G739" s="3">
        <f>IF($E739="","", DEGREES(ATAN((INDEX([1]Calc!$E:$E, MATCH("KminusZ_m", [1]Calc!$C:$C, 0)) - $E739 + $B739) / INDEX([1]Calc!$E:$E, MATCH("L_ramp_m", [1]Calc!$C:$C, 0)))))</f>
        <v>6.0000000000000009</v>
      </c>
      <c r="H739" s="2" t="str">
        <f>IF($E739="","", IF(AND($E739&gt;=INDEX([1]Calc!$E:$E, MATCH("min_fwd_draft_m", [1]Calc!$C:$C, 0)), $E739&lt;=INDEX([1]Calc!$E:$E, MATCH("max_fwd_draft_m", [1]Calc!$C:$C, 0)), $G739&lt;=INDEX([1]Calc!$E:$E, MATCH("theta_max_deg", [1]Calc!$C:$C, 0))), "OK", "CHECK"))</f>
        <v>CHECK</v>
      </c>
      <c r="I739" s="3">
        <f>IF($E739="","", INDEX([1]Calc!$E:$E, MATCH("D_vessel_m", [1]Calc!$C:$C, 0)) - $E739 + $B739)</f>
        <v>1.9112508231881176</v>
      </c>
      <c r="J739" s="3">
        <f>IF($F739="","", INDEX([1]Calc!$E:$E, MATCH("D_vessel_m", [1]Calc!$C:$C, 0)) - $F739 + $B739)</f>
        <v>1.9112508231881176</v>
      </c>
      <c r="K739" s="2" t="str">
        <f t="shared" si="35"/>
        <v>Even Keel</v>
      </c>
    </row>
    <row r="740" spans="1:11" x14ac:dyDescent="0.6">
      <c r="A740" s="2" t="str">
        <f>IF('December_Tide_2025 (2)'!A740="","",'December_Tide_2025 (2)'!A740)</f>
        <v>2025-12-31 18:00:00</v>
      </c>
      <c r="B740" s="3">
        <f>IF('December_Tide_2025 (2)'!B740="","",'December_Tide_2025 (2)'!B740)</f>
        <v>1.45</v>
      </c>
      <c r="C740" s="3">
        <f>IF($A740="","", INDEX([1]Calc!$E:$E, MATCH("KminusZ_m", [1]Calc!$C:$C, 0)) + $B740 - INDEX([1]Calc!$E:$E, MATCH("L_ramp_m", [1]Calc!$C:$C, 0)) * TAN(RADIANS(INDEX([1]Calc!$E:$E, MATCH("theta_max_deg", [1]Calc!$C:$C, 0)))))</f>
        <v>3.1887491768118825</v>
      </c>
      <c r="D740" s="3"/>
      <c r="E740" s="3">
        <f t="shared" si="33"/>
        <v>3.1887491768118825</v>
      </c>
      <c r="F740" s="3">
        <f t="shared" si="34"/>
        <v>3.1887491768118825</v>
      </c>
      <c r="G740" s="3">
        <f>IF($E740="","", DEGREES(ATAN((INDEX([1]Calc!$E:$E, MATCH("KminusZ_m", [1]Calc!$C:$C, 0)) - $E740 + $B740) / INDEX([1]Calc!$E:$E, MATCH("L_ramp_m", [1]Calc!$C:$C, 0)))))</f>
        <v>6</v>
      </c>
      <c r="H740" s="2" t="str">
        <f>IF($E740="","", IF(AND($E740&gt;=INDEX([1]Calc!$E:$E, MATCH("min_fwd_draft_m", [1]Calc!$C:$C, 0)), $E740&lt;=INDEX([1]Calc!$E:$E, MATCH("max_fwd_draft_m", [1]Calc!$C:$C, 0)), $G740&lt;=INDEX([1]Calc!$E:$E, MATCH("theta_max_deg", [1]Calc!$C:$C, 0))), "OK", "CHECK"))</f>
        <v>OK</v>
      </c>
      <c r="I740" s="3">
        <f>IF($E740="","", INDEX([1]Calc!$E:$E, MATCH("D_vessel_m", [1]Calc!$C:$C, 0)) - $E740 + $B740)</f>
        <v>1.9112508231881173</v>
      </c>
      <c r="J740" s="3">
        <f>IF($F740="","", INDEX([1]Calc!$E:$E, MATCH("D_vessel_m", [1]Calc!$C:$C, 0)) - $F740 + $B740)</f>
        <v>1.9112508231881173</v>
      </c>
      <c r="K740" s="2" t="str">
        <f t="shared" si="35"/>
        <v>Even Keel</v>
      </c>
    </row>
    <row r="741" spans="1:11" x14ac:dyDescent="0.6">
      <c r="A741" s="2" t="str">
        <f>IF('December_Tide_2025 (2)'!A741="","",'December_Tide_2025 (2)'!A741)</f>
        <v>2025-12-31 19:00:00</v>
      </c>
      <c r="B741" s="3">
        <f>IF('December_Tide_2025 (2)'!B741="","",'December_Tide_2025 (2)'!B741)</f>
        <v>1.07</v>
      </c>
      <c r="C741" s="3">
        <f>IF($A741="","", INDEX([1]Calc!$E:$E, MATCH("KminusZ_m", [1]Calc!$C:$C, 0)) + $B741 - INDEX([1]Calc!$E:$E, MATCH("L_ramp_m", [1]Calc!$C:$C, 0)) * TAN(RADIANS(INDEX([1]Calc!$E:$E, MATCH("theta_max_deg", [1]Calc!$C:$C, 0)))))</f>
        <v>2.8087491768118826</v>
      </c>
      <c r="D741" s="3"/>
      <c r="E741" s="3">
        <f t="shared" si="33"/>
        <v>2.8087491768118826</v>
      </c>
      <c r="F741" s="3">
        <f t="shared" si="34"/>
        <v>2.8087491768118826</v>
      </c>
      <c r="G741" s="3">
        <f>IF($E741="","", DEGREES(ATAN((INDEX([1]Calc!$E:$E, MATCH("KminusZ_m", [1]Calc!$C:$C, 0)) - $E741 + $B741) / INDEX([1]Calc!$E:$E, MATCH("L_ramp_m", [1]Calc!$C:$C, 0)))))</f>
        <v>6</v>
      </c>
      <c r="H741" s="2" t="str">
        <f>IF($E741="","", IF(AND($E741&gt;=INDEX([1]Calc!$E:$E, MATCH("min_fwd_draft_m", [1]Calc!$C:$C, 0)), $E741&lt;=INDEX([1]Calc!$E:$E, MATCH("max_fwd_draft_m", [1]Calc!$C:$C, 0)), $G741&lt;=INDEX([1]Calc!$E:$E, MATCH("theta_max_deg", [1]Calc!$C:$C, 0))), "OK", "CHECK"))</f>
        <v>OK</v>
      </c>
      <c r="I741" s="3">
        <f>IF($E741="","", INDEX([1]Calc!$E:$E, MATCH("D_vessel_m", [1]Calc!$C:$C, 0)) - $E741 + $B741)</f>
        <v>1.9112508231881173</v>
      </c>
      <c r="J741" s="3">
        <f>IF($F741="","", INDEX([1]Calc!$E:$E, MATCH("D_vessel_m", [1]Calc!$C:$C, 0)) - $F741 + $B741)</f>
        <v>1.9112508231881173</v>
      </c>
      <c r="K741" s="2" t="str">
        <f t="shared" si="35"/>
        <v>Even Keel</v>
      </c>
    </row>
    <row r="742" spans="1:11" x14ac:dyDescent="0.6">
      <c r="A742" s="2" t="str">
        <f>IF('December_Tide_2025 (2)'!A742="","",'December_Tide_2025 (2)'!A742)</f>
        <v>2025-12-31 20:00:00</v>
      </c>
      <c r="B742" s="3">
        <f>IF('December_Tide_2025 (2)'!B742="","",'December_Tide_2025 (2)'!B742)</f>
        <v>0.88</v>
      </c>
      <c r="C742" s="3">
        <f>IF($A742="","", INDEX([1]Calc!$E:$E, MATCH("KminusZ_m", [1]Calc!$C:$C, 0)) + $B742 - INDEX([1]Calc!$E:$E, MATCH("L_ramp_m", [1]Calc!$C:$C, 0)) * TAN(RADIANS(INDEX([1]Calc!$E:$E, MATCH("theta_max_deg", [1]Calc!$C:$C, 0)))))</f>
        <v>2.6187491768118822</v>
      </c>
      <c r="D742" s="3"/>
      <c r="E742" s="3">
        <f t="shared" si="33"/>
        <v>2.6187491768118822</v>
      </c>
      <c r="F742" s="3">
        <f t="shared" si="34"/>
        <v>2.6187491768118822</v>
      </c>
      <c r="G742" s="3">
        <f>IF($E742="","", DEGREES(ATAN((INDEX([1]Calc!$E:$E, MATCH("KminusZ_m", [1]Calc!$C:$C, 0)) - $E742 + $B742) / INDEX([1]Calc!$E:$E, MATCH("L_ramp_m", [1]Calc!$C:$C, 0)))))</f>
        <v>6.0000000000000009</v>
      </c>
      <c r="H742" s="2" t="str">
        <f>IF($E742="","", IF(AND($E742&gt;=INDEX([1]Calc!$E:$E, MATCH("min_fwd_draft_m", [1]Calc!$C:$C, 0)), $E742&lt;=INDEX([1]Calc!$E:$E, MATCH("max_fwd_draft_m", [1]Calc!$C:$C, 0)), $G742&lt;=INDEX([1]Calc!$E:$E, MATCH("theta_max_deg", [1]Calc!$C:$C, 0))), "OK", "CHECK"))</f>
        <v>OK</v>
      </c>
      <c r="I742" s="3">
        <f>IF($E742="","", INDEX([1]Calc!$E:$E, MATCH("D_vessel_m", [1]Calc!$C:$C, 0)) - $E742 + $B742)</f>
        <v>1.9112508231881176</v>
      </c>
      <c r="J742" s="3">
        <f>IF($F742="","", INDEX([1]Calc!$E:$E, MATCH("D_vessel_m", [1]Calc!$C:$C, 0)) - $F742 + $B742)</f>
        <v>1.9112508231881176</v>
      </c>
      <c r="K742" s="2" t="str">
        <f t="shared" si="35"/>
        <v>Even Keel</v>
      </c>
    </row>
    <row r="743" spans="1:11" x14ac:dyDescent="0.6">
      <c r="A743" s="2" t="str">
        <f>IF('December_Tide_2025 (2)'!A743="","",'December_Tide_2025 (2)'!A743)</f>
        <v>2025-12-31 21:00:00</v>
      </c>
      <c r="B743" s="3">
        <f>IF('December_Tide_2025 (2)'!B743="","",'December_Tide_2025 (2)'!B743)</f>
        <v>0.91</v>
      </c>
      <c r="C743" s="3">
        <f>IF($A743="","", INDEX([1]Calc!$E:$E, MATCH("KminusZ_m", [1]Calc!$C:$C, 0)) + $B743 - INDEX([1]Calc!$E:$E, MATCH("L_ramp_m", [1]Calc!$C:$C, 0)) * TAN(RADIANS(INDEX([1]Calc!$E:$E, MATCH("theta_max_deg", [1]Calc!$C:$C, 0)))))</f>
        <v>2.6487491768118825</v>
      </c>
      <c r="D743" s="3"/>
      <c r="E743" s="3">
        <f t="shared" si="33"/>
        <v>2.6487491768118825</v>
      </c>
      <c r="F743" s="3">
        <f t="shared" si="34"/>
        <v>2.6487491768118825</v>
      </c>
      <c r="G743" s="3">
        <f>IF($E743="","", DEGREES(ATAN((INDEX([1]Calc!$E:$E, MATCH("KminusZ_m", [1]Calc!$C:$C, 0)) - $E743 + $B743) / INDEX([1]Calc!$E:$E, MATCH("L_ramp_m", [1]Calc!$C:$C, 0)))))</f>
        <v>6.0000000000000009</v>
      </c>
      <c r="H743" s="2" t="str">
        <f>IF($E743="","", IF(AND($E743&gt;=INDEX([1]Calc!$E:$E, MATCH("min_fwd_draft_m", [1]Calc!$C:$C, 0)), $E743&lt;=INDEX([1]Calc!$E:$E, MATCH("max_fwd_draft_m", [1]Calc!$C:$C, 0)), $G743&lt;=INDEX([1]Calc!$E:$E, MATCH("theta_max_deg", [1]Calc!$C:$C, 0))), "OK", "CHECK"))</f>
        <v>OK</v>
      </c>
      <c r="I743" s="3">
        <f>IF($E743="","", INDEX([1]Calc!$E:$E, MATCH("D_vessel_m", [1]Calc!$C:$C, 0)) - $E743 + $B743)</f>
        <v>1.9112508231881176</v>
      </c>
      <c r="J743" s="3">
        <f>IF($F743="","", INDEX([1]Calc!$E:$E, MATCH("D_vessel_m", [1]Calc!$C:$C, 0)) - $F743 + $B743)</f>
        <v>1.9112508231881176</v>
      </c>
      <c r="K743" s="2" t="str">
        <f t="shared" si="35"/>
        <v>Even Keel</v>
      </c>
    </row>
    <row r="744" spans="1:11" x14ac:dyDescent="0.6">
      <c r="A744" s="2" t="str">
        <f>IF('December_Tide_2025 (2)'!A744="","",'December_Tide_2025 (2)'!A744)</f>
        <v>2025-12-31 22:00:00</v>
      </c>
      <c r="B744" s="3">
        <f>IF('December_Tide_2025 (2)'!B744="","",'December_Tide_2025 (2)'!B744)</f>
        <v>1.17</v>
      </c>
      <c r="C744" s="3">
        <f>IF($A744="","", INDEX([1]Calc!$E:$E, MATCH("KminusZ_m", [1]Calc!$C:$C, 0)) + $B744 - INDEX([1]Calc!$E:$E, MATCH("L_ramp_m", [1]Calc!$C:$C, 0)) * TAN(RADIANS(INDEX([1]Calc!$E:$E, MATCH("theta_max_deg", [1]Calc!$C:$C, 0)))))</f>
        <v>2.9087491768118823</v>
      </c>
      <c r="D744" s="3"/>
      <c r="E744" s="3">
        <f t="shared" si="33"/>
        <v>2.9087491768118823</v>
      </c>
      <c r="F744" s="3">
        <f t="shared" si="34"/>
        <v>2.9087491768118823</v>
      </c>
      <c r="G744" s="3">
        <f>IF($E744="","", DEGREES(ATAN((INDEX([1]Calc!$E:$E, MATCH("KminusZ_m", [1]Calc!$C:$C, 0)) - $E744 + $B744) / INDEX([1]Calc!$E:$E, MATCH("L_ramp_m", [1]Calc!$C:$C, 0)))))</f>
        <v>6.0000000000000009</v>
      </c>
      <c r="H744" s="2" t="str">
        <f>IF($E744="","", IF(AND($E744&gt;=INDEX([1]Calc!$E:$E, MATCH("min_fwd_draft_m", [1]Calc!$C:$C, 0)), $E744&lt;=INDEX([1]Calc!$E:$E, MATCH("max_fwd_draft_m", [1]Calc!$C:$C, 0)), $G744&lt;=INDEX([1]Calc!$E:$E, MATCH("theta_max_deg", [1]Calc!$C:$C, 0))), "OK", "CHECK"))</f>
        <v>OK</v>
      </c>
      <c r="I744" s="3">
        <f>IF($E744="","", INDEX([1]Calc!$E:$E, MATCH("D_vessel_m", [1]Calc!$C:$C, 0)) - $E744 + $B744)</f>
        <v>1.9112508231881176</v>
      </c>
      <c r="J744" s="3">
        <f>IF($F744="","", INDEX([1]Calc!$E:$E, MATCH("D_vessel_m", [1]Calc!$C:$C, 0)) - $F744 + $B744)</f>
        <v>1.9112508231881176</v>
      </c>
      <c r="K744" s="2" t="str">
        <f t="shared" si="35"/>
        <v>Even Keel</v>
      </c>
    </row>
    <row r="745" spans="1:11" x14ac:dyDescent="0.6">
      <c r="A745" s="2" t="str">
        <f>IF('December_Tide_2025 (2)'!A745="","",'December_Tide_2025 (2)'!A745)</f>
        <v>2025-12-31 23:00:00</v>
      </c>
      <c r="B745" s="3">
        <f>IF('December_Tide_2025 (2)'!B745="","",'December_Tide_2025 (2)'!B745)</f>
        <v>1.59</v>
      </c>
      <c r="C745" s="3">
        <f>IF($A745="","", INDEX([1]Calc!$E:$E, MATCH("KminusZ_m", [1]Calc!$C:$C, 0)) + $B745 - INDEX([1]Calc!$E:$E, MATCH("L_ramp_m", [1]Calc!$C:$C, 0)) * TAN(RADIANS(INDEX([1]Calc!$E:$E, MATCH("theta_max_deg", [1]Calc!$C:$C, 0)))))</f>
        <v>3.3287491768118822</v>
      </c>
      <c r="D745" s="3"/>
      <c r="E745" s="3">
        <f t="shared" si="33"/>
        <v>3.3287491768118822</v>
      </c>
      <c r="F745" s="3">
        <f t="shared" si="34"/>
        <v>3.3287491768118822</v>
      </c>
      <c r="G745" s="3">
        <f>IF($E745="","", DEGREES(ATAN((INDEX([1]Calc!$E:$E, MATCH("KminusZ_m", [1]Calc!$C:$C, 0)) - $E745 + $B745) / INDEX([1]Calc!$E:$E, MATCH("L_ramp_m", [1]Calc!$C:$C, 0)))))</f>
        <v>6.0000000000000009</v>
      </c>
      <c r="H745" s="2" t="str">
        <f>IF($E745="","", IF(AND($E745&gt;=INDEX([1]Calc!$E:$E, MATCH("min_fwd_draft_m", [1]Calc!$C:$C, 0)), $E745&lt;=INDEX([1]Calc!$E:$E, MATCH("max_fwd_draft_m", [1]Calc!$C:$C, 0)), $G745&lt;=INDEX([1]Calc!$E:$E, MATCH("theta_max_deg", [1]Calc!$C:$C, 0))), "OK", "CHECK"))</f>
        <v>OK</v>
      </c>
      <c r="I745" s="3">
        <f>IF($E745="","", INDEX([1]Calc!$E:$E, MATCH("D_vessel_m", [1]Calc!$C:$C, 0)) - $E745 + $B745)</f>
        <v>1.9112508231881178</v>
      </c>
      <c r="J745" s="3">
        <f>IF($F745="","", INDEX([1]Calc!$E:$E, MATCH("D_vessel_m", [1]Calc!$C:$C, 0)) - $F745 + $B745)</f>
        <v>1.9112508231881178</v>
      </c>
      <c r="K745" s="2" t="str">
        <f t="shared" si="35"/>
        <v>Even Keel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December_Tide_2025 (2)</vt:lpstr>
      <vt:lpstr>Hourly_FWD_AFT_Heights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차</dc:creator>
  <cp:lastModifiedBy>민규 차</cp:lastModifiedBy>
  <dcterms:created xsi:type="dcterms:W3CDTF">2025-12-27T18:29:42Z</dcterms:created>
  <dcterms:modified xsi:type="dcterms:W3CDTF">2025-12-27T18:30:22Z</dcterms:modified>
</cp:coreProperties>
</file>