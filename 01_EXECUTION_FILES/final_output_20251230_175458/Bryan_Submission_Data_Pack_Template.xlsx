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SOT_Master" sheetId="2" state="visible" r:id="rId2"/>
    <sheet xmlns:r="http://schemas.openxmlformats.org/officeDocument/2006/relationships" name="02_Vessel_Hydro" sheetId="3" state="visible" r:id="rId3"/>
    <sheet xmlns:r="http://schemas.openxmlformats.org/officeDocument/2006/relationships" name="03_Berth_Tide" sheetId="4" state="visible" r:id="rId4"/>
    <sheet xmlns:r="http://schemas.openxmlformats.org/officeDocument/2006/relationships" name="04_Cargo_SPMT" sheetId="5" state="visible" r:id="rId5"/>
    <sheet xmlns:r="http://schemas.openxmlformats.org/officeDocument/2006/relationships" name="05_Ballast_Tanks" sheetId="6" state="visible" r:id="rId6"/>
    <sheet xmlns:r="http://schemas.openxmlformats.org/officeDocument/2006/relationships" name="06_Stage_Plan" sheetId="7" state="visible" r:id="rId7"/>
    <sheet xmlns:r="http://schemas.openxmlformats.org/officeDocument/2006/relationships" name="07_Stage_Calc" sheetId="8" state="visible" r:id="rId8"/>
    <sheet xmlns:r="http://schemas.openxmlformats.org/officeDocument/2006/relationships" name="08_HoldPoint_Log" sheetId="9" state="visible" r:id="rId9"/>
    <sheet xmlns:r="http://schemas.openxmlformats.org/officeDocument/2006/relationships" name="09_Evidence_Log" sheetId="10" state="visible" r:id="rId10"/>
    <sheet xmlns:r="http://schemas.openxmlformats.org/officeDocument/2006/relationships" name="10_RACI" sheetId="11" state="visible" r:id="rId11"/>
    <sheet xmlns:r="http://schemas.openxmlformats.org/officeDocument/2006/relationships" name="11_Assumptions_Issues" sheetId="12" state="visible" r:id="rId12"/>
    <sheet xmlns:r="http://schemas.openxmlformats.org/officeDocument/2006/relationships" name="12_DataDictionary" sheetId="13" state="visible" r:id="rId13"/>
    <sheet xmlns:r="http://schemas.openxmlformats.org/officeDocument/2006/relationships" name="Pack_A_Inputs_SSOT" sheetId="14" state="visible" r:id="rId14"/>
    <sheet xmlns:r="http://schemas.openxmlformats.org/officeDocument/2006/relationships" name="Pack_B_Calculation_Formulas" sheetId="15" state="visible" r:id="rId15"/>
    <sheet xmlns:r="http://schemas.openxmlformats.org/officeDocument/2006/relationships" name="Pack_D_Tide_Window_RACI" sheetId="16" state="visible" r:id="rId16"/>
  </sheets>
  <definedNames/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6" borderId="0" pivotButton="0" quotePrefix="0" xfId="0"/>
    <xf numFmtId="164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1" fillId="2" borderId="0" pivotButton="0" quotePrefix="0" xfId="0"/>
    <xf numFmtId="2" fontId="0" fillId="5" borderId="1" pivotButton="0" quotePrefix="0" xfId="0"/>
    <xf numFmtId="0" fontId="0" fillId="5" borderId="1" pivotButton="0" quotePrefix="0" xfId="0"/>
    <xf numFmtId="0" fontId="1" fillId="0" borderId="0" pivotButton="0" quotePrefix="0" xfId="0"/>
    <xf numFmtId="2" fontId="0" fillId="4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HydroTable" displayName="HydroTable" ref="A3:H63" headerRowCount="1">
  <autoFilter ref="A3:H63"/>
  <tableColumns count="8">
    <tableColumn id="1" name="#"/>
    <tableColumn id="2" name="Disp_t"/>
    <tableColumn id="3" name="Tmean_m"/>
    <tableColumn id="4" name="TPC_t/cm"/>
    <tableColumn id="5" name="MTC_t·m/cm"/>
    <tableColumn id="6" name="LCF_m"/>
    <tableColumn id="7" name="GM_m"/>
    <tableColumn id="8" name="Source/Remark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ideForecast" displayName="TideForecast" ref="A13:E133" headerRowCount="1">
  <autoFilter ref="A13:E133"/>
  <tableColumns count="5">
    <tableColumn id="1" name="DateTime"/>
    <tableColumn id="2" name="Tide_m"/>
    <tableColumn id="3" name="Source"/>
    <tableColumn id="4" name="Verified (Y/N)"/>
    <tableColumn id="5" name="Remark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StagePlan" displayName="StagePlan" ref="A1:H200" headerRowCount="1">
  <autoFilter ref="A1:H200"/>
  <tableColumns count="8">
    <tableColumn id="1" name="Stage_ID"/>
    <tableColumn id="2" name="Progress_%"/>
    <tableColumn id="3" name="Planned_Start"/>
    <tableColumn id="4" name="Planned_End"/>
    <tableColumn id="5" name="HoldPoint"/>
    <tableColumn id="6" name="GateB_Critical(Y/N)"/>
    <tableColumn id="7" name="Stage_Status"/>
    <tableColumn id="8" name="Remark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StageCalc" displayName="StageCalc" ref="A20:AG200" headerRowCount="1">
  <autoFilter ref="A20:AG200"/>
  <tableColumns count="33">
    <tableColumn id="1" name="Stage_ID"/>
    <tableColumn id="2" name="HoldPoint"/>
    <tableColumn id="3" name="GateB_Critical"/>
    <tableColumn id="4" name="Stage_Remark"/>
    <tableColumn id="5" name="Progress_%"/>
    <tableColumn id="6" name="x_stage_m"/>
    <tableColumn id="7" name="W_stage_t"/>
    <tableColumn id="8" name="Displacement_t"/>
    <tableColumn id="9" name="Tmean_m"/>
    <tableColumn id="10" name="Trim_cm"/>
    <tableColumn id="11" name="Draft_FWD_m"/>
    <tableColumn id="12" name="Draft_AFT_m"/>
    <tableColumn id="13" name="Freeboard_min_m"/>
    <tableColumn id="14" name="Tide_required_m"/>
    <tableColumn id="15" name="Forecast_tide_m"/>
    <tableColumn id="16" name="Tide_margin_m"/>
    <tableColumn id="17" name="UKC_min_m"/>
    <tableColumn id="18" name="UKC_fwd_m"/>
    <tableColumn id="19" name="UKC_aft_m"/>
    <tableColumn id="20" name="Ramp_angle_deg"/>
    <tableColumn id="21" name="GM_m"/>
    <tableColumn id="22" name="Gate_FWD"/>
    <tableColumn id="23" name="Gate_AFT"/>
    <tableColumn id="24" name="Gate_TRIM"/>
    <tableColumn id="25" name="Gate_UKC"/>
    <tableColumn id="26" name="Gate_RAMP"/>
    <tableColumn id="27" name="HoldPoint_Band"/>
    <tableColumn id="28" name="Go/No-Go"/>
    <tableColumn id="29" name="Ballast_Action"/>
    <tableColumn id="30" name="Ballast_Time_h"/>
    <tableColumn id="31" name="Ballast_Net_t"/>
    <tableColumn id="32" name="Ballast_Alloc"/>
    <tableColumn id="33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HoldPointLog" displayName="HoldPointLog" ref="A5:L205" headerRowCount="1">
  <autoFilter ref="A5:L205"/>
  <tableColumns count="12">
    <tableColumn id="1" name="Time"/>
    <tableColumn id="2" name="Stage_ID"/>
    <tableColumn id="3" name="Meas_FWD_m"/>
    <tableColumn id="4" name="Meas_AFT_m"/>
    <tableColumn id="5" name="Meas_Trim_cm"/>
    <tableColumn id="6" name="Pred_FWD_m"/>
    <tableColumn id="7" name="Pred_AFT_m"/>
    <tableColumn id="8" name="ΔFWD_cm"/>
    <tableColumn id="9" name="ΔAFT_cm"/>
    <tableColumn id="10" name="ΔTrim_cm"/>
    <tableColumn id="11" name="Action"/>
    <tableColumn id="12" name="Comment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EvidenceLog" displayName="EvidenceLog" ref="A1:J201" headerRowCount="1">
  <autoFilter ref="A1:J201"/>
  <tableColumns count="10">
    <tableColumn id="1" name="Site"/>
    <tableColumn id="2" name="Category"/>
    <tableColumn id="3" name="Document / Evidence Item"/>
    <tableColumn id="4" name="Req"/>
    <tableColumn id="5" name="Status"/>
    <tableColumn id="6" name="Due/Submitted"/>
    <tableColumn id="7" name="Portal"/>
    <tableColumn id="8" name="Ref No."/>
    <tableColumn id="9" name="File/Link"/>
    <tableColumn id="10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5" customWidth="1" min="2" max="2"/>
  </cols>
  <sheetData>
    <row r="1">
      <c r="A1" s="1" t="inlineStr">
        <is>
          <t>Workbook</t>
        </is>
      </c>
      <c r="B1" s="2" t="inlineStr">
        <is>
          <t>Bryan Submission Data Pack (Template)</t>
        </is>
      </c>
    </row>
    <row r="2">
      <c r="A2" s="1" t="inlineStr">
        <is>
          <t>Version</t>
        </is>
      </c>
      <c r="B2" s="3" t="inlineStr">
        <is>
          <t>v1.0</t>
        </is>
      </c>
    </row>
    <row r="3">
      <c r="A3" s="1" t="inlineStr">
        <is>
          <t>Created</t>
        </is>
      </c>
      <c r="B3" s="3" t="inlineStr">
        <is>
          <t>2025-12-30 17:54</t>
        </is>
      </c>
    </row>
    <row r="4">
      <c r="A4" s="1" t="inlineStr">
        <is>
          <t>Purpose</t>
        </is>
      </c>
      <c r="B4" s="3" t="inlineStr">
        <is>
          <t>Provide a single SSOT-style input/calculation template for ballast operations submission.</t>
        </is>
      </c>
    </row>
    <row r="6">
      <c r="A6" s="1" t="inlineStr">
        <is>
          <t>How to use</t>
        </is>
      </c>
      <c r="B6" s="3" t="inlineStr">
        <is>
          <t>1) Fill blue cells only. 2) Keep SSOT_Master as single source. 3) Stage_Calc uses these inputs.</t>
        </is>
      </c>
    </row>
    <row r="8">
      <c r="A8" s="1" t="inlineStr">
        <is>
          <t>Key Sheets</t>
        </is>
      </c>
      <c r="B8" s="3" t="inlineStr">
        <is>
          <t>01_SSOT_Master, 07_Stage_Calc, 08_HoldPoint_Log, 09_Evidence_Log</t>
        </is>
      </c>
    </row>
    <row r="10">
      <c r="A10" s="1" t="inlineStr">
        <is>
          <t>Notes</t>
        </is>
      </c>
      <c r="B10" s="3" t="inlineStr">
        <is>
          <t>Designed for AGI site operations.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55" customWidth="1" min="4" max="4"/>
    <col width="16" customWidth="1" min="5" max="5"/>
    <col width="18" customWidth="1" min="6" max="6"/>
  </cols>
  <sheetData>
    <row r="1" ht="22" customHeight="1">
      <c r="A1" s="4" t="inlineStr">
        <is>
          <t>Control / Input</t>
        </is>
      </c>
      <c r="B1" s="4" t="inlineStr">
        <is>
          <t>Value</t>
        </is>
      </c>
      <c r="C1" s="4" t="inlineStr">
        <is>
          <t>Unit</t>
        </is>
      </c>
      <c r="D1" s="4" t="inlineStr">
        <is>
          <t>Notes</t>
        </is>
      </c>
      <c r="E1" s="4" t="inlineStr">
        <is>
          <t>Owner</t>
        </is>
      </c>
      <c r="F1" s="4" t="inlineStr">
        <is>
          <t>Source/Ref</t>
        </is>
      </c>
    </row>
    <row r="2">
      <c r="A2" s="1" t="inlineStr">
        <is>
          <t>SITE</t>
        </is>
      </c>
      <c r="B2" s="5" t="inlineStr">
        <is>
          <t>AGI</t>
        </is>
      </c>
      <c r="C2" s="6" t="inlineStr"/>
      <c r="D2" s="6" t="inlineStr">
        <is>
          <t>AGI site operations</t>
        </is>
      </c>
      <c r="E2" s="6" t="inlineStr">
        <is>
          <t>Logistics</t>
        </is>
      </c>
      <c r="F2" s="6" t="inlineStr"/>
    </row>
    <row r="3">
      <c r="A3" s="1" t="inlineStr">
        <is>
          <t>Project / Shipment ID</t>
        </is>
      </c>
      <c r="B3" s="5" t="inlineStr"/>
      <c r="C3" s="6" t="inlineStr"/>
      <c r="D3" s="6" t="inlineStr">
        <is>
          <t>Internal reference</t>
        </is>
      </c>
      <c r="E3" s="6" t="inlineStr">
        <is>
          <t>Logistics</t>
        </is>
      </c>
      <c r="F3" s="6" t="inlineStr"/>
    </row>
    <row r="4">
      <c r="A4" s="1" t="inlineStr">
        <is>
          <t>Vessel / LCT Name</t>
        </is>
      </c>
      <c r="B4" s="5" t="inlineStr"/>
      <c r="C4" s="6" t="inlineStr"/>
      <c r="D4" s="6" t="inlineStr"/>
      <c r="E4" s="6" t="inlineStr">
        <is>
          <t>Marine</t>
        </is>
      </c>
      <c r="F4" s="6" t="inlineStr"/>
    </row>
    <row r="5">
      <c r="A5" s="1" t="inlineStr">
        <is>
          <t>Datum for Tide</t>
        </is>
      </c>
      <c r="B5" s="5" t="inlineStr">
        <is>
          <t>CD</t>
        </is>
      </c>
      <c r="C5" s="6" t="inlineStr"/>
      <c r="D5" s="6" t="inlineStr">
        <is>
          <t>Chart Datum unless specified otherwise</t>
        </is>
      </c>
      <c r="E5" s="6" t="inlineStr">
        <is>
          <t>Marine</t>
        </is>
      </c>
      <c r="F5" s="6" t="inlineStr">
        <is>
          <t>Port tide table</t>
        </is>
      </c>
    </row>
    <row r="6">
      <c r="A6" s="1" t="inlineStr">
        <is>
          <t>Timezone</t>
        </is>
      </c>
      <c r="B6" s="5" t="inlineStr">
        <is>
          <t>GST</t>
        </is>
      </c>
      <c r="C6" s="6" t="inlineStr"/>
      <c r="D6" s="6" t="inlineStr">
        <is>
          <t>Local timezone for logs</t>
        </is>
      </c>
      <c r="E6" s="6" t="inlineStr">
        <is>
          <t>Marine</t>
        </is>
      </c>
      <c r="F6" s="6" t="inlineStr"/>
    </row>
    <row r="7">
      <c r="A7" s="1" t="inlineStr">
        <is>
          <t>LBP</t>
        </is>
      </c>
      <c r="B7" s="5" t="inlineStr">
        <is>
          <t>60.30</t>
        </is>
      </c>
      <c r="C7" s="6" t="inlineStr">
        <is>
          <t>m</t>
        </is>
      </c>
      <c r="D7" s="6" t="inlineStr">
        <is>
          <t>Length between perpendiculars</t>
        </is>
      </c>
      <c r="E7" s="6" t="inlineStr">
        <is>
          <t>Marine</t>
        </is>
      </c>
      <c r="F7" s="6" t="inlineStr">
        <is>
          <t>Vessel spec</t>
        </is>
      </c>
    </row>
    <row r="8">
      <c r="A8" s="1" t="inlineStr">
        <is>
          <t>Beam</t>
        </is>
      </c>
      <c r="B8" s="5" t="inlineStr">
        <is>
          <t>24.00</t>
        </is>
      </c>
      <c r="C8" s="6" t="inlineStr">
        <is>
          <t>m</t>
        </is>
      </c>
      <c r="D8" s="6" t="inlineStr"/>
      <c r="E8" s="6" t="inlineStr">
        <is>
          <t>Marine</t>
        </is>
      </c>
      <c r="F8" s="6" t="inlineStr">
        <is>
          <t>Vessel spec</t>
        </is>
      </c>
    </row>
    <row r="9">
      <c r="A9" s="1" t="inlineStr">
        <is>
          <t>Molded Depth (D)</t>
        </is>
      </c>
      <c r="B9" s="5" t="inlineStr">
        <is>
          <t>3.65</t>
        </is>
      </c>
      <c r="C9" s="6" t="inlineStr">
        <is>
          <t>m</t>
        </is>
      </c>
      <c r="D9" s="6" t="inlineStr">
        <is>
          <t>Used for freeboard estimate</t>
        </is>
      </c>
      <c r="E9" s="6" t="inlineStr">
        <is>
          <t>Marine</t>
        </is>
      </c>
      <c r="F9" s="6" t="inlineStr">
        <is>
          <t>Vessel spec</t>
        </is>
      </c>
    </row>
    <row r="10">
      <c r="A10" s="1" t="inlineStr">
        <is>
          <t>Lightship Displacement</t>
        </is>
      </c>
      <c r="B10" s="5" t="inlineStr">
        <is>
          <t>2800</t>
        </is>
      </c>
      <c r="C10" s="6" t="inlineStr">
        <is>
          <t>t</t>
        </is>
      </c>
      <c r="D10" s="6" t="inlineStr">
        <is>
          <t>Baseline displacement (confirm)</t>
        </is>
      </c>
      <c r="E10" s="6" t="inlineStr">
        <is>
          <t>Marine</t>
        </is>
      </c>
      <c r="F10" s="6" t="inlineStr"/>
    </row>
    <row r="11">
      <c r="A11" s="1" t="inlineStr">
        <is>
          <t>Baseline Tmean</t>
        </is>
      </c>
      <c r="B11" s="5" t="inlineStr">
        <is>
          <t>2.00</t>
        </is>
      </c>
      <c r="C11" s="6" t="inlineStr">
        <is>
          <t>m</t>
        </is>
      </c>
      <c r="D11" s="6" t="inlineStr">
        <is>
          <t>Baseline mean draft (confirm)</t>
        </is>
      </c>
      <c r="E11" s="6" t="inlineStr">
        <is>
          <t>Marine</t>
        </is>
      </c>
      <c r="F11" s="6" t="inlineStr"/>
    </row>
    <row r="12">
      <c r="A12" s="1" t="inlineStr">
        <is>
          <t>Gate-A: AFT Draft MIN</t>
        </is>
      </c>
      <c r="B12" s="5" t="inlineStr">
        <is>
          <t>2.70</t>
        </is>
      </c>
      <c r="C12" s="6" t="inlineStr">
        <is>
          <t>m</t>
        </is>
      </c>
      <c r="D12" s="6" t="inlineStr">
        <is>
          <t>AFT &gt;= this</t>
        </is>
      </c>
      <c r="E12" s="6" t="inlineStr">
        <is>
          <t>Marine</t>
        </is>
      </c>
      <c r="F12" s="6" t="inlineStr">
        <is>
          <t>Ops</t>
        </is>
      </c>
    </row>
    <row r="13">
      <c r="A13" s="1" t="inlineStr">
        <is>
          <t>Gate-B: FWD Draft MAX</t>
        </is>
      </c>
      <c r="B13" s="5" t="inlineStr">
        <is>
          <t>2.70</t>
        </is>
      </c>
      <c r="C13" s="6" t="inlineStr">
        <is>
          <t>m</t>
        </is>
      </c>
      <c r="D13" s="6" t="inlineStr">
        <is>
          <t>FWD &lt;= this (critical stages)</t>
        </is>
      </c>
      <c r="E13" s="6" t="inlineStr">
        <is>
          <t>Marine</t>
        </is>
      </c>
      <c r="F13" s="6" t="inlineStr">
        <is>
          <t>Ops</t>
        </is>
      </c>
    </row>
    <row r="14">
      <c r="A14" s="1" t="inlineStr">
        <is>
          <t>Gate-C: TRIM ABS MAX</t>
        </is>
      </c>
      <c r="B14" s="5" t="inlineStr">
        <is>
          <t>240</t>
        </is>
      </c>
      <c r="C14" s="6" t="inlineStr">
        <is>
          <t>cm</t>
        </is>
      </c>
      <c r="D14" s="6" t="inlineStr">
        <is>
          <t>ABS(Trim_cm) &lt;= this</t>
        </is>
      </c>
      <c r="E14" s="6" t="inlineStr">
        <is>
          <t>Marine</t>
        </is>
      </c>
      <c r="F14" s="6" t="inlineStr">
        <is>
          <t>Ops</t>
        </is>
      </c>
    </row>
    <row r="15">
      <c r="A15" s="1" t="inlineStr">
        <is>
          <t>UKC min</t>
        </is>
      </c>
      <c r="B15" s="5" t="inlineStr">
        <is>
          <t>0.50</t>
        </is>
      </c>
      <c r="C15" s="6" t="inlineStr">
        <is>
          <t>m</t>
        </is>
      </c>
      <c r="D15" s="6" t="inlineStr">
        <is>
          <t>Under keel clearance minimum</t>
        </is>
      </c>
      <c r="E15" s="6" t="inlineStr">
        <is>
          <t>Marine</t>
        </is>
      </c>
      <c r="F15" s="6" t="inlineStr">
        <is>
          <t>Port</t>
        </is>
      </c>
    </row>
    <row r="16">
      <c r="A16" s="1" t="inlineStr">
        <is>
          <t>DepthRef (charted/berth)</t>
        </is>
      </c>
      <c r="B16" s="5" t="inlineStr">
        <is>
          <t>5.50</t>
        </is>
      </c>
      <c r="C16" s="6" t="inlineStr">
        <is>
          <t>m</t>
        </is>
      </c>
      <c r="D16" s="6" t="inlineStr">
        <is>
          <t>Depth reference (same datum as tide)</t>
        </is>
      </c>
      <c r="E16" s="6" t="inlineStr">
        <is>
          <t>Marine</t>
        </is>
      </c>
      <c r="F16" s="6" t="inlineStr">
        <is>
          <t>Port</t>
        </is>
      </c>
    </row>
    <row r="17">
      <c r="A17" s="1" t="inlineStr">
        <is>
          <t>Squat</t>
        </is>
      </c>
      <c r="B17" s="5" t="inlineStr">
        <is>
          <t>0.00</t>
        </is>
      </c>
      <c r="C17" s="6" t="inlineStr">
        <is>
          <t>m</t>
        </is>
      </c>
      <c r="D17" s="6" t="inlineStr">
        <is>
          <t>Allowance</t>
        </is>
      </c>
      <c r="E17" s="6" t="inlineStr">
        <is>
          <t>Marine</t>
        </is>
      </c>
      <c r="F17" s="6" t="inlineStr"/>
    </row>
    <row r="18">
      <c r="A18" s="1" t="inlineStr">
        <is>
          <t>Safety Allowance</t>
        </is>
      </c>
      <c r="B18" s="5" t="inlineStr">
        <is>
          <t>0.00</t>
        </is>
      </c>
      <c r="C18" s="6" t="inlineStr">
        <is>
          <t>m</t>
        </is>
      </c>
      <c r="D18" s="6" t="inlineStr">
        <is>
          <t>Allowance</t>
        </is>
      </c>
      <c r="E18" s="6" t="inlineStr">
        <is>
          <t>Marine</t>
        </is>
      </c>
      <c r="F18" s="6" t="inlineStr"/>
    </row>
    <row r="19">
      <c r="A19" s="1" t="inlineStr">
        <is>
          <t>Pump rate (ship)</t>
        </is>
      </c>
      <c r="B19" s="5" t="inlineStr">
        <is>
          <t>10.0</t>
        </is>
      </c>
      <c r="C19" s="6" t="inlineStr">
        <is>
          <t>t/h</t>
        </is>
      </c>
      <c r="D19" s="6" t="inlineStr">
        <is>
          <t>Default ship pump rate</t>
        </is>
      </c>
      <c r="E19" s="6" t="inlineStr">
        <is>
          <t>Marine</t>
        </is>
      </c>
      <c r="F19" s="6" t="inlineStr"/>
    </row>
    <row r="20">
      <c r="A20" s="1" t="inlineStr">
        <is>
          <t>Vent flow coeff</t>
        </is>
      </c>
      <c r="B20" s="5" t="inlineStr">
        <is>
          <t>0.86</t>
        </is>
      </c>
      <c r="C20" s="6" t="inlineStr">
        <is>
          <t>t/h/mm</t>
        </is>
      </c>
      <c r="D20" s="6" t="inlineStr">
        <is>
          <t>Vent-limited effective rate</t>
        </is>
      </c>
      <c r="E20" s="6" t="inlineStr">
        <is>
          <t>Marine</t>
        </is>
      </c>
      <c r="F20" s="6" t="inlineStr"/>
    </row>
    <row r="21">
      <c r="A21" s="1" t="inlineStr">
        <is>
          <t>Ramp length</t>
        </is>
      </c>
      <c r="B21" s="5" t="inlineStr">
        <is>
          <t>8.30</t>
        </is>
      </c>
      <c r="C21" s="6" t="inlineStr">
        <is>
          <t>m</t>
        </is>
      </c>
      <c r="D21" s="6" t="inlineStr">
        <is>
          <t>Ramp geometry</t>
        </is>
      </c>
      <c r="E21" s="6" t="inlineStr">
        <is>
          <t>Marine</t>
        </is>
      </c>
      <c r="F21" s="6" t="inlineStr"/>
    </row>
    <row r="22">
      <c r="A22" s="1" t="inlineStr">
        <is>
          <t>Linkspan height</t>
        </is>
      </c>
      <c r="B22" s="5" t="inlineStr">
        <is>
          <t>2.00</t>
        </is>
      </c>
      <c r="C22" s="6" t="inlineStr">
        <is>
          <t>m</t>
        </is>
      </c>
      <c r="D22" s="6" t="inlineStr">
        <is>
          <t>Reference height</t>
        </is>
      </c>
      <c r="E22" s="6" t="inlineStr">
        <is>
          <t>Marine</t>
        </is>
      </c>
      <c r="F22" s="6" t="inlineStr"/>
    </row>
  </sheetData>
  <dataValidations count="1">
    <dataValidation sqref="B2" showDropDown="0" showInputMessage="0" showErrorMessage="0" allowBlank="0" type="list">
      <formula1>"AGI"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4" customWidth="1" min="4" max="4"/>
    <col width="16" customWidth="1" min="5" max="5"/>
    <col width="10" customWidth="1" min="6" max="6"/>
    <col width="10" customWidth="1" min="7" max="7"/>
    <col width="55" customWidth="1" min="8" max="8"/>
  </cols>
  <sheetData>
    <row r="1" ht="20" customHeight="1">
      <c r="A1" s="7" t="inlineStr">
        <is>
          <t>Hydro Table (input)</t>
        </is>
      </c>
    </row>
    <row r="2">
      <c r="A2" s="8" t="inlineStr">
        <is>
          <t>Fill hydrostatic points sorted by Displacement ascending. Minimum 2 points required.</t>
        </is>
      </c>
    </row>
    <row r="3" ht="22" customHeight="1">
      <c r="A3" s="4" t="inlineStr">
        <is>
          <t>#</t>
        </is>
      </c>
      <c r="B3" s="4" t="inlineStr">
        <is>
          <t>Disp_t</t>
        </is>
      </c>
      <c r="C3" s="4" t="inlineStr">
        <is>
          <t>Tmean_m</t>
        </is>
      </c>
      <c r="D3" s="4" t="inlineStr">
        <is>
          <t>TPC_t/cm</t>
        </is>
      </c>
      <c r="E3" s="4" t="inlineStr">
        <is>
          <t>MTC_t·m/cm</t>
        </is>
      </c>
      <c r="F3" s="4" t="inlineStr">
        <is>
          <t>LCF_m</t>
        </is>
      </c>
      <c r="G3" s="4" t="inlineStr">
        <is>
          <t>GM_m</t>
        </is>
      </c>
      <c r="H3" s="4" t="inlineStr">
        <is>
          <t>Source/Remark</t>
        </is>
      </c>
    </row>
    <row r="4">
      <c r="A4" s="9" t="n">
        <v>1</v>
      </c>
      <c r="B4" s="10" t="n"/>
      <c r="C4" s="10" t="n"/>
      <c r="D4" s="10" t="n"/>
      <c r="E4" s="10" t="n"/>
      <c r="F4" s="10" t="n"/>
      <c r="G4" s="10" t="n"/>
      <c r="H4" s="10" t="n"/>
    </row>
    <row r="5">
      <c r="A5" s="9" t="n">
        <v>2</v>
      </c>
      <c r="B5" s="10" t="n"/>
      <c r="C5" s="10" t="n"/>
      <c r="D5" s="10" t="n"/>
      <c r="E5" s="10" t="n"/>
      <c r="F5" s="10" t="n"/>
      <c r="G5" s="10" t="n"/>
      <c r="H5" s="10" t="n"/>
    </row>
    <row r="6">
      <c r="A6" s="9" t="n">
        <v>3</v>
      </c>
      <c r="B6" s="10" t="n"/>
      <c r="C6" s="10" t="n"/>
      <c r="D6" s="10" t="n"/>
      <c r="E6" s="10" t="n"/>
      <c r="F6" s="10" t="n"/>
      <c r="G6" s="10" t="n"/>
      <c r="H6" s="10" t="n"/>
    </row>
    <row r="7">
      <c r="A7" s="9" t="n">
        <v>4</v>
      </c>
      <c r="B7" s="10" t="n"/>
      <c r="C7" s="10" t="n"/>
      <c r="D7" s="10" t="n"/>
      <c r="E7" s="10" t="n"/>
      <c r="F7" s="10" t="n"/>
      <c r="G7" s="10" t="n"/>
      <c r="H7" s="10" t="n"/>
    </row>
    <row r="8">
      <c r="A8" s="9" t="n">
        <v>5</v>
      </c>
      <c r="B8" s="10" t="n"/>
      <c r="C8" s="10" t="n"/>
      <c r="D8" s="10" t="n"/>
      <c r="E8" s="10" t="n"/>
      <c r="F8" s="10" t="n"/>
      <c r="G8" s="10" t="n"/>
      <c r="H8" s="10" t="n"/>
    </row>
    <row r="9">
      <c r="A9" s="9" t="n">
        <v>6</v>
      </c>
      <c r="B9" s="10" t="n"/>
      <c r="C9" s="10" t="n"/>
      <c r="D9" s="10" t="n"/>
      <c r="E9" s="10" t="n"/>
      <c r="F9" s="10" t="n"/>
      <c r="G9" s="10" t="n"/>
      <c r="H9" s="10" t="n"/>
    </row>
    <row r="10">
      <c r="A10" s="9" t="n">
        <v>7</v>
      </c>
      <c r="B10" s="10" t="n"/>
      <c r="C10" s="10" t="n"/>
      <c r="D10" s="10" t="n"/>
      <c r="E10" s="10" t="n"/>
      <c r="F10" s="10" t="n"/>
      <c r="G10" s="10" t="n"/>
      <c r="H10" s="10" t="n"/>
    </row>
    <row r="11">
      <c r="A11" s="9" t="n">
        <v>8</v>
      </c>
      <c r="B11" s="10" t="n"/>
      <c r="C11" s="10" t="n"/>
      <c r="D11" s="10" t="n"/>
      <c r="E11" s="10" t="n"/>
      <c r="F11" s="10" t="n"/>
      <c r="G11" s="10" t="n"/>
      <c r="H11" s="10" t="n"/>
    </row>
    <row r="12">
      <c r="A12" s="9" t="n">
        <v>9</v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9" t="n">
        <v>10</v>
      </c>
      <c r="B13" s="10" t="n"/>
      <c r="C13" s="10" t="n"/>
      <c r="D13" s="10" t="n"/>
      <c r="E13" s="10" t="n"/>
      <c r="F13" s="10" t="n"/>
      <c r="G13" s="10" t="n"/>
      <c r="H13" s="10" t="n"/>
    </row>
    <row r="14">
      <c r="A14" s="9" t="n">
        <v>11</v>
      </c>
      <c r="B14" s="10" t="n"/>
      <c r="C14" s="10" t="n"/>
      <c r="D14" s="10" t="n"/>
      <c r="E14" s="10" t="n"/>
      <c r="F14" s="10" t="n"/>
      <c r="G14" s="10" t="n"/>
      <c r="H14" s="10" t="n"/>
    </row>
    <row r="15">
      <c r="A15" s="9" t="n">
        <v>12</v>
      </c>
      <c r="B15" s="10" t="n"/>
      <c r="C15" s="10" t="n"/>
      <c r="D15" s="10" t="n"/>
      <c r="E15" s="10" t="n"/>
      <c r="F15" s="10" t="n"/>
      <c r="G15" s="10" t="n"/>
      <c r="H15" s="10" t="n"/>
    </row>
    <row r="16">
      <c r="A16" s="9" t="n">
        <v>13</v>
      </c>
      <c r="B16" s="10" t="n"/>
      <c r="C16" s="10" t="n"/>
      <c r="D16" s="10" t="n"/>
      <c r="E16" s="10" t="n"/>
      <c r="F16" s="10" t="n"/>
      <c r="G16" s="10" t="n"/>
      <c r="H16" s="10" t="n"/>
    </row>
    <row r="17">
      <c r="A17" s="9" t="n">
        <v>14</v>
      </c>
      <c r="B17" s="10" t="n"/>
      <c r="C17" s="10" t="n"/>
      <c r="D17" s="10" t="n"/>
      <c r="E17" s="10" t="n"/>
      <c r="F17" s="10" t="n"/>
      <c r="G17" s="10" t="n"/>
      <c r="H17" s="10" t="n"/>
    </row>
    <row r="18">
      <c r="A18" s="9" t="n">
        <v>15</v>
      </c>
      <c r="B18" s="10" t="n"/>
      <c r="C18" s="10" t="n"/>
      <c r="D18" s="10" t="n"/>
      <c r="E18" s="10" t="n"/>
      <c r="F18" s="10" t="n"/>
      <c r="G18" s="10" t="n"/>
      <c r="H18" s="10" t="n"/>
    </row>
    <row r="19">
      <c r="A19" s="9" t="n">
        <v>16</v>
      </c>
      <c r="B19" s="10" t="n"/>
      <c r="C19" s="10" t="n"/>
      <c r="D19" s="10" t="n"/>
      <c r="E19" s="10" t="n"/>
      <c r="F19" s="10" t="n"/>
      <c r="G19" s="10" t="n"/>
      <c r="H19" s="10" t="n"/>
    </row>
    <row r="20">
      <c r="A20" s="9" t="n">
        <v>17</v>
      </c>
      <c r="B20" s="10" t="n"/>
      <c r="C20" s="10" t="n"/>
      <c r="D20" s="10" t="n"/>
      <c r="E20" s="10" t="n"/>
      <c r="F20" s="10" t="n"/>
      <c r="G20" s="10" t="n"/>
      <c r="H20" s="10" t="n"/>
    </row>
    <row r="21">
      <c r="A21" s="9" t="n">
        <v>18</v>
      </c>
      <c r="B21" s="10" t="n"/>
      <c r="C21" s="10" t="n"/>
      <c r="D21" s="10" t="n"/>
      <c r="E21" s="10" t="n"/>
      <c r="F21" s="10" t="n"/>
      <c r="G21" s="10" t="n"/>
      <c r="H21" s="10" t="n"/>
    </row>
    <row r="22">
      <c r="A22" s="9" t="n">
        <v>19</v>
      </c>
      <c r="B22" s="10" t="n"/>
      <c r="C22" s="10" t="n"/>
      <c r="D22" s="10" t="n"/>
      <c r="E22" s="10" t="n"/>
      <c r="F22" s="10" t="n"/>
      <c r="G22" s="10" t="n"/>
      <c r="H22" s="10" t="n"/>
    </row>
    <row r="23">
      <c r="A23" s="9" t="n">
        <v>20</v>
      </c>
      <c r="B23" s="10" t="n"/>
      <c r="C23" s="10" t="n"/>
      <c r="D23" s="10" t="n"/>
      <c r="E23" s="10" t="n"/>
      <c r="F23" s="10" t="n"/>
      <c r="G23" s="10" t="n"/>
      <c r="H23" s="10" t="n"/>
    </row>
    <row r="24">
      <c r="A24" s="9" t="n">
        <v>21</v>
      </c>
      <c r="B24" s="10" t="n"/>
      <c r="C24" s="10" t="n"/>
      <c r="D24" s="10" t="n"/>
      <c r="E24" s="10" t="n"/>
      <c r="F24" s="10" t="n"/>
      <c r="G24" s="10" t="n"/>
      <c r="H24" s="10" t="n"/>
    </row>
    <row r="25">
      <c r="A25" s="9" t="n">
        <v>22</v>
      </c>
      <c r="B25" s="10" t="n"/>
      <c r="C25" s="10" t="n"/>
      <c r="D25" s="10" t="n"/>
      <c r="E25" s="10" t="n"/>
      <c r="F25" s="10" t="n"/>
      <c r="G25" s="10" t="n"/>
      <c r="H25" s="10" t="n"/>
    </row>
    <row r="26">
      <c r="A26" s="9" t="n">
        <v>23</v>
      </c>
      <c r="B26" s="10" t="n"/>
      <c r="C26" s="10" t="n"/>
      <c r="D26" s="10" t="n"/>
      <c r="E26" s="10" t="n"/>
      <c r="F26" s="10" t="n"/>
      <c r="G26" s="10" t="n"/>
      <c r="H26" s="10" t="n"/>
    </row>
    <row r="27">
      <c r="A27" s="9" t="n">
        <v>24</v>
      </c>
      <c r="B27" s="10" t="n"/>
      <c r="C27" s="10" t="n"/>
      <c r="D27" s="10" t="n"/>
      <c r="E27" s="10" t="n"/>
      <c r="F27" s="10" t="n"/>
      <c r="G27" s="10" t="n"/>
      <c r="H27" s="10" t="n"/>
    </row>
    <row r="28">
      <c r="A28" s="9" t="n">
        <v>25</v>
      </c>
      <c r="B28" s="10" t="n"/>
      <c r="C28" s="10" t="n"/>
      <c r="D28" s="10" t="n"/>
      <c r="E28" s="10" t="n"/>
      <c r="F28" s="10" t="n"/>
      <c r="G28" s="10" t="n"/>
      <c r="H28" s="10" t="n"/>
    </row>
    <row r="29">
      <c r="A29" s="9" t="n">
        <v>26</v>
      </c>
      <c r="B29" s="10" t="n"/>
      <c r="C29" s="10" t="n"/>
      <c r="D29" s="10" t="n"/>
      <c r="E29" s="10" t="n"/>
      <c r="F29" s="10" t="n"/>
      <c r="G29" s="10" t="n"/>
      <c r="H29" s="10" t="n"/>
    </row>
    <row r="30">
      <c r="A30" s="9" t="n">
        <v>27</v>
      </c>
      <c r="B30" s="10" t="n"/>
      <c r="C30" s="10" t="n"/>
      <c r="D30" s="10" t="n"/>
      <c r="E30" s="10" t="n"/>
      <c r="F30" s="10" t="n"/>
      <c r="G30" s="10" t="n"/>
      <c r="H30" s="10" t="n"/>
    </row>
    <row r="31">
      <c r="A31" s="9" t="n">
        <v>28</v>
      </c>
      <c r="B31" s="10" t="n"/>
      <c r="C31" s="10" t="n"/>
      <c r="D31" s="10" t="n"/>
      <c r="E31" s="10" t="n"/>
      <c r="F31" s="10" t="n"/>
      <c r="G31" s="10" t="n"/>
      <c r="H31" s="10" t="n"/>
    </row>
    <row r="32">
      <c r="A32" s="9" t="n">
        <v>29</v>
      </c>
      <c r="B32" s="10" t="n"/>
      <c r="C32" s="10" t="n"/>
      <c r="D32" s="10" t="n"/>
      <c r="E32" s="10" t="n"/>
      <c r="F32" s="10" t="n"/>
      <c r="G32" s="10" t="n"/>
      <c r="H32" s="10" t="n"/>
    </row>
    <row r="33">
      <c r="A33" s="9" t="n">
        <v>30</v>
      </c>
      <c r="B33" s="10" t="n"/>
      <c r="C33" s="10" t="n"/>
      <c r="D33" s="10" t="n"/>
      <c r="E33" s="10" t="n"/>
      <c r="F33" s="10" t="n"/>
      <c r="G33" s="10" t="n"/>
      <c r="H33" s="10" t="n"/>
    </row>
    <row r="34">
      <c r="A34" s="9" t="n">
        <v>31</v>
      </c>
      <c r="B34" s="10" t="n"/>
      <c r="C34" s="10" t="n"/>
      <c r="D34" s="10" t="n"/>
      <c r="E34" s="10" t="n"/>
      <c r="F34" s="10" t="n"/>
      <c r="G34" s="10" t="n"/>
      <c r="H34" s="10" t="n"/>
    </row>
    <row r="35">
      <c r="A35" s="9" t="n">
        <v>32</v>
      </c>
      <c r="B35" s="10" t="n"/>
      <c r="C35" s="10" t="n"/>
      <c r="D35" s="10" t="n"/>
      <c r="E35" s="10" t="n"/>
      <c r="F35" s="10" t="n"/>
      <c r="G35" s="10" t="n"/>
      <c r="H35" s="10" t="n"/>
    </row>
    <row r="36">
      <c r="A36" s="9" t="n">
        <v>33</v>
      </c>
      <c r="B36" s="10" t="n"/>
      <c r="C36" s="10" t="n"/>
      <c r="D36" s="10" t="n"/>
      <c r="E36" s="10" t="n"/>
      <c r="F36" s="10" t="n"/>
      <c r="G36" s="10" t="n"/>
      <c r="H36" s="10" t="n"/>
    </row>
    <row r="37">
      <c r="A37" s="9" t="n">
        <v>34</v>
      </c>
      <c r="B37" s="10" t="n"/>
      <c r="C37" s="10" t="n"/>
      <c r="D37" s="10" t="n"/>
      <c r="E37" s="10" t="n"/>
      <c r="F37" s="10" t="n"/>
      <c r="G37" s="10" t="n"/>
      <c r="H37" s="10" t="n"/>
    </row>
    <row r="38">
      <c r="A38" s="9" t="n">
        <v>35</v>
      </c>
      <c r="B38" s="10" t="n"/>
      <c r="C38" s="10" t="n"/>
      <c r="D38" s="10" t="n"/>
      <c r="E38" s="10" t="n"/>
      <c r="F38" s="10" t="n"/>
      <c r="G38" s="10" t="n"/>
      <c r="H38" s="10" t="n"/>
    </row>
    <row r="39">
      <c r="A39" s="9" t="n">
        <v>36</v>
      </c>
      <c r="B39" s="10" t="n"/>
      <c r="C39" s="10" t="n"/>
      <c r="D39" s="10" t="n"/>
      <c r="E39" s="10" t="n"/>
      <c r="F39" s="10" t="n"/>
      <c r="G39" s="10" t="n"/>
      <c r="H39" s="10" t="n"/>
    </row>
    <row r="40">
      <c r="A40" s="9" t="n">
        <v>37</v>
      </c>
      <c r="B40" s="10" t="n"/>
      <c r="C40" s="10" t="n"/>
      <c r="D40" s="10" t="n"/>
      <c r="E40" s="10" t="n"/>
      <c r="F40" s="10" t="n"/>
      <c r="G40" s="10" t="n"/>
      <c r="H40" s="10" t="n"/>
    </row>
    <row r="41">
      <c r="A41" s="9" t="n">
        <v>38</v>
      </c>
      <c r="B41" s="10" t="n"/>
      <c r="C41" s="10" t="n"/>
      <c r="D41" s="10" t="n"/>
      <c r="E41" s="10" t="n"/>
      <c r="F41" s="10" t="n"/>
      <c r="G41" s="10" t="n"/>
      <c r="H41" s="10" t="n"/>
    </row>
    <row r="42">
      <c r="A42" s="9" t="n">
        <v>39</v>
      </c>
      <c r="B42" s="10" t="n"/>
      <c r="C42" s="10" t="n"/>
      <c r="D42" s="10" t="n"/>
      <c r="E42" s="10" t="n"/>
      <c r="F42" s="10" t="n"/>
      <c r="G42" s="10" t="n"/>
      <c r="H42" s="10" t="n"/>
    </row>
    <row r="43">
      <c r="A43" s="9" t="n">
        <v>40</v>
      </c>
      <c r="B43" s="10" t="n"/>
      <c r="C43" s="10" t="n"/>
      <c r="D43" s="10" t="n"/>
      <c r="E43" s="10" t="n"/>
      <c r="F43" s="10" t="n"/>
      <c r="G43" s="10" t="n"/>
      <c r="H43" s="10" t="n"/>
    </row>
    <row r="44">
      <c r="A44" s="9" t="n">
        <v>41</v>
      </c>
      <c r="B44" s="10" t="n"/>
      <c r="C44" s="10" t="n"/>
      <c r="D44" s="10" t="n"/>
      <c r="E44" s="10" t="n"/>
      <c r="F44" s="10" t="n"/>
      <c r="G44" s="10" t="n"/>
      <c r="H44" s="10" t="n"/>
    </row>
    <row r="45">
      <c r="A45" s="9" t="n">
        <v>42</v>
      </c>
      <c r="B45" s="10" t="n"/>
      <c r="C45" s="10" t="n"/>
      <c r="D45" s="10" t="n"/>
      <c r="E45" s="10" t="n"/>
      <c r="F45" s="10" t="n"/>
      <c r="G45" s="10" t="n"/>
      <c r="H45" s="10" t="n"/>
    </row>
    <row r="46">
      <c r="A46" s="9" t="n">
        <v>43</v>
      </c>
      <c r="B46" s="10" t="n"/>
      <c r="C46" s="10" t="n"/>
      <c r="D46" s="10" t="n"/>
      <c r="E46" s="10" t="n"/>
      <c r="F46" s="10" t="n"/>
      <c r="G46" s="10" t="n"/>
      <c r="H46" s="10" t="n"/>
    </row>
    <row r="47">
      <c r="A47" s="9" t="n">
        <v>44</v>
      </c>
      <c r="B47" s="10" t="n"/>
      <c r="C47" s="10" t="n"/>
      <c r="D47" s="10" t="n"/>
      <c r="E47" s="10" t="n"/>
      <c r="F47" s="10" t="n"/>
      <c r="G47" s="10" t="n"/>
      <c r="H47" s="10" t="n"/>
    </row>
    <row r="48">
      <c r="A48" s="9" t="n">
        <v>45</v>
      </c>
      <c r="B48" s="10" t="n"/>
      <c r="C48" s="10" t="n"/>
      <c r="D48" s="10" t="n"/>
      <c r="E48" s="10" t="n"/>
      <c r="F48" s="10" t="n"/>
      <c r="G48" s="10" t="n"/>
      <c r="H48" s="10" t="n"/>
    </row>
    <row r="49">
      <c r="A49" s="9" t="n">
        <v>46</v>
      </c>
      <c r="B49" s="10" t="n"/>
      <c r="C49" s="10" t="n"/>
      <c r="D49" s="10" t="n"/>
      <c r="E49" s="10" t="n"/>
      <c r="F49" s="10" t="n"/>
      <c r="G49" s="10" t="n"/>
      <c r="H49" s="10" t="n"/>
    </row>
    <row r="50">
      <c r="A50" s="9" t="n">
        <v>47</v>
      </c>
      <c r="B50" s="10" t="n"/>
      <c r="C50" s="10" t="n"/>
      <c r="D50" s="10" t="n"/>
      <c r="E50" s="10" t="n"/>
      <c r="F50" s="10" t="n"/>
      <c r="G50" s="10" t="n"/>
      <c r="H50" s="10" t="n"/>
    </row>
    <row r="51">
      <c r="A51" s="9" t="n">
        <v>48</v>
      </c>
      <c r="B51" s="10" t="n"/>
      <c r="C51" s="10" t="n"/>
      <c r="D51" s="10" t="n"/>
      <c r="E51" s="10" t="n"/>
      <c r="F51" s="10" t="n"/>
      <c r="G51" s="10" t="n"/>
      <c r="H51" s="10" t="n"/>
    </row>
    <row r="52">
      <c r="A52" s="9" t="n">
        <v>49</v>
      </c>
      <c r="B52" s="10" t="n"/>
      <c r="C52" s="10" t="n"/>
      <c r="D52" s="10" t="n"/>
      <c r="E52" s="10" t="n"/>
      <c r="F52" s="10" t="n"/>
      <c r="G52" s="10" t="n"/>
      <c r="H52" s="10" t="n"/>
    </row>
    <row r="53">
      <c r="A53" s="9" t="n">
        <v>50</v>
      </c>
      <c r="B53" s="10" t="n"/>
      <c r="C53" s="10" t="n"/>
      <c r="D53" s="10" t="n"/>
      <c r="E53" s="10" t="n"/>
      <c r="F53" s="10" t="n"/>
      <c r="G53" s="10" t="n"/>
      <c r="H53" s="10" t="n"/>
    </row>
    <row r="54">
      <c r="A54" s="9" t="n">
        <v>51</v>
      </c>
      <c r="B54" s="10" t="n"/>
      <c r="C54" s="10" t="n"/>
      <c r="D54" s="10" t="n"/>
      <c r="E54" s="10" t="n"/>
      <c r="F54" s="10" t="n"/>
      <c r="G54" s="10" t="n"/>
      <c r="H54" s="10" t="n"/>
    </row>
    <row r="55">
      <c r="A55" s="9" t="n">
        <v>52</v>
      </c>
      <c r="B55" s="10" t="n"/>
      <c r="C55" s="10" t="n"/>
      <c r="D55" s="10" t="n"/>
      <c r="E55" s="10" t="n"/>
      <c r="F55" s="10" t="n"/>
      <c r="G55" s="10" t="n"/>
      <c r="H55" s="10" t="n"/>
    </row>
    <row r="56">
      <c r="A56" s="9" t="n">
        <v>53</v>
      </c>
      <c r="B56" s="10" t="n"/>
      <c r="C56" s="10" t="n"/>
      <c r="D56" s="10" t="n"/>
      <c r="E56" s="10" t="n"/>
      <c r="F56" s="10" t="n"/>
      <c r="G56" s="10" t="n"/>
      <c r="H56" s="10" t="n"/>
    </row>
    <row r="57">
      <c r="A57" s="9" t="n">
        <v>54</v>
      </c>
      <c r="B57" s="10" t="n"/>
      <c r="C57" s="10" t="n"/>
      <c r="D57" s="10" t="n"/>
      <c r="E57" s="10" t="n"/>
      <c r="F57" s="10" t="n"/>
      <c r="G57" s="10" t="n"/>
      <c r="H57" s="10" t="n"/>
    </row>
    <row r="58">
      <c r="A58" s="9" t="n">
        <v>55</v>
      </c>
      <c r="B58" s="10" t="n"/>
      <c r="C58" s="10" t="n"/>
      <c r="D58" s="10" t="n"/>
      <c r="E58" s="10" t="n"/>
      <c r="F58" s="10" t="n"/>
      <c r="G58" s="10" t="n"/>
      <c r="H58" s="10" t="n"/>
    </row>
    <row r="59">
      <c r="A59" s="9" t="n">
        <v>56</v>
      </c>
      <c r="B59" s="10" t="n"/>
      <c r="C59" s="10" t="n"/>
      <c r="D59" s="10" t="n"/>
      <c r="E59" s="10" t="n"/>
      <c r="F59" s="10" t="n"/>
      <c r="G59" s="10" t="n"/>
      <c r="H59" s="10" t="n"/>
    </row>
    <row r="60">
      <c r="A60" s="9" t="n">
        <v>57</v>
      </c>
      <c r="B60" s="10" t="n"/>
      <c r="C60" s="10" t="n"/>
      <c r="D60" s="10" t="n"/>
      <c r="E60" s="10" t="n"/>
      <c r="F60" s="10" t="n"/>
      <c r="G60" s="10" t="n"/>
      <c r="H60" s="10" t="n"/>
    </row>
    <row r="61">
      <c r="A61" s="9" t="n">
        <v>58</v>
      </c>
      <c r="B61" s="10" t="n"/>
      <c r="C61" s="10" t="n"/>
      <c r="D61" s="10" t="n"/>
      <c r="E61" s="10" t="n"/>
      <c r="F61" s="10" t="n"/>
      <c r="G61" s="10" t="n"/>
      <c r="H61" s="10" t="n"/>
    </row>
    <row r="62">
      <c r="A62" s="9" t="n">
        <v>59</v>
      </c>
      <c r="B62" s="10" t="n"/>
      <c r="C62" s="10" t="n"/>
      <c r="D62" s="10" t="n"/>
      <c r="E62" s="10" t="n"/>
      <c r="F62" s="10" t="n"/>
      <c r="G62" s="10" t="n"/>
      <c r="H62" s="10" t="n"/>
    </row>
    <row r="63">
      <c r="A63" s="9" t="n">
        <v>60</v>
      </c>
      <c r="B63" s="10" t="n"/>
      <c r="C63" s="10" t="n"/>
      <c r="D63" s="10" t="n"/>
      <c r="E63" s="10" t="n"/>
      <c r="F63" s="10" t="n"/>
      <c r="G63" s="10" t="n"/>
      <c r="H63" s="10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6" customWidth="1" min="4" max="4"/>
    <col width="45" customWidth="1" min="5" max="5"/>
  </cols>
  <sheetData>
    <row r="1" ht="20" customHeight="1">
      <c r="A1" s="11" t="inlineStr">
        <is>
          <t>Berth / Depth Reference (input)</t>
        </is>
      </c>
    </row>
    <row r="2">
      <c r="A2" s="12" t="inlineStr">
        <is>
          <t>DepthRef must use same datum as tide (e.g., CD).</t>
        </is>
      </c>
    </row>
    <row r="3" ht="22" customHeight="1">
      <c r="A3" s="4" t="inlineStr">
        <is>
          <t>Field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Notes</t>
        </is>
      </c>
      <c r="E3" s="4" t="inlineStr">
        <is>
          <t>Source</t>
        </is>
      </c>
    </row>
    <row r="4">
      <c r="A4" s="1" t="inlineStr">
        <is>
          <t>Site/Location</t>
        </is>
      </c>
      <c r="B4" s="10" t="inlineStr"/>
      <c r="C4" s="9" t="inlineStr"/>
      <c r="D4" s="6" t="inlineStr">
        <is>
          <t>Berth/jetty identification</t>
        </is>
      </c>
      <c r="E4" s="6" t="inlineStr"/>
    </row>
    <row r="5">
      <c r="A5" s="1" t="inlineStr">
        <is>
          <t>DepthRef</t>
        </is>
      </c>
      <c r="B5" s="10" t="inlineStr">
        <is>
          <t>5.50</t>
        </is>
      </c>
      <c r="C5" s="9" t="inlineStr">
        <is>
          <t>m</t>
        </is>
      </c>
      <c r="D5" s="6" t="inlineStr">
        <is>
          <t>Use latest sounding if available</t>
        </is>
      </c>
      <c r="E5" s="6" t="inlineStr"/>
    </row>
    <row r="6">
      <c r="A6" s="1" t="inlineStr">
        <is>
          <t>Datum</t>
        </is>
      </c>
      <c r="B6" s="10" t="inlineStr">
        <is>
          <t>CD</t>
        </is>
      </c>
      <c r="C6" s="9" t="inlineStr"/>
      <c r="D6" s="6" t="inlineStr">
        <is>
          <t>e.g., CD</t>
        </is>
      </c>
      <c r="E6" s="6" t="inlineStr"/>
    </row>
    <row r="7">
      <c r="A7" s="1" t="inlineStr">
        <is>
          <t>UKC min</t>
        </is>
      </c>
      <c r="B7" s="10" t="inlineStr">
        <is>
          <t>0.50</t>
        </is>
      </c>
      <c r="C7" s="9" t="inlineStr">
        <is>
          <t>m</t>
        </is>
      </c>
      <c r="D7" s="6" t="inlineStr"/>
      <c r="E7" s="6" t="inlineStr"/>
    </row>
    <row r="8">
      <c r="A8" s="1" t="inlineStr">
        <is>
          <t>Squat</t>
        </is>
      </c>
      <c r="B8" s="10" t="inlineStr">
        <is>
          <t>0.00</t>
        </is>
      </c>
      <c r="C8" s="9" t="inlineStr">
        <is>
          <t>m</t>
        </is>
      </c>
      <c r="D8" s="6" t="inlineStr"/>
      <c r="E8" s="6" t="inlineStr"/>
    </row>
    <row r="9">
      <c r="A9" s="1" t="inlineStr">
        <is>
          <t>Safety Allowance</t>
        </is>
      </c>
      <c r="B9" s="10" t="inlineStr">
        <is>
          <t>0.00</t>
        </is>
      </c>
      <c r="C9" s="9" t="inlineStr">
        <is>
          <t>m</t>
        </is>
      </c>
      <c r="D9" s="6" t="inlineStr"/>
      <c r="E9" s="6" t="inlineStr"/>
    </row>
    <row r="11" ht="20" customHeight="1">
      <c r="A11" s="11" t="inlineStr">
        <is>
          <t>Tide Forecast (input)</t>
        </is>
      </c>
    </row>
    <row r="12">
      <c r="A12" s="12" t="inlineStr">
        <is>
          <t>Fill official tide forecast (same datum).</t>
        </is>
      </c>
    </row>
    <row r="13" ht="22" customHeight="1">
      <c r="A13" s="4" t="inlineStr">
        <is>
          <t>DateTime</t>
        </is>
      </c>
      <c r="B13" s="4" t="inlineStr">
        <is>
          <t>Tide_m</t>
        </is>
      </c>
      <c r="C13" s="4" t="inlineStr">
        <is>
          <t>Source</t>
        </is>
      </c>
      <c r="D13" s="4" t="inlineStr">
        <is>
          <t>Verified (Y/N)</t>
        </is>
      </c>
      <c r="E13" s="4" t="inlineStr">
        <is>
          <t>Remarks</t>
        </is>
      </c>
    </row>
    <row r="14">
      <c r="A14" s="13" t="n"/>
      <c r="B14" s="14" t="n"/>
      <c r="C14" s="5" t="n"/>
      <c r="D14" s="10" t="n"/>
      <c r="E14" s="5" t="n"/>
    </row>
    <row r="15">
      <c r="A15" s="13" t="n"/>
      <c r="B15" s="14" t="n"/>
      <c r="C15" s="5" t="n"/>
      <c r="D15" s="10" t="n"/>
      <c r="E15" s="5" t="n"/>
    </row>
    <row r="16">
      <c r="A16" s="13" t="n"/>
      <c r="B16" s="14" t="n"/>
      <c r="C16" s="5" t="n"/>
      <c r="D16" s="10" t="n"/>
      <c r="E16" s="5" t="n"/>
    </row>
    <row r="17">
      <c r="A17" s="13" t="n"/>
      <c r="B17" s="14" t="n"/>
      <c r="C17" s="5" t="n"/>
      <c r="D17" s="10" t="n"/>
      <c r="E17" s="5" t="n"/>
    </row>
    <row r="18">
      <c r="A18" s="13" t="n"/>
      <c r="B18" s="14" t="n"/>
      <c r="C18" s="5" t="n"/>
      <c r="D18" s="10" t="n"/>
      <c r="E18" s="5" t="n"/>
    </row>
    <row r="19">
      <c r="A19" s="13" t="n"/>
      <c r="B19" s="14" t="n"/>
      <c r="C19" s="5" t="n"/>
      <c r="D19" s="10" t="n"/>
      <c r="E19" s="5" t="n"/>
    </row>
    <row r="20">
      <c r="A20" s="13" t="n"/>
      <c r="B20" s="14" t="n"/>
      <c r="C20" s="5" t="n"/>
      <c r="D20" s="10" t="n"/>
      <c r="E20" s="5" t="n"/>
    </row>
    <row r="21">
      <c r="A21" s="13" t="n"/>
      <c r="B21" s="14" t="n"/>
      <c r="C21" s="5" t="n"/>
      <c r="D21" s="10" t="n"/>
      <c r="E21" s="5" t="n"/>
    </row>
    <row r="22">
      <c r="A22" s="13" t="n"/>
      <c r="B22" s="14" t="n"/>
      <c r="C22" s="5" t="n"/>
      <c r="D22" s="10" t="n"/>
      <c r="E22" s="5" t="n"/>
    </row>
    <row r="23">
      <c r="A23" s="13" t="n"/>
      <c r="B23" s="14" t="n"/>
      <c r="C23" s="5" t="n"/>
      <c r="D23" s="10" t="n"/>
      <c r="E23" s="5" t="n"/>
    </row>
    <row r="24">
      <c r="A24" s="13" t="n"/>
      <c r="B24" s="14" t="n"/>
      <c r="C24" s="5" t="n"/>
      <c r="D24" s="10" t="n"/>
      <c r="E24" s="5" t="n"/>
    </row>
    <row r="25">
      <c r="A25" s="13" t="n"/>
      <c r="B25" s="14" t="n"/>
      <c r="C25" s="5" t="n"/>
      <c r="D25" s="10" t="n"/>
      <c r="E25" s="5" t="n"/>
    </row>
    <row r="26">
      <c r="A26" s="13" t="n"/>
      <c r="B26" s="14" t="n"/>
      <c r="C26" s="5" t="n"/>
      <c r="D26" s="10" t="n"/>
      <c r="E26" s="5" t="n"/>
    </row>
    <row r="27">
      <c r="A27" s="13" t="n"/>
      <c r="B27" s="14" t="n"/>
      <c r="C27" s="5" t="n"/>
      <c r="D27" s="10" t="n"/>
      <c r="E27" s="5" t="n"/>
    </row>
    <row r="28">
      <c r="A28" s="13" t="n"/>
      <c r="B28" s="14" t="n"/>
      <c r="C28" s="5" t="n"/>
      <c r="D28" s="10" t="n"/>
      <c r="E28" s="5" t="n"/>
    </row>
    <row r="29">
      <c r="A29" s="13" t="n"/>
      <c r="B29" s="14" t="n"/>
      <c r="C29" s="5" t="n"/>
      <c r="D29" s="10" t="n"/>
      <c r="E29" s="5" t="n"/>
    </row>
    <row r="30">
      <c r="A30" s="13" t="n"/>
      <c r="B30" s="14" t="n"/>
      <c r="C30" s="5" t="n"/>
      <c r="D30" s="10" t="n"/>
      <c r="E30" s="5" t="n"/>
    </row>
    <row r="31">
      <c r="A31" s="13" t="n"/>
      <c r="B31" s="14" t="n"/>
      <c r="C31" s="5" t="n"/>
      <c r="D31" s="10" t="n"/>
      <c r="E31" s="5" t="n"/>
    </row>
    <row r="32">
      <c r="A32" s="13" t="n"/>
      <c r="B32" s="14" t="n"/>
      <c r="C32" s="5" t="n"/>
      <c r="D32" s="10" t="n"/>
      <c r="E32" s="5" t="n"/>
    </row>
    <row r="33">
      <c r="A33" s="13" t="n"/>
      <c r="B33" s="14" t="n"/>
      <c r="C33" s="5" t="n"/>
      <c r="D33" s="10" t="n"/>
      <c r="E33" s="5" t="n"/>
    </row>
    <row r="34">
      <c r="A34" s="13" t="n"/>
      <c r="B34" s="14" t="n"/>
      <c r="C34" s="5" t="n"/>
      <c r="D34" s="10" t="n"/>
      <c r="E34" s="5" t="n"/>
    </row>
    <row r="35">
      <c r="A35" s="13" t="n"/>
      <c r="B35" s="14" t="n"/>
      <c r="C35" s="5" t="n"/>
      <c r="D35" s="10" t="n"/>
      <c r="E35" s="5" t="n"/>
    </row>
    <row r="36">
      <c r="A36" s="13" t="n"/>
      <c r="B36" s="14" t="n"/>
      <c r="C36" s="5" t="n"/>
      <c r="D36" s="10" t="n"/>
      <c r="E36" s="5" t="n"/>
    </row>
    <row r="37">
      <c r="A37" s="13" t="n"/>
      <c r="B37" s="14" t="n"/>
      <c r="C37" s="5" t="n"/>
      <c r="D37" s="10" t="n"/>
      <c r="E37" s="5" t="n"/>
    </row>
    <row r="38">
      <c r="A38" s="13" t="n"/>
      <c r="B38" s="14" t="n"/>
      <c r="C38" s="5" t="n"/>
      <c r="D38" s="10" t="n"/>
      <c r="E38" s="5" t="n"/>
    </row>
    <row r="39">
      <c r="A39" s="13" t="n"/>
      <c r="B39" s="14" t="n"/>
      <c r="C39" s="5" t="n"/>
      <c r="D39" s="10" t="n"/>
      <c r="E39" s="5" t="n"/>
    </row>
    <row r="40">
      <c r="A40" s="13" t="n"/>
      <c r="B40" s="14" t="n"/>
      <c r="C40" s="5" t="n"/>
      <c r="D40" s="10" t="n"/>
      <c r="E40" s="5" t="n"/>
    </row>
    <row r="41">
      <c r="A41" s="13" t="n"/>
      <c r="B41" s="14" t="n"/>
      <c r="C41" s="5" t="n"/>
      <c r="D41" s="10" t="n"/>
      <c r="E41" s="5" t="n"/>
    </row>
    <row r="42">
      <c r="A42" s="13" t="n"/>
      <c r="B42" s="14" t="n"/>
      <c r="C42" s="5" t="n"/>
      <c r="D42" s="10" t="n"/>
      <c r="E42" s="5" t="n"/>
    </row>
    <row r="43">
      <c r="A43" s="13" t="n"/>
      <c r="B43" s="14" t="n"/>
      <c r="C43" s="5" t="n"/>
      <c r="D43" s="10" t="n"/>
      <c r="E43" s="5" t="n"/>
    </row>
    <row r="44">
      <c r="A44" s="13" t="n"/>
      <c r="B44" s="14" t="n"/>
      <c r="C44" s="5" t="n"/>
      <c r="D44" s="10" t="n"/>
      <c r="E44" s="5" t="n"/>
    </row>
    <row r="45">
      <c r="A45" s="13" t="n"/>
      <c r="B45" s="14" t="n"/>
      <c r="C45" s="5" t="n"/>
      <c r="D45" s="10" t="n"/>
      <c r="E45" s="5" t="n"/>
    </row>
    <row r="46">
      <c r="A46" s="13" t="n"/>
      <c r="B46" s="14" t="n"/>
      <c r="C46" s="5" t="n"/>
      <c r="D46" s="10" t="n"/>
      <c r="E46" s="5" t="n"/>
    </row>
    <row r="47">
      <c r="A47" s="13" t="n"/>
      <c r="B47" s="14" t="n"/>
      <c r="C47" s="5" t="n"/>
      <c r="D47" s="10" t="n"/>
      <c r="E47" s="5" t="n"/>
    </row>
    <row r="48">
      <c r="A48" s="13" t="n"/>
      <c r="B48" s="14" t="n"/>
      <c r="C48" s="5" t="n"/>
      <c r="D48" s="10" t="n"/>
      <c r="E48" s="5" t="n"/>
    </row>
    <row r="49">
      <c r="A49" s="13" t="n"/>
      <c r="B49" s="14" t="n"/>
      <c r="C49" s="5" t="n"/>
      <c r="D49" s="10" t="n"/>
      <c r="E49" s="5" t="n"/>
    </row>
    <row r="50">
      <c r="A50" s="13" t="n"/>
      <c r="B50" s="14" t="n"/>
      <c r="C50" s="5" t="n"/>
      <c r="D50" s="10" t="n"/>
      <c r="E50" s="5" t="n"/>
    </row>
    <row r="51">
      <c r="A51" s="13" t="n"/>
      <c r="B51" s="14" t="n"/>
      <c r="C51" s="5" t="n"/>
      <c r="D51" s="10" t="n"/>
      <c r="E51" s="5" t="n"/>
    </row>
    <row r="52">
      <c r="A52" s="13" t="n"/>
      <c r="B52" s="14" t="n"/>
      <c r="C52" s="5" t="n"/>
      <c r="D52" s="10" t="n"/>
      <c r="E52" s="5" t="n"/>
    </row>
    <row r="53">
      <c r="A53" s="13" t="n"/>
      <c r="B53" s="14" t="n"/>
      <c r="C53" s="5" t="n"/>
      <c r="D53" s="10" t="n"/>
      <c r="E53" s="5" t="n"/>
    </row>
    <row r="54">
      <c r="A54" s="13" t="n"/>
      <c r="B54" s="14" t="n"/>
      <c r="C54" s="5" t="n"/>
      <c r="D54" s="10" t="n"/>
      <c r="E54" s="5" t="n"/>
    </row>
    <row r="55">
      <c r="A55" s="13" t="n"/>
      <c r="B55" s="14" t="n"/>
      <c r="C55" s="5" t="n"/>
      <c r="D55" s="10" t="n"/>
      <c r="E55" s="5" t="n"/>
    </row>
    <row r="56">
      <c r="A56" s="13" t="n"/>
      <c r="B56" s="14" t="n"/>
      <c r="C56" s="5" t="n"/>
      <c r="D56" s="10" t="n"/>
      <c r="E56" s="5" t="n"/>
    </row>
    <row r="57">
      <c r="A57" s="13" t="n"/>
      <c r="B57" s="14" t="n"/>
      <c r="C57" s="5" t="n"/>
      <c r="D57" s="10" t="n"/>
      <c r="E57" s="5" t="n"/>
    </row>
    <row r="58">
      <c r="A58" s="13" t="n"/>
      <c r="B58" s="14" t="n"/>
      <c r="C58" s="5" t="n"/>
      <c r="D58" s="10" t="n"/>
      <c r="E58" s="5" t="n"/>
    </row>
    <row r="59">
      <c r="A59" s="13" t="n"/>
      <c r="B59" s="14" t="n"/>
      <c r="C59" s="5" t="n"/>
      <c r="D59" s="10" t="n"/>
      <c r="E59" s="5" t="n"/>
    </row>
    <row r="60">
      <c r="A60" s="13" t="n"/>
      <c r="B60" s="14" t="n"/>
      <c r="C60" s="5" t="n"/>
      <c r="D60" s="10" t="n"/>
      <c r="E60" s="5" t="n"/>
    </row>
    <row r="61">
      <c r="A61" s="13" t="n"/>
      <c r="B61" s="14" t="n"/>
      <c r="C61" s="5" t="n"/>
      <c r="D61" s="10" t="n"/>
      <c r="E61" s="5" t="n"/>
    </row>
    <row r="62">
      <c r="A62" s="13" t="n"/>
      <c r="B62" s="14" t="n"/>
      <c r="C62" s="5" t="n"/>
      <c r="D62" s="10" t="n"/>
      <c r="E62" s="5" t="n"/>
    </row>
    <row r="63">
      <c r="A63" s="13" t="n"/>
      <c r="B63" s="14" t="n"/>
      <c r="C63" s="5" t="n"/>
      <c r="D63" s="10" t="n"/>
      <c r="E63" s="5" t="n"/>
    </row>
    <row r="64">
      <c r="A64" s="13" t="n"/>
      <c r="B64" s="14" t="n"/>
      <c r="C64" s="5" t="n"/>
      <c r="D64" s="10" t="n"/>
      <c r="E64" s="5" t="n"/>
    </row>
    <row r="65">
      <c r="A65" s="13" t="n"/>
      <c r="B65" s="14" t="n"/>
      <c r="C65" s="5" t="n"/>
      <c r="D65" s="10" t="n"/>
      <c r="E65" s="5" t="n"/>
    </row>
    <row r="66">
      <c r="A66" s="13" t="n"/>
      <c r="B66" s="14" t="n"/>
      <c r="C66" s="5" t="n"/>
      <c r="D66" s="10" t="n"/>
      <c r="E66" s="5" t="n"/>
    </row>
    <row r="67">
      <c r="A67" s="13" t="n"/>
      <c r="B67" s="14" t="n"/>
      <c r="C67" s="5" t="n"/>
      <c r="D67" s="10" t="n"/>
      <c r="E67" s="5" t="n"/>
    </row>
    <row r="68">
      <c r="A68" s="13" t="n"/>
      <c r="B68" s="14" t="n"/>
      <c r="C68" s="5" t="n"/>
      <c r="D68" s="10" t="n"/>
      <c r="E68" s="5" t="n"/>
    </row>
    <row r="69">
      <c r="A69" s="13" t="n"/>
      <c r="B69" s="14" t="n"/>
      <c r="C69" s="5" t="n"/>
      <c r="D69" s="10" t="n"/>
      <c r="E69" s="5" t="n"/>
    </row>
    <row r="70">
      <c r="A70" s="13" t="n"/>
      <c r="B70" s="14" t="n"/>
      <c r="C70" s="5" t="n"/>
      <c r="D70" s="10" t="n"/>
      <c r="E70" s="5" t="n"/>
    </row>
    <row r="71">
      <c r="A71" s="13" t="n"/>
      <c r="B71" s="14" t="n"/>
      <c r="C71" s="5" t="n"/>
      <c r="D71" s="10" t="n"/>
      <c r="E71" s="5" t="n"/>
    </row>
    <row r="72">
      <c r="A72" s="13" t="n"/>
      <c r="B72" s="14" t="n"/>
      <c r="C72" s="5" t="n"/>
      <c r="D72" s="10" t="n"/>
      <c r="E72" s="5" t="n"/>
    </row>
    <row r="73">
      <c r="A73" s="13" t="n"/>
      <c r="B73" s="14" t="n"/>
      <c r="C73" s="5" t="n"/>
      <c r="D73" s="10" t="n"/>
      <c r="E73" s="5" t="n"/>
    </row>
    <row r="74">
      <c r="A74" s="13" t="n"/>
      <c r="B74" s="14" t="n"/>
      <c r="C74" s="5" t="n"/>
      <c r="D74" s="10" t="n"/>
      <c r="E74" s="5" t="n"/>
    </row>
    <row r="75">
      <c r="A75" s="13" t="n"/>
      <c r="B75" s="14" t="n"/>
      <c r="C75" s="5" t="n"/>
      <c r="D75" s="10" t="n"/>
      <c r="E75" s="5" t="n"/>
    </row>
    <row r="76">
      <c r="A76" s="13" t="n"/>
      <c r="B76" s="14" t="n"/>
      <c r="C76" s="5" t="n"/>
      <c r="D76" s="10" t="n"/>
      <c r="E76" s="5" t="n"/>
    </row>
    <row r="77">
      <c r="A77" s="13" t="n"/>
      <c r="B77" s="14" t="n"/>
      <c r="C77" s="5" t="n"/>
      <c r="D77" s="10" t="n"/>
      <c r="E77" s="5" t="n"/>
    </row>
    <row r="78">
      <c r="A78" s="13" t="n"/>
      <c r="B78" s="14" t="n"/>
      <c r="C78" s="5" t="n"/>
      <c r="D78" s="10" t="n"/>
      <c r="E78" s="5" t="n"/>
    </row>
    <row r="79">
      <c r="A79" s="13" t="n"/>
      <c r="B79" s="14" t="n"/>
      <c r="C79" s="5" t="n"/>
      <c r="D79" s="10" t="n"/>
      <c r="E79" s="5" t="n"/>
    </row>
    <row r="80">
      <c r="A80" s="13" t="n"/>
      <c r="B80" s="14" t="n"/>
      <c r="C80" s="5" t="n"/>
      <c r="D80" s="10" t="n"/>
      <c r="E80" s="5" t="n"/>
    </row>
    <row r="81">
      <c r="A81" s="13" t="n"/>
      <c r="B81" s="14" t="n"/>
      <c r="C81" s="5" t="n"/>
      <c r="D81" s="10" t="n"/>
      <c r="E81" s="5" t="n"/>
    </row>
    <row r="82">
      <c r="A82" s="13" t="n"/>
      <c r="B82" s="14" t="n"/>
      <c r="C82" s="5" t="n"/>
      <c r="D82" s="10" t="n"/>
      <c r="E82" s="5" t="n"/>
    </row>
    <row r="83">
      <c r="A83" s="13" t="n"/>
      <c r="B83" s="14" t="n"/>
      <c r="C83" s="5" t="n"/>
      <c r="D83" s="10" t="n"/>
      <c r="E83" s="5" t="n"/>
    </row>
    <row r="84">
      <c r="A84" s="13" t="n"/>
      <c r="B84" s="14" t="n"/>
      <c r="C84" s="5" t="n"/>
      <c r="D84" s="10" t="n"/>
      <c r="E84" s="5" t="n"/>
    </row>
    <row r="85">
      <c r="A85" s="13" t="n"/>
      <c r="B85" s="14" t="n"/>
      <c r="C85" s="5" t="n"/>
      <c r="D85" s="10" t="n"/>
      <c r="E85" s="5" t="n"/>
    </row>
    <row r="86">
      <c r="A86" s="13" t="n"/>
      <c r="B86" s="14" t="n"/>
      <c r="C86" s="5" t="n"/>
      <c r="D86" s="10" t="n"/>
      <c r="E86" s="5" t="n"/>
    </row>
    <row r="87">
      <c r="A87" s="13" t="n"/>
      <c r="B87" s="14" t="n"/>
      <c r="C87" s="5" t="n"/>
      <c r="D87" s="10" t="n"/>
      <c r="E87" s="5" t="n"/>
    </row>
    <row r="88">
      <c r="A88" s="13" t="n"/>
      <c r="B88" s="14" t="n"/>
      <c r="C88" s="5" t="n"/>
      <c r="D88" s="10" t="n"/>
      <c r="E88" s="5" t="n"/>
    </row>
    <row r="89">
      <c r="A89" s="13" t="n"/>
      <c r="B89" s="14" t="n"/>
      <c r="C89" s="5" t="n"/>
      <c r="D89" s="10" t="n"/>
      <c r="E89" s="5" t="n"/>
    </row>
    <row r="90">
      <c r="A90" s="13" t="n"/>
      <c r="B90" s="14" t="n"/>
      <c r="C90" s="5" t="n"/>
      <c r="D90" s="10" t="n"/>
      <c r="E90" s="5" t="n"/>
    </row>
    <row r="91">
      <c r="A91" s="13" t="n"/>
      <c r="B91" s="14" t="n"/>
      <c r="C91" s="5" t="n"/>
      <c r="D91" s="10" t="n"/>
      <c r="E91" s="5" t="n"/>
    </row>
    <row r="92">
      <c r="A92" s="13" t="n"/>
      <c r="B92" s="14" t="n"/>
      <c r="C92" s="5" t="n"/>
      <c r="D92" s="10" t="n"/>
      <c r="E92" s="5" t="n"/>
    </row>
    <row r="93">
      <c r="A93" s="13" t="n"/>
      <c r="B93" s="14" t="n"/>
      <c r="C93" s="5" t="n"/>
      <c r="D93" s="10" t="n"/>
      <c r="E93" s="5" t="n"/>
    </row>
    <row r="94">
      <c r="A94" s="13" t="n"/>
      <c r="B94" s="14" t="n"/>
      <c r="C94" s="5" t="n"/>
      <c r="D94" s="10" t="n"/>
      <c r="E94" s="5" t="n"/>
    </row>
    <row r="95">
      <c r="A95" s="13" t="n"/>
      <c r="B95" s="14" t="n"/>
      <c r="C95" s="5" t="n"/>
      <c r="D95" s="10" t="n"/>
      <c r="E95" s="5" t="n"/>
    </row>
    <row r="96">
      <c r="A96" s="13" t="n"/>
      <c r="B96" s="14" t="n"/>
      <c r="C96" s="5" t="n"/>
      <c r="D96" s="10" t="n"/>
      <c r="E96" s="5" t="n"/>
    </row>
    <row r="97">
      <c r="A97" s="13" t="n"/>
      <c r="B97" s="14" t="n"/>
      <c r="C97" s="5" t="n"/>
      <c r="D97" s="10" t="n"/>
      <c r="E97" s="5" t="n"/>
    </row>
    <row r="98">
      <c r="A98" s="13" t="n"/>
      <c r="B98" s="14" t="n"/>
      <c r="C98" s="5" t="n"/>
      <c r="D98" s="10" t="n"/>
      <c r="E98" s="5" t="n"/>
    </row>
    <row r="99">
      <c r="A99" s="13" t="n"/>
      <c r="B99" s="14" t="n"/>
      <c r="C99" s="5" t="n"/>
      <c r="D99" s="10" t="n"/>
      <c r="E99" s="5" t="n"/>
    </row>
    <row r="100">
      <c r="A100" s="13" t="n"/>
      <c r="B100" s="14" t="n"/>
      <c r="C100" s="5" t="n"/>
      <c r="D100" s="10" t="n"/>
      <c r="E100" s="5" t="n"/>
    </row>
    <row r="101">
      <c r="A101" s="13" t="n"/>
      <c r="B101" s="14" t="n"/>
      <c r="C101" s="5" t="n"/>
      <c r="D101" s="10" t="n"/>
      <c r="E101" s="5" t="n"/>
    </row>
    <row r="102">
      <c r="A102" s="13" t="n"/>
      <c r="B102" s="14" t="n"/>
      <c r="C102" s="5" t="n"/>
      <c r="D102" s="10" t="n"/>
      <c r="E102" s="5" t="n"/>
    </row>
    <row r="103">
      <c r="A103" s="13" t="n"/>
      <c r="B103" s="14" t="n"/>
      <c r="C103" s="5" t="n"/>
      <c r="D103" s="10" t="n"/>
      <c r="E103" s="5" t="n"/>
    </row>
    <row r="104">
      <c r="A104" s="13" t="n"/>
      <c r="B104" s="14" t="n"/>
      <c r="C104" s="5" t="n"/>
      <c r="D104" s="10" t="n"/>
      <c r="E104" s="5" t="n"/>
    </row>
    <row r="105">
      <c r="A105" s="13" t="n"/>
      <c r="B105" s="14" t="n"/>
      <c r="C105" s="5" t="n"/>
      <c r="D105" s="10" t="n"/>
      <c r="E105" s="5" t="n"/>
    </row>
    <row r="106">
      <c r="A106" s="13" t="n"/>
      <c r="B106" s="14" t="n"/>
      <c r="C106" s="5" t="n"/>
      <c r="D106" s="10" t="n"/>
      <c r="E106" s="5" t="n"/>
    </row>
    <row r="107">
      <c r="A107" s="13" t="n"/>
      <c r="B107" s="14" t="n"/>
      <c r="C107" s="5" t="n"/>
      <c r="D107" s="10" t="n"/>
      <c r="E107" s="5" t="n"/>
    </row>
    <row r="108">
      <c r="A108" s="13" t="n"/>
      <c r="B108" s="14" t="n"/>
      <c r="C108" s="5" t="n"/>
      <c r="D108" s="10" t="n"/>
      <c r="E108" s="5" t="n"/>
    </row>
    <row r="109">
      <c r="A109" s="13" t="n"/>
      <c r="B109" s="14" t="n"/>
      <c r="C109" s="5" t="n"/>
      <c r="D109" s="10" t="n"/>
      <c r="E109" s="5" t="n"/>
    </row>
    <row r="110">
      <c r="A110" s="13" t="n"/>
      <c r="B110" s="14" t="n"/>
      <c r="C110" s="5" t="n"/>
      <c r="D110" s="10" t="n"/>
      <c r="E110" s="5" t="n"/>
    </row>
    <row r="111">
      <c r="A111" s="13" t="n"/>
      <c r="B111" s="14" t="n"/>
      <c r="C111" s="5" t="n"/>
      <c r="D111" s="10" t="n"/>
      <c r="E111" s="5" t="n"/>
    </row>
    <row r="112">
      <c r="A112" s="13" t="n"/>
      <c r="B112" s="14" t="n"/>
      <c r="C112" s="5" t="n"/>
      <c r="D112" s="10" t="n"/>
      <c r="E112" s="5" t="n"/>
    </row>
    <row r="113">
      <c r="A113" s="13" t="n"/>
      <c r="B113" s="14" t="n"/>
      <c r="C113" s="5" t="n"/>
      <c r="D113" s="10" t="n"/>
      <c r="E113" s="5" t="n"/>
    </row>
    <row r="114">
      <c r="A114" s="13" t="n"/>
      <c r="B114" s="14" t="n"/>
      <c r="C114" s="5" t="n"/>
      <c r="D114" s="10" t="n"/>
      <c r="E114" s="5" t="n"/>
    </row>
    <row r="115">
      <c r="A115" s="13" t="n"/>
      <c r="B115" s="14" t="n"/>
      <c r="C115" s="5" t="n"/>
      <c r="D115" s="10" t="n"/>
      <c r="E115" s="5" t="n"/>
    </row>
    <row r="116">
      <c r="A116" s="13" t="n"/>
      <c r="B116" s="14" t="n"/>
      <c r="C116" s="5" t="n"/>
      <c r="D116" s="10" t="n"/>
      <c r="E116" s="5" t="n"/>
    </row>
    <row r="117">
      <c r="A117" s="13" t="n"/>
      <c r="B117" s="14" t="n"/>
      <c r="C117" s="5" t="n"/>
      <c r="D117" s="10" t="n"/>
      <c r="E117" s="5" t="n"/>
    </row>
    <row r="118">
      <c r="A118" s="13" t="n"/>
      <c r="B118" s="14" t="n"/>
      <c r="C118" s="5" t="n"/>
      <c r="D118" s="10" t="n"/>
      <c r="E118" s="5" t="n"/>
    </row>
    <row r="119">
      <c r="A119" s="13" t="n"/>
      <c r="B119" s="14" t="n"/>
      <c r="C119" s="5" t="n"/>
      <c r="D119" s="10" t="n"/>
      <c r="E119" s="5" t="n"/>
    </row>
    <row r="120">
      <c r="A120" s="13" t="n"/>
      <c r="B120" s="14" t="n"/>
      <c r="C120" s="5" t="n"/>
      <c r="D120" s="10" t="n"/>
      <c r="E120" s="5" t="n"/>
    </row>
    <row r="121">
      <c r="A121" s="13" t="n"/>
      <c r="B121" s="14" t="n"/>
      <c r="C121" s="5" t="n"/>
      <c r="D121" s="10" t="n"/>
      <c r="E121" s="5" t="n"/>
    </row>
    <row r="122">
      <c r="A122" s="13" t="n"/>
      <c r="B122" s="14" t="n"/>
      <c r="C122" s="5" t="n"/>
      <c r="D122" s="10" t="n"/>
      <c r="E122" s="5" t="n"/>
    </row>
    <row r="123">
      <c r="A123" s="13" t="n"/>
      <c r="B123" s="14" t="n"/>
      <c r="C123" s="5" t="n"/>
      <c r="D123" s="10" t="n"/>
      <c r="E123" s="5" t="n"/>
    </row>
    <row r="124">
      <c r="A124" s="13" t="n"/>
      <c r="B124" s="14" t="n"/>
      <c r="C124" s="5" t="n"/>
      <c r="D124" s="10" t="n"/>
      <c r="E124" s="5" t="n"/>
    </row>
    <row r="125">
      <c r="A125" s="13" t="n"/>
      <c r="B125" s="14" t="n"/>
      <c r="C125" s="5" t="n"/>
      <c r="D125" s="10" t="n"/>
      <c r="E125" s="5" t="n"/>
    </row>
    <row r="126">
      <c r="A126" s="13" t="n"/>
      <c r="B126" s="14" t="n"/>
      <c r="C126" s="5" t="n"/>
      <c r="D126" s="10" t="n"/>
      <c r="E126" s="5" t="n"/>
    </row>
    <row r="127">
      <c r="A127" s="13" t="n"/>
      <c r="B127" s="14" t="n"/>
      <c r="C127" s="5" t="n"/>
      <c r="D127" s="10" t="n"/>
      <c r="E127" s="5" t="n"/>
    </row>
    <row r="128">
      <c r="A128" s="13" t="n"/>
      <c r="B128" s="14" t="n"/>
      <c r="C128" s="5" t="n"/>
      <c r="D128" s="10" t="n"/>
      <c r="E128" s="5" t="n"/>
    </row>
    <row r="129">
      <c r="A129" s="13" t="n"/>
      <c r="B129" s="14" t="n"/>
      <c r="C129" s="5" t="n"/>
      <c r="D129" s="10" t="n"/>
      <c r="E129" s="5" t="n"/>
    </row>
    <row r="130">
      <c r="A130" s="13" t="n"/>
      <c r="B130" s="14" t="n"/>
      <c r="C130" s="5" t="n"/>
      <c r="D130" s="10" t="n"/>
      <c r="E130" s="5" t="n"/>
    </row>
    <row r="131">
      <c r="A131" s="13" t="n"/>
      <c r="B131" s="14" t="n"/>
      <c r="C131" s="5" t="n"/>
      <c r="D131" s="10" t="n"/>
      <c r="E131" s="5" t="n"/>
    </row>
    <row r="132">
      <c r="A132" s="13" t="n"/>
      <c r="B132" s="14" t="n"/>
      <c r="C132" s="5" t="n"/>
      <c r="D132" s="10" t="n"/>
      <c r="E132" s="5" t="n"/>
    </row>
    <row r="133">
      <c r="A133" s="13" t="n"/>
      <c r="B133" s="14" t="n"/>
      <c r="C133" s="5" t="n"/>
      <c r="D133" s="10" t="n"/>
      <c r="E133" s="5" t="n"/>
    </row>
  </sheetData>
  <mergeCells count="4">
    <mergeCell ref="A2:E2"/>
    <mergeCell ref="A11:E11"/>
    <mergeCell ref="A1:E1"/>
    <mergeCell ref="A12:E12"/>
  </mergeCells>
  <dataValidations count="1">
    <dataValidation sqref="D14:D133" showDropDown="0" showInputMessage="0" showErrorMessage="0" allowBlank="1" type="list">
      <formula1>"Y,N"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45" customWidth="1" min="10" max="10"/>
  </cols>
  <sheetData>
    <row r="1" ht="20" customHeight="1">
      <c r="A1" s="11" t="inlineStr">
        <is>
          <t>Cargo / SPMT Inputs (TR1/TR2 + SPMT)</t>
        </is>
      </c>
    </row>
    <row r="2">
      <c r="A2" s="12" t="inlineStr">
        <is>
          <t>Fill cargo weights and CoG. Provide stage position if variable.</t>
        </is>
      </c>
    </row>
    <row r="3" ht="22" customHeight="1">
      <c r="A3" s="4" t="inlineStr">
        <is>
          <t>Item</t>
        </is>
      </c>
      <c r="B3" s="4" t="inlineStr">
        <is>
          <t>Weight_t</t>
        </is>
      </c>
      <c r="C3" s="4" t="inlineStr">
        <is>
          <t>CoG_x_m</t>
        </is>
      </c>
      <c r="D3" s="4" t="inlineStr">
        <is>
          <t>CoG_y_m</t>
        </is>
      </c>
      <c r="E3" s="4" t="inlineStr">
        <is>
          <t>CoG_z_m</t>
        </is>
      </c>
      <c r="F3" s="4" t="inlineStr">
        <is>
          <t>Final_Frame</t>
        </is>
      </c>
      <c r="G3" s="4" t="inlineStr">
        <is>
          <t>Ramp_Frame</t>
        </is>
      </c>
      <c r="H3" s="4" t="inlineStr">
        <is>
          <t>L_m</t>
        </is>
      </c>
      <c r="I3" s="4" t="inlineStr">
        <is>
          <t>W_m</t>
        </is>
      </c>
      <c r="J3" s="4" t="inlineStr">
        <is>
          <t>Remarks/Source</t>
        </is>
      </c>
    </row>
    <row r="4">
      <c r="A4" s="9" t="inlineStr">
        <is>
          <t>TR1 + SPMT</t>
        </is>
      </c>
      <c r="B4" s="16" t="inlineStr"/>
      <c r="C4" s="16" t="inlineStr"/>
      <c r="D4" s="16" t="inlineStr"/>
      <c r="E4" s="16" t="inlineStr"/>
      <c r="F4" s="9" t="inlineStr">
        <is>
          <t>42</t>
        </is>
      </c>
      <c r="G4" s="9" t="inlineStr">
        <is>
          <t>17.95</t>
        </is>
      </c>
      <c r="H4" s="16" t="inlineStr"/>
      <c r="I4" s="16" t="inlineStr"/>
      <c r="J4" s="17" t="inlineStr"/>
    </row>
    <row r="5">
      <c r="A5" s="9" t="inlineStr">
        <is>
          <t>TR2 + SPMT</t>
        </is>
      </c>
      <c r="B5" s="16" t="inlineStr"/>
      <c r="C5" s="16" t="inlineStr"/>
      <c r="D5" s="16" t="inlineStr"/>
      <c r="E5" s="16" t="inlineStr"/>
      <c r="F5" s="9" t="inlineStr">
        <is>
          <t>40</t>
        </is>
      </c>
      <c r="G5" s="9" t="inlineStr">
        <is>
          <t>17.95</t>
        </is>
      </c>
      <c r="H5" s="16" t="inlineStr"/>
      <c r="I5" s="16" t="inlineStr"/>
      <c r="J5" s="17" t="inlineStr"/>
    </row>
    <row r="6">
      <c r="A6" s="9" t="inlineStr">
        <is>
          <t>SPMT Self-weight (if separated)</t>
        </is>
      </c>
      <c r="B6" s="16" t="inlineStr"/>
      <c r="C6" s="16" t="inlineStr"/>
      <c r="D6" s="16" t="inlineStr"/>
      <c r="E6" s="16" t="inlineStr"/>
      <c r="F6" s="9" t="inlineStr"/>
      <c r="G6" s="9" t="inlineStr"/>
      <c r="H6" s="16" t="inlineStr"/>
      <c r="I6" s="16" t="inlineStr"/>
      <c r="J6" s="17" t="inlineStr"/>
    </row>
    <row r="7">
      <c r="A7" s="9" t="inlineStr">
        <is>
          <t>Other / Dunnage / Lumber</t>
        </is>
      </c>
      <c r="B7" s="16" t="inlineStr"/>
      <c r="C7" s="16" t="inlineStr"/>
      <c r="D7" s="16" t="inlineStr"/>
      <c r="E7" s="16" t="inlineStr"/>
      <c r="F7" s="9" t="inlineStr"/>
      <c r="G7" s="9" t="inlineStr"/>
      <c r="H7" s="16" t="inlineStr"/>
      <c r="I7" s="16" t="inlineStr"/>
      <c r="J7" s="17" t="inlineStr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8" t="inlineStr">
        <is>
          <t>Total cargo on LCT (TR1+TR2, excluding SPMT if separated)</t>
        </is>
      </c>
      <c r="B9" s="19">
        <f>IFERROR(SUM(B4:B5),"")</f>
        <v/>
      </c>
      <c r="C9" s="20" t="inlineStr">
        <is>
          <t>t</t>
        </is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20" customWidth="1" min="8" max="8"/>
    <col width="12" customWidth="1" min="9" max="9"/>
    <col width="12" customWidth="1" min="10" max="10"/>
    <col width="30" customWidth="1" min="11" max="11"/>
    <col width="20" customWidth="1" min="12" max="12"/>
    <col width="14" customWidth="1" min="13" max="13"/>
  </cols>
  <sheetData>
    <row r="1" ht="20" customHeight="1">
      <c r="A1" s="11" t="inlineStr">
        <is>
          <t>Ballast Tank Catalog (input)</t>
        </is>
      </c>
      <c r="L1" s="21" t="inlineStr">
        <is>
          <t>VENT_COEFF (t/h/mm)</t>
        </is>
      </c>
      <c r="M1" s="22" t="n">
        <v>0.86</v>
      </c>
    </row>
    <row r="2">
      <c r="A2" s="12" t="inlineStr">
        <is>
          <t>List all relevant tanks and initial ROB. Use same tank names as in ballast solver.</t>
        </is>
      </c>
      <c r="L2" s="21" t="inlineStr">
        <is>
          <t>PUMP_RATE (t/h) default</t>
        </is>
      </c>
      <c r="M2" s="22" t="n">
        <v>10</v>
      </c>
    </row>
    <row r="3" ht="22" customHeight="1">
      <c r="A3" s="4" t="inlineStr">
        <is>
          <t>Tank</t>
        </is>
      </c>
      <c r="B3" s="4" t="inlineStr">
        <is>
          <t>Side</t>
        </is>
      </c>
      <c r="C3" s="4" t="inlineStr">
        <is>
          <t>Family</t>
        </is>
      </c>
      <c r="D3" s="4" t="inlineStr">
        <is>
          <t>Capacity_t</t>
        </is>
      </c>
      <c r="E3" s="4" t="inlineStr">
        <is>
          <t>Initial_ROB_t</t>
        </is>
      </c>
      <c r="F3" s="4" t="inlineStr">
        <is>
          <t>Max_allow_t</t>
        </is>
      </c>
      <c r="G3" s="4" t="inlineStr">
        <is>
          <t>x_m</t>
        </is>
      </c>
      <c r="H3" s="4" t="inlineStr">
        <is>
          <t>Frame</t>
        </is>
      </c>
      <c r="I3" s="4" t="inlineStr">
        <is>
          <t>PumpGroup</t>
        </is>
      </c>
      <c r="J3" s="4" t="inlineStr">
        <is>
          <t>Vent_dia_mm</t>
        </is>
      </c>
      <c r="K3" s="4" t="inlineStr">
        <is>
          <t>Remarks/Source</t>
        </is>
      </c>
    </row>
    <row r="4">
      <c r="A4" s="10" t="n"/>
      <c r="B4" s="10" t="n"/>
      <c r="C4" s="9" t="n"/>
      <c r="D4" s="10" t="n"/>
      <c r="E4" s="10" t="n"/>
      <c r="F4" s="10" t="n"/>
      <c r="G4" s="9" t="n"/>
      <c r="H4" s="9" t="n"/>
      <c r="I4" s="9" t="n"/>
      <c r="J4" s="10" t="n"/>
      <c r="K4" s="5" t="n"/>
    </row>
    <row r="5">
      <c r="A5" s="10" t="n"/>
      <c r="B5" s="10" t="n"/>
      <c r="C5" s="9" t="n"/>
      <c r="D5" s="10" t="n"/>
      <c r="E5" s="10" t="n"/>
      <c r="F5" s="10" t="n"/>
      <c r="G5" s="9" t="n"/>
      <c r="H5" s="9" t="n"/>
      <c r="I5" s="9" t="n"/>
      <c r="J5" s="10" t="n"/>
      <c r="K5" s="5" t="n"/>
    </row>
    <row r="6">
      <c r="A6" s="10" t="n"/>
      <c r="B6" s="10" t="n"/>
      <c r="C6" s="9" t="n"/>
      <c r="D6" s="10" t="n"/>
      <c r="E6" s="10" t="n"/>
      <c r="F6" s="10" t="n"/>
      <c r="G6" s="9" t="n"/>
      <c r="H6" s="9" t="n"/>
      <c r="I6" s="9" t="n"/>
      <c r="J6" s="10" t="n"/>
      <c r="K6" s="5" t="n"/>
    </row>
    <row r="7">
      <c r="A7" s="10" t="n"/>
      <c r="B7" s="10" t="n"/>
      <c r="C7" s="9" t="n"/>
      <c r="D7" s="10" t="n"/>
      <c r="E7" s="10" t="n"/>
      <c r="F7" s="10" t="n"/>
      <c r="G7" s="9" t="n"/>
      <c r="H7" s="9" t="n"/>
      <c r="I7" s="9" t="n"/>
      <c r="J7" s="10" t="n"/>
      <c r="K7" s="5" t="n"/>
    </row>
    <row r="8">
      <c r="A8" s="10" t="n"/>
      <c r="B8" s="10" t="n"/>
      <c r="C8" s="9" t="n"/>
      <c r="D8" s="10" t="n"/>
      <c r="E8" s="10" t="n"/>
      <c r="F8" s="10" t="n"/>
      <c r="G8" s="9" t="n"/>
      <c r="H8" s="9" t="n"/>
      <c r="I8" s="9" t="n"/>
      <c r="J8" s="10" t="n"/>
      <c r="K8" s="5" t="n"/>
    </row>
    <row r="9">
      <c r="A9" s="10" t="n"/>
      <c r="B9" s="10" t="n"/>
      <c r="C9" s="9" t="n"/>
      <c r="D9" s="10" t="n"/>
      <c r="E9" s="10" t="n"/>
      <c r="F9" s="10" t="n"/>
      <c r="G9" s="9" t="n"/>
      <c r="H9" s="9" t="n"/>
      <c r="I9" s="9" t="n"/>
      <c r="J9" s="10" t="n"/>
      <c r="K9" s="5" t="n"/>
    </row>
    <row r="10">
      <c r="A10" s="10" t="n"/>
      <c r="B10" s="10" t="n"/>
      <c r="C10" s="9" t="n"/>
      <c r="D10" s="10" t="n"/>
      <c r="E10" s="10" t="n"/>
      <c r="F10" s="10" t="n"/>
      <c r="G10" s="9" t="n"/>
      <c r="H10" s="9" t="n"/>
      <c r="I10" s="9" t="n"/>
      <c r="J10" s="10" t="n"/>
      <c r="K10" s="5" t="n"/>
    </row>
    <row r="11">
      <c r="A11" s="10" t="n"/>
      <c r="B11" s="10" t="n"/>
      <c r="C11" s="9" t="n"/>
      <c r="D11" s="10" t="n"/>
      <c r="E11" s="10" t="n"/>
      <c r="F11" s="10" t="n"/>
      <c r="G11" s="9" t="n"/>
      <c r="H11" s="9" t="n"/>
      <c r="I11" s="9" t="n"/>
      <c r="J11" s="10" t="n"/>
      <c r="K11" s="5" t="n"/>
    </row>
    <row r="12">
      <c r="A12" s="10" t="n"/>
      <c r="B12" s="10" t="n"/>
      <c r="C12" s="9" t="n"/>
      <c r="D12" s="10" t="n"/>
      <c r="E12" s="10" t="n"/>
      <c r="F12" s="10" t="n"/>
      <c r="G12" s="9" t="n"/>
      <c r="H12" s="9" t="n"/>
      <c r="I12" s="9" t="n"/>
      <c r="J12" s="10" t="n"/>
      <c r="K12" s="5" t="n"/>
    </row>
    <row r="13">
      <c r="A13" s="10" t="n"/>
      <c r="B13" s="10" t="n"/>
      <c r="C13" s="9" t="n"/>
      <c r="D13" s="10" t="n"/>
      <c r="E13" s="10" t="n"/>
      <c r="F13" s="10" t="n"/>
      <c r="G13" s="9" t="n"/>
      <c r="H13" s="9" t="n"/>
      <c r="I13" s="9" t="n"/>
      <c r="J13" s="10" t="n"/>
      <c r="K13" s="5" t="n"/>
    </row>
    <row r="14">
      <c r="A14" s="10" t="n"/>
      <c r="B14" s="10" t="n"/>
      <c r="C14" s="9" t="n"/>
      <c r="D14" s="10" t="n"/>
      <c r="E14" s="10" t="n"/>
      <c r="F14" s="10" t="n"/>
      <c r="G14" s="9" t="n"/>
      <c r="H14" s="9" t="n"/>
      <c r="I14" s="9" t="n"/>
      <c r="J14" s="10" t="n"/>
      <c r="K14" s="5" t="n"/>
    </row>
    <row r="15">
      <c r="A15" s="10" t="n"/>
      <c r="B15" s="10" t="n"/>
      <c r="C15" s="9" t="n"/>
      <c r="D15" s="10" t="n"/>
      <c r="E15" s="10" t="n"/>
      <c r="F15" s="10" t="n"/>
      <c r="G15" s="9" t="n"/>
      <c r="H15" s="9" t="n"/>
      <c r="I15" s="9" t="n"/>
      <c r="J15" s="10" t="n"/>
      <c r="K15" s="5" t="n"/>
    </row>
    <row r="16">
      <c r="A16" s="10" t="n"/>
      <c r="B16" s="10" t="n"/>
      <c r="C16" s="9" t="n"/>
      <c r="D16" s="10" t="n"/>
      <c r="E16" s="10" t="n"/>
      <c r="F16" s="10" t="n"/>
      <c r="G16" s="9" t="n"/>
      <c r="H16" s="9" t="n"/>
      <c r="I16" s="9" t="n"/>
      <c r="J16" s="10" t="n"/>
      <c r="K16" s="5" t="n"/>
    </row>
    <row r="17">
      <c r="A17" s="10" t="n"/>
      <c r="B17" s="10" t="n"/>
      <c r="C17" s="9" t="n"/>
      <c r="D17" s="10" t="n"/>
      <c r="E17" s="10" t="n"/>
      <c r="F17" s="10" t="n"/>
      <c r="G17" s="9" t="n"/>
      <c r="H17" s="9" t="n"/>
      <c r="I17" s="9" t="n"/>
      <c r="J17" s="10" t="n"/>
      <c r="K17" s="5" t="n"/>
    </row>
    <row r="18">
      <c r="A18" s="10" t="n"/>
      <c r="B18" s="10" t="n"/>
      <c r="C18" s="9" t="n"/>
      <c r="D18" s="10" t="n"/>
      <c r="E18" s="10" t="n"/>
      <c r="F18" s="10" t="n"/>
      <c r="G18" s="9" t="n"/>
      <c r="H18" s="9" t="n"/>
      <c r="I18" s="9" t="n"/>
      <c r="J18" s="10" t="n"/>
      <c r="K18" s="5" t="n"/>
    </row>
    <row r="19">
      <c r="A19" s="10" t="n"/>
      <c r="B19" s="10" t="n"/>
      <c r="C19" s="9" t="n"/>
      <c r="D19" s="10" t="n"/>
      <c r="E19" s="10" t="n"/>
      <c r="F19" s="10" t="n"/>
      <c r="G19" s="9" t="n"/>
      <c r="H19" s="9" t="n"/>
      <c r="I19" s="9" t="n"/>
      <c r="J19" s="10" t="n"/>
      <c r="K19" s="5" t="n"/>
    </row>
    <row r="20">
      <c r="A20" s="10" t="n"/>
      <c r="B20" s="10" t="n"/>
      <c r="C20" s="9" t="n"/>
      <c r="D20" s="10" t="n"/>
      <c r="E20" s="10" t="n"/>
      <c r="F20" s="10" t="n"/>
      <c r="G20" s="9" t="n"/>
      <c r="H20" s="9" t="n"/>
      <c r="I20" s="9" t="n"/>
      <c r="J20" s="10" t="n"/>
      <c r="K20" s="5" t="n"/>
    </row>
    <row r="21">
      <c r="A21" s="10" t="n"/>
      <c r="B21" s="10" t="n"/>
      <c r="C21" s="9" t="n"/>
      <c r="D21" s="10" t="n"/>
      <c r="E21" s="10" t="n"/>
      <c r="F21" s="10" t="n"/>
      <c r="G21" s="9" t="n"/>
      <c r="H21" s="9" t="n"/>
      <c r="I21" s="9" t="n"/>
      <c r="J21" s="10" t="n"/>
      <c r="K21" s="5" t="n"/>
    </row>
    <row r="22">
      <c r="A22" s="10" t="n"/>
      <c r="B22" s="10" t="n"/>
      <c r="C22" s="9" t="n"/>
      <c r="D22" s="10" t="n"/>
      <c r="E22" s="10" t="n"/>
      <c r="F22" s="10" t="n"/>
      <c r="G22" s="9" t="n"/>
      <c r="H22" s="9" t="n"/>
      <c r="I22" s="9" t="n"/>
      <c r="J22" s="10" t="n"/>
      <c r="K22" s="5" t="n"/>
    </row>
    <row r="23">
      <c r="A23" s="10" t="n"/>
      <c r="B23" s="10" t="n"/>
      <c r="C23" s="9" t="n"/>
      <c r="D23" s="10" t="n"/>
      <c r="E23" s="10" t="n"/>
      <c r="F23" s="10" t="n"/>
      <c r="G23" s="9" t="n"/>
      <c r="H23" s="9" t="n"/>
      <c r="I23" s="9" t="n"/>
      <c r="J23" s="10" t="n"/>
      <c r="K23" s="5" t="n"/>
    </row>
    <row r="24">
      <c r="A24" s="10" t="n"/>
      <c r="B24" s="10" t="n"/>
      <c r="C24" s="9" t="n"/>
      <c r="D24" s="10" t="n"/>
      <c r="E24" s="10" t="n"/>
      <c r="F24" s="10" t="n"/>
      <c r="G24" s="9" t="n"/>
      <c r="H24" s="9" t="n"/>
      <c r="I24" s="9" t="n"/>
      <c r="J24" s="10" t="n"/>
      <c r="K24" s="5" t="n"/>
    </row>
    <row r="25">
      <c r="A25" s="10" t="n"/>
      <c r="B25" s="10" t="n"/>
      <c r="C25" s="9" t="n"/>
      <c r="D25" s="10" t="n"/>
      <c r="E25" s="10" t="n"/>
      <c r="F25" s="10" t="n"/>
      <c r="G25" s="9" t="n"/>
      <c r="H25" s="9" t="n"/>
      <c r="I25" s="9" t="n"/>
      <c r="J25" s="10" t="n"/>
      <c r="K25" s="5" t="n"/>
    </row>
    <row r="26">
      <c r="A26" s="10" t="n"/>
      <c r="B26" s="10" t="n"/>
      <c r="C26" s="9" t="n"/>
      <c r="D26" s="10" t="n"/>
      <c r="E26" s="10" t="n"/>
      <c r="F26" s="10" t="n"/>
      <c r="G26" s="9" t="n"/>
      <c r="H26" s="9" t="n"/>
      <c r="I26" s="9" t="n"/>
      <c r="J26" s="10" t="n"/>
      <c r="K26" s="5" t="n"/>
    </row>
    <row r="27">
      <c r="A27" s="10" t="n"/>
      <c r="B27" s="10" t="n"/>
      <c r="C27" s="9" t="n"/>
      <c r="D27" s="10" t="n"/>
      <c r="E27" s="10" t="n"/>
      <c r="F27" s="10" t="n"/>
      <c r="G27" s="9" t="n"/>
      <c r="H27" s="9" t="n"/>
      <c r="I27" s="9" t="n"/>
      <c r="J27" s="10" t="n"/>
      <c r="K27" s="5" t="n"/>
    </row>
    <row r="28">
      <c r="A28" s="10" t="n"/>
      <c r="B28" s="10" t="n"/>
      <c r="C28" s="9" t="n"/>
      <c r="D28" s="10" t="n"/>
      <c r="E28" s="10" t="n"/>
      <c r="F28" s="10" t="n"/>
      <c r="G28" s="9" t="n"/>
      <c r="H28" s="9" t="n"/>
      <c r="I28" s="9" t="n"/>
      <c r="J28" s="10" t="n"/>
      <c r="K28" s="5" t="n"/>
    </row>
    <row r="29">
      <c r="A29" s="10" t="n"/>
      <c r="B29" s="10" t="n"/>
      <c r="C29" s="9" t="n"/>
      <c r="D29" s="10" t="n"/>
      <c r="E29" s="10" t="n"/>
      <c r="F29" s="10" t="n"/>
      <c r="G29" s="9" t="n"/>
      <c r="H29" s="9" t="n"/>
      <c r="I29" s="9" t="n"/>
      <c r="J29" s="10" t="n"/>
      <c r="K29" s="5" t="n"/>
    </row>
    <row r="30">
      <c r="A30" s="10" t="n"/>
      <c r="B30" s="10" t="n"/>
      <c r="C30" s="9" t="n"/>
      <c r="D30" s="10" t="n"/>
      <c r="E30" s="10" t="n"/>
      <c r="F30" s="10" t="n"/>
      <c r="G30" s="9" t="n"/>
      <c r="H30" s="9" t="n"/>
      <c r="I30" s="9" t="n"/>
      <c r="J30" s="10" t="n"/>
      <c r="K30" s="5" t="n"/>
    </row>
    <row r="31">
      <c r="A31" s="10" t="n"/>
      <c r="B31" s="10" t="n"/>
      <c r="C31" s="9" t="n"/>
      <c r="D31" s="10" t="n"/>
      <c r="E31" s="10" t="n"/>
      <c r="F31" s="10" t="n"/>
      <c r="G31" s="9" t="n"/>
      <c r="H31" s="9" t="n"/>
      <c r="I31" s="9" t="n"/>
      <c r="J31" s="10" t="n"/>
      <c r="K31" s="5" t="n"/>
    </row>
    <row r="32">
      <c r="A32" s="10" t="n"/>
      <c r="B32" s="10" t="n"/>
      <c r="C32" s="9" t="n"/>
      <c r="D32" s="10" t="n"/>
      <c r="E32" s="10" t="n"/>
      <c r="F32" s="10" t="n"/>
      <c r="G32" s="9" t="n"/>
      <c r="H32" s="9" t="n"/>
      <c r="I32" s="9" t="n"/>
      <c r="J32" s="10" t="n"/>
      <c r="K32" s="5" t="n"/>
    </row>
    <row r="33">
      <c r="A33" s="10" t="n"/>
      <c r="B33" s="10" t="n"/>
      <c r="C33" s="9" t="n"/>
      <c r="D33" s="10" t="n"/>
      <c r="E33" s="10" t="n"/>
      <c r="F33" s="10" t="n"/>
      <c r="G33" s="9" t="n"/>
      <c r="H33" s="9" t="n"/>
      <c r="I33" s="9" t="n"/>
      <c r="J33" s="10" t="n"/>
      <c r="K33" s="5" t="n"/>
    </row>
    <row r="34">
      <c r="A34" s="10" t="n"/>
      <c r="B34" s="10" t="n"/>
      <c r="C34" s="9" t="n"/>
      <c r="D34" s="10" t="n"/>
      <c r="E34" s="10" t="n"/>
      <c r="F34" s="10" t="n"/>
      <c r="G34" s="9" t="n"/>
      <c r="H34" s="9" t="n"/>
      <c r="I34" s="9" t="n"/>
      <c r="J34" s="10" t="n"/>
      <c r="K34" s="5" t="n"/>
    </row>
    <row r="35">
      <c r="A35" s="10" t="n"/>
      <c r="B35" s="10" t="n"/>
      <c r="C35" s="9" t="n"/>
      <c r="D35" s="10" t="n"/>
      <c r="E35" s="10" t="n"/>
      <c r="F35" s="10" t="n"/>
      <c r="G35" s="9" t="n"/>
      <c r="H35" s="9" t="n"/>
      <c r="I35" s="9" t="n"/>
      <c r="J35" s="10" t="n"/>
      <c r="K35" s="5" t="n"/>
    </row>
    <row r="36">
      <c r="A36" s="10" t="n"/>
      <c r="B36" s="10" t="n"/>
      <c r="C36" s="9" t="n"/>
      <c r="D36" s="10" t="n"/>
      <c r="E36" s="10" t="n"/>
      <c r="F36" s="10" t="n"/>
      <c r="G36" s="9" t="n"/>
      <c r="H36" s="9" t="n"/>
      <c r="I36" s="9" t="n"/>
      <c r="J36" s="10" t="n"/>
      <c r="K36" s="5" t="n"/>
    </row>
    <row r="37">
      <c r="A37" s="10" t="n"/>
      <c r="B37" s="10" t="n"/>
      <c r="C37" s="9" t="n"/>
      <c r="D37" s="10" t="n"/>
      <c r="E37" s="10" t="n"/>
      <c r="F37" s="10" t="n"/>
      <c r="G37" s="9" t="n"/>
      <c r="H37" s="9" t="n"/>
      <c r="I37" s="9" t="n"/>
      <c r="J37" s="10" t="n"/>
      <c r="K37" s="5" t="n"/>
    </row>
    <row r="38">
      <c r="A38" s="10" t="n"/>
      <c r="B38" s="10" t="n"/>
      <c r="C38" s="9" t="n"/>
      <c r="D38" s="10" t="n"/>
      <c r="E38" s="10" t="n"/>
      <c r="F38" s="10" t="n"/>
      <c r="G38" s="9" t="n"/>
      <c r="H38" s="9" t="n"/>
      <c r="I38" s="9" t="n"/>
      <c r="J38" s="10" t="n"/>
      <c r="K38" s="5" t="n"/>
    </row>
    <row r="39">
      <c r="A39" s="10" t="n"/>
      <c r="B39" s="10" t="n"/>
      <c r="C39" s="9" t="n"/>
      <c r="D39" s="10" t="n"/>
      <c r="E39" s="10" t="n"/>
      <c r="F39" s="10" t="n"/>
      <c r="G39" s="9" t="n"/>
      <c r="H39" s="9" t="n"/>
      <c r="I39" s="9" t="n"/>
      <c r="J39" s="10" t="n"/>
      <c r="K39" s="5" t="n"/>
    </row>
    <row r="40">
      <c r="A40" s="10" t="n"/>
      <c r="B40" s="10" t="n"/>
      <c r="C40" s="9" t="n"/>
      <c r="D40" s="10" t="n"/>
      <c r="E40" s="10" t="n"/>
      <c r="F40" s="10" t="n"/>
      <c r="G40" s="9" t="n"/>
      <c r="H40" s="9" t="n"/>
      <c r="I40" s="9" t="n"/>
      <c r="J40" s="10" t="n"/>
      <c r="K40" s="5" t="n"/>
    </row>
    <row r="41">
      <c r="A41" s="10" t="n"/>
      <c r="B41" s="10" t="n"/>
      <c r="C41" s="9" t="n"/>
      <c r="D41" s="10" t="n"/>
      <c r="E41" s="10" t="n"/>
      <c r="F41" s="10" t="n"/>
      <c r="G41" s="9" t="n"/>
      <c r="H41" s="9" t="n"/>
      <c r="I41" s="9" t="n"/>
      <c r="J41" s="10" t="n"/>
      <c r="K41" s="5" t="n"/>
    </row>
    <row r="42">
      <c r="A42" s="10" t="n"/>
      <c r="B42" s="10" t="n"/>
      <c r="C42" s="9" t="n"/>
      <c r="D42" s="10" t="n"/>
      <c r="E42" s="10" t="n"/>
      <c r="F42" s="10" t="n"/>
      <c r="G42" s="9" t="n"/>
      <c r="H42" s="9" t="n"/>
      <c r="I42" s="9" t="n"/>
      <c r="J42" s="10" t="n"/>
      <c r="K42" s="5" t="n"/>
    </row>
    <row r="43">
      <c r="A43" s="10" t="n"/>
      <c r="B43" s="10" t="n"/>
      <c r="C43" s="9" t="n"/>
      <c r="D43" s="10" t="n"/>
      <c r="E43" s="10" t="n"/>
      <c r="F43" s="10" t="n"/>
      <c r="G43" s="9" t="n"/>
      <c r="H43" s="9" t="n"/>
      <c r="I43" s="9" t="n"/>
      <c r="J43" s="10" t="n"/>
      <c r="K43" s="5" t="n"/>
    </row>
    <row r="44">
      <c r="A44" s="10" t="n"/>
      <c r="B44" s="10" t="n"/>
      <c r="C44" s="9" t="n"/>
      <c r="D44" s="10" t="n"/>
      <c r="E44" s="10" t="n"/>
      <c r="F44" s="10" t="n"/>
      <c r="G44" s="9" t="n"/>
      <c r="H44" s="9" t="n"/>
      <c r="I44" s="9" t="n"/>
      <c r="J44" s="10" t="n"/>
      <c r="K44" s="5" t="n"/>
    </row>
    <row r="45">
      <c r="A45" s="10" t="n"/>
      <c r="B45" s="10" t="n"/>
      <c r="C45" s="9" t="n"/>
      <c r="D45" s="10" t="n"/>
      <c r="E45" s="10" t="n"/>
      <c r="F45" s="10" t="n"/>
      <c r="G45" s="9" t="n"/>
      <c r="H45" s="9" t="n"/>
      <c r="I45" s="9" t="n"/>
      <c r="J45" s="10" t="n"/>
      <c r="K45" s="5" t="n"/>
    </row>
    <row r="46">
      <c r="A46" s="10" t="n"/>
      <c r="B46" s="10" t="n"/>
      <c r="C46" s="9" t="n"/>
      <c r="D46" s="10" t="n"/>
      <c r="E46" s="10" t="n"/>
      <c r="F46" s="10" t="n"/>
      <c r="G46" s="9" t="n"/>
      <c r="H46" s="9" t="n"/>
      <c r="I46" s="9" t="n"/>
      <c r="J46" s="10" t="n"/>
      <c r="K46" s="5" t="n"/>
    </row>
    <row r="47">
      <c r="A47" s="10" t="n"/>
      <c r="B47" s="10" t="n"/>
      <c r="C47" s="9" t="n"/>
      <c r="D47" s="10" t="n"/>
      <c r="E47" s="10" t="n"/>
      <c r="F47" s="10" t="n"/>
      <c r="G47" s="9" t="n"/>
      <c r="H47" s="9" t="n"/>
      <c r="I47" s="9" t="n"/>
      <c r="J47" s="10" t="n"/>
      <c r="K47" s="5" t="n"/>
    </row>
    <row r="48">
      <c r="A48" s="10" t="n"/>
      <c r="B48" s="10" t="n"/>
      <c r="C48" s="9" t="n"/>
      <c r="D48" s="10" t="n"/>
      <c r="E48" s="10" t="n"/>
      <c r="F48" s="10" t="n"/>
      <c r="G48" s="9" t="n"/>
      <c r="H48" s="9" t="n"/>
      <c r="I48" s="9" t="n"/>
      <c r="J48" s="10" t="n"/>
      <c r="K48" s="5" t="n"/>
    </row>
    <row r="49">
      <c r="A49" s="10" t="n"/>
      <c r="B49" s="10" t="n"/>
      <c r="C49" s="9" t="n"/>
      <c r="D49" s="10" t="n"/>
      <c r="E49" s="10" t="n"/>
      <c r="F49" s="10" t="n"/>
      <c r="G49" s="9" t="n"/>
      <c r="H49" s="9" t="n"/>
      <c r="I49" s="9" t="n"/>
      <c r="J49" s="10" t="n"/>
      <c r="K49" s="5" t="n"/>
    </row>
    <row r="50">
      <c r="A50" s="10" t="n"/>
      <c r="B50" s="10" t="n"/>
      <c r="C50" s="9" t="n"/>
      <c r="D50" s="10" t="n"/>
      <c r="E50" s="10" t="n"/>
      <c r="F50" s="10" t="n"/>
      <c r="G50" s="9" t="n"/>
      <c r="H50" s="9" t="n"/>
      <c r="I50" s="9" t="n"/>
      <c r="J50" s="10" t="n"/>
      <c r="K50" s="5" t="n"/>
    </row>
    <row r="51">
      <c r="A51" s="10" t="n"/>
      <c r="B51" s="10" t="n"/>
      <c r="C51" s="9" t="n"/>
      <c r="D51" s="10" t="n"/>
      <c r="E51" s="10" t="n"/>
      <c r="F51" s="10" t="n"/>
      <c r="G51" s="9" t="n"/>
      <c r="H51" s="9" t="n"/>
      <c r="I51" s="9" t="n"/>
      <c r="J51" s="10" t="n"/>
      <c r="K51" s="5" t="n"/>
    </row>
    <row r="52">
      <c r="A52" s="10" t="n"/>
      <c r="B52" s="10" t="n"/>
      <c r="C52" s="9" t="n"/>
      <c r="D52" s="10" t="n"/>
      <c r="E52" s="10" t="n"/>
      <c r="F52" s="10" t="n"/>
      <c r="G52" s="9" t="n"/>
      <c r="H52" s="9" t="n"/>
      <c r="I52" s="9" t="n"/>
      <c r="J52" s="10" t="n"/>
      <c r="K52" s="5" t="n"/>
    </row>
    <row r="53">
      <c r="A53" s="10" t="n"/>
      <c r="B53" s="10" t="n"/>
      <c r="C53" s="9" t="n"/>
      <c r="D53" s="10" t="n"/>
      <c r="E53" s="10" t="n"/>
      <c r="F53" s="10" t="n"/>
      <c r="G53" s="9" t="n"/>
      <c r="H53" s="9" t="n"/>
      <c r="I53" s="9" t="n"/>
      <c r="J53" s="10" t="n"/>
      <c r="K53" s="5" t="n"/>
    </row>
    <row r="54">
      <c r="A54" s="10" t="n"/>
      <c r="B54" s="10" t="n"/>
      <c r="C54" s="9" t="n"/>
      <c r="D54" s="10" t="n"/>
      <c r="E54" s="10" t="n"/>
      <c r="F54" s="10" t="n"/>
      <c r="G54" s="9" t="n"/>
      <c r="H54" s="9" t="n"/>
      <c r="I54" s="9" t="n"/>
      <c r="J54" s="10" t="n"/>
      <c r="K54" s="5" t="n"/>
    </row>
    <row r="55">
      <c r="A55" s="10" t="n"/>
      <c r="B55" s="10" t="n"/>
      <c r="C55" s="9" t="n"/>
      <c r="D55" s="10" t="n"/>
      <c r="E55" s="10" t="n"/>
      <c r="F55" s="10" t="n"/>
      <c r="G55" s="9" t="n"/>
      <c r="H55" s="9" t="n"/>
      <c r="I55" s="9" t="n"/>
      <c r="J55" s="10" t="n"/>
      <c r="K55" s="5" t="n"/>
    </row>
    <row r="56">
      <c r="A56" s="10" t="n"/>
      <c r="B56" s="10" t="n"/>
      <c r="C56" s="9" t="n"/>
      <c r="D56" s="10" t="n"/>
      <c r="E56" s="10" t="n"/>
      <c r="F56" s="10" t="n"/>
      <c r="G56" s="9" t="n"/>
      <c r="H56" s="9" t="n"/>
      <c r="I56" s="9" t="n"/>
      <c r="J56" s="10" t="n"/>
      <c r="K56" s="5" t="n"/>
    </row>
    <row r="57">
      <c r="A57" s="10" t="n"/>
      <c r="B57" s="10" t="n"/>
      <c r="C57" s="9" t="n"/>
      <c r="D57" s="10" t="n"/>
      <c r="E57" s="10" t="n"/>
      <c r="F57" s="10" t="n"/>
      <c r="G57" s="9" t="n"/>
      <c r="H57" s="9" t="n"/>
      <c r="I57" s="9" t="n"/>
      <c r="J57" s="10" t="n"/>
      <c r="K57" s="5" t="n"/>
    </row>
    <row r="58">
      <c r="A58" s="10" t="n"/>
      <c r="B58" s="10" t="n"/>
      <c r="C58" s="9" t="n"/>
      <c r="D58" s="10" t="n"/>
      <c r="E58" s="10" t="n"/>
      <c r="F58" s="10" t="n"/>
      <c r="G58" s="9" t="n"/>
      <c r="H58" s="9" t="n"/>
      <c r="I58" s="9" t="n"/>
      <c r="J58" s="10" t="n"/>
      <c r="K58" s="5" t="n"/>
    </row>
    <row r="59">
      <c r="A59" s="10" t="n"/>
      <c r="B59" s="10" t="n"/>
      <c r="C59" s="9" t="n"/>
      <c r="D59" s="10" t="n"/>
      <c r="E59" s="10" t="n"/>
      <c r="F59" s="10" t="n"/>
      <c r="G59" s="9" t="n"/>
      <c r="H59" s="9" t="n"/>
      <c r="I59" s="9" t="n"/>
      <c r="J59" s="10" t="n"/>
      <c r="K59" s="5" t="n"/>
    </row>
    <row r="60">
      <c r="A60" s="10" t="n"/>
      <c r="B60" s="10" t="n"/>
      <c r="C60" s="9" t="n"/>
      <c r="D60" s="10" t="n"/>
      <c r="E60" s="10" t="n"/>
      <c r="F60" s="10" t="n"/>
      <c r="G60" s="9" t="n"/>
      <c r="H60" s="9" t="n"/>
      <c r="I60" s="9" t="n"/>
      <c r="J60" s="10" t="n"/>
      <c r="K60" s="5" t="n"/>
    </row>
    <row r="61">
      <c r="A61" s="10" t="n"/>
      <c r="B61" s="10" t="n"/>
      <c r="C61" s="9" t="n"/>
      <c r="D61" s="10" t="n"/>
      <c r="E61" s="10" t="n"/>
      <c r="F61" s="10" t="n"/>
      <c r="G61" s="9" t="n"/>
      <c r="H61" s="9" t="n"/>
      <c r="I61" s="9" t="n"/>
      <c r="J61" s="10" t="n"/>
      <c r="K61" s="5" t="n"/>
    </row>
    <row r="62">
      <c r="A62" s="10" t="n"/>
      <c r="B62" s="10" t="n"/>
      <c r="C62" s="9" t="n"/>
      <c r="D62" s="10" t="n"/>
      <c r="E62" s="10" t="n"/>
      <c r="F62" s="10" t="n"/>
      <c r="G62" s="9" t="n"/>
      <c r="H62" s="9" t="n"/>
      <c r="I62" s="9" t="n"/>
      <c r="J62" s="10" t="n"/>
      <c r="K62" s="5" t="n"/>
    </row>
    <row r="63">
      <c r="A63" s="10" t="n"/>
      <c r="B63" s="10" t="n"/>
      <c r="C63" s="9" t="n"/>
      <c r="D63" s="10" t="n"/>
      <c r="E63" s="10" t="n"/>
      <c r="F63" s="10" t="n"/>
      <c r="G63" s="9" t="n"/>
      <c r="H63" s="9" t="n"/>
      <c r="I63" s="9" t="n"/>
      <c r="J63" s="10" t="n"/>
      <c r="K63" s="5" t="n"/>
    </row>
    <row r="64">
      <c r="A64" s="10" t="n"/>
      <c r="B64" s="10" t="n"/>
      <c r="C64" s="9" t="n"/>
      <c r="D64" s="10" t="n"/>
      <c r="E64" s="10" t="n"/>
      <c r="F64" s="10" t="n"/>
      <c r="G64" s="9" t="n"/>
      <c r="H64" s="9" t="n"/>
      <c r="I64" s="9" t="n"/>
      <c r="J64" s="10" t="n"/>
      <c r="K64" s="5" t="n"/>
    </row>
    <row r="65">
      <c r="A65" s="10" t="n"/>
      <c r="B65" s="10" t="n"/>
      <c r="C65" s="9" t="n"/>
      <c r="D65" s="10" t="n"/>
      <c r="E65" s="10" t="n"/>
      <c r="F65" s="10" t="n"/>
      <c r="G65" s="9" t="n"/>
      <c r="H65" s="9" t="n"/>
      <c r="I65" s="9" t="n"/>
      <c r="J65" s="10" t="n"/>
      <c r="K65" s="5" t="n"/>
    </row>
    <row r="66">
      <c r="A66" s="10" t="n"/>
      <c r="B66" s="10" t="n"/>
      <c r="C66" s="9" t="n"/>
      <c r="D66" s="10" t="n"/>
      <c r="E66" s="10" t="n"/>
      <c r="F66" s="10" t="n"/>
      <c r="G66" s="9" t="n"/>
      <c r="H66" s="9" t="n"/>
      <c r="I66" s="9" t="n"/>
      <c r="J66" s="10" t="n"/>
      <c r="K66" s="5" t="n"/>
    </row>
    <row r="67">
      <c r="A67" s="10" t="n"/>
      <c r="B67" s="10" t="n"/>
      <c r="C67" s="9" t="n"/>
      <c r="D67" s="10" t="n"/>
      <c r="E67" s="10" t="n"/>
      <c r="F67" s="10" t="n"/>
      <c r="G67" s="9" t="n"/>
      <c r="H67" s="9" t="n"/>
      <c r="I67" s="9" t="n"/>
      <c r="J67" s="10" t="n"/>
      <c r="K67" s="5" t="n"/>
    </row>
    <row r="68">
      <c r="A68" s="10" t="n"/>
      <c r="B68" s="10" t="n"/>
      <c r="C68" s="9" t="n"/>
      <c r="D68" s="10" t="n"/>
      <c r="E68" s="10" t="n"/>
      <c r="F68" s="10" t="n"/>
      <c r="G68" s="9" t="n"/>
      <c r="H68" s="9" t="n"/>
      <c r="I68" s="9" t="n"/>
      <c r="J68" s="10" t="n"/>
      <c r="K68" s="5" t="n"/>
    </row>
    <row r="69">
      <c r="A69" s="10" t="n"/>
      <c r="B69" s="10" t="n"/>
      <c r="C69" s="9" t="n"/>
      <c r="D69" s="10" t="n"/>
      <c r="E69" s="10" t="n"/>
      <c r="F69" s="10" t="n"/>
      <c r="G69" s="9" t="n"/>
      <c r="H69" s="9" t="n"/>
      <c r="I69" s="9" t="n"/>
      <c r="J69" s="10" t="n"/>
      <c r="K69" s="5" t="n"/>
    </row>
    <row r="70">
      <c r="A70" s="10" t="n"/>
      <c r="B70" s="10" t="n"/>
      <c r="C70" s="9" t="n"/>
      <c r="D70" s="10" t="n"/>
      <c r="E70" s="10" t="n"/>
      <c r="F70" s="10" t="n"/>
      <c r="G70" s="9" t="n"/>
      <c r="H70" s="9" t="n"/>
      <c r="I70" s="9" t="n"/>
      <c r="J70" s="10" t="n"/>
      <c r="K70" s="5" t="n"/>
    </row>
    <row r="71">
      <c r="A71" s="10" t="n"/>
      <c r="B71" s="10" t="n"/>
      <c r="C71" s="9" t="n"/>
      <c r="D71" s="10" t="n"/>
      <c r="E71" s="10" t="n"/>
      <c r="F71" s="10" t="n"/>
      <c r="G71" s="9" t="n"/>
      <c r="H71" s="9" t="n"/>
      <c r="I71" s="9" t="n"/>
      <c r="J71" s="10" t="n"/>
      <c r="K71" s="5" t="n"/>
    </row>
    <row r="72">
      <c r="A72" s="10" t="n"/>
      <c r="B72" s="10" t="n"/>
      <c r="C72" s="9" t="n"/>
      <c r="D72" s="10" t="n"/>
      <c r="E72" s="10" t="n"/>
      <c r="F72" s="10" t="n"/>
      <c r="G72" s="9" t="n"/>
      <c r="H72" s="9" t="n"/>
      <c r="I72" s="9" t="n"/>
      <c r="J72" s="10" t="n"/>
      <c r="K72" s="5" t="n"/>
    </row>
    <row r="73">
      <c r="A73" s="10" t="n"/>
      <c r="B73" s="10" t="n"/>
      <c r="C73" s="9" t="n"/>
      <c r="D73" s="10" t="n"/>
      <c r="E73" s="10" t="n"/>
      <c r="F73" s="10" t="n"/>
      <c r="G73" s="9" t="n"/>
      <c r="H73" s="9" t="n"/>
      <c r="I73" s="9" t="n"/>
      <c r="J73" s="10" t="n"/>
      <c r="K73" s="5" t="n"/>
    </row>
    <row r="74">
      <c r="A74" s="10" t="n"/>
      <c r="B74" s="10" t="n"/>
      <c r="C74" s="9" t="n"/>
      <c r="D74" s="10" t="n"/>
      <c r="E74" s="10" t="n"/>
      <c r="F74" s="10" t="n"/>
      <c r="G74" s="9" t="n"/>
      <c r="H74" s="9" t="n"/>
      <c r="I74" s="9" t="n"/>
      <c r="J74" s="10" t="n"/>
      <c r="K74" s="5" t="n"/>
    </row>
    <row r="75">
      <c r="A75" s="10" t="n"/>
      <c r="B75" s="10" t="n"/>
      <c r="C75" s="9" t="n"/>
      <c r="D75" s="10" t="n"/>
      <c r="E75" s="10" t="n"/>
      <c r="F75" s="10" t="n"/>
      <c r="G75" s="9" t="n"/>
      <c r="H75" s="9" t="n"/>
      <c r="I75" s="9" t="n"/>
      <c r="J75" s="10" t="n"/>
      <c r="K75" s="5" t="n"/>
    </row>
    <row r="76">
      <c r="A76" s="10" t="n"/>
      <c r="B76" s="10" t="n"/>
      <c r="C76" s="9" t="n"/>
      <c r="D76" s="10" t="n"/>
      <c r="E76" s="10" t="n"/>
      <c r="F76" s="10" t="n"/>
      <c r="G76" s="9" t="n"/>
      <c r="H76" s="9" t="n"/>
      <c r="I76" s="9" t="n"/>
      <c r="J76" s="10" t="n"/>
      <c r="K76" s="5" t="n"/>
    </row>
    <row r="77">
      <c r="A77" s="10" t="n"/>
      <c r="B77" s="10" t="n"/>
      <c r="C77" s="9" t="n"/>
      <c r="D77" s="10" t="n"/>
      <c r="E77" s="10" t="n"/>
      <c r="F77" s="10" t="n"/>
      <c r="G77" s="9" t="n"/>
      <c r="H77" s="9" t="n"/>
      <c r="I77" s="9" t="n"/>
      <c r="J77" s="10" t="n"/>
      <c r="K77" s="5" t="n"/>
    </row>
    <row r="78">
      <c r="A78" s="10" t="n"/>
      <c r="B78" s="10" t="n"/>
      <c r="C78" s="9" t="n"/>
      <c r="D78" s="10" t="n"/>
      <c r="E78" s="10" t="n"/>
      <c r="F78" s="10" t="n"/>
      <c r="G78" s="9" t="n"/>
      <c r="H78" s="9" t="n"/>
      <c r="I78" s="9" t="n"/>
      <c r="J78" s="10" t="n"/>
      <c r="K78" s="5" t="n"/>
    </row>
    <row r="79">
      <c r="A79" s="10" t="n"/>
      <c r="B79" s="10" t="n"/>
      <c r="C79" s="9" t="n"/>
      <c r="D79" s="10" t="n"/>
      <c r="E79" s="10" t="n"/>
      <c r="F79" s="10" t="n"/>
      <c r="G79" s="9" t="n"/>
      <c r="H79" s="9" t="n"/>
      <c r="I79" s="9" t="n"/>
      <c r="J79" s="10" t="n"/>
      <c r="K79" s="5" t="n"/>
    </row>
    <row r="80">
      <c r="A80" s="10" t="n"/>
      <c r="B80" s="10" t="n"/>
      <c r="C80" s="9" t="n"/>
      <c r="D80" s="10" t="n"/>
      <c r="E80" s="10" t="n"/>
      <c r="F80" s="10" t="n"/>
      <c r="G80" s="9" t="n"/>
      <c r="H80" s="9" t="n"/>
      <c r="I80" s="9" t="n"/>
      <c r="J80" s="10" t="n"/>
      <c r="K80" s="5" t="n"/>
    </row>
    <row r="81">
      <c r="A81" s="10" t="n"/>
      <c r="B81" s="10" t="n"/>
      <c r="C81" s="9" t="n"/>
      <c r="D81" s="10" t="n"/>
      <c r="E81" s="10" t="n"/>
      <c r="F81" s="10" t="n"/>
      <c r="G81" s="9" t="n"/>
      <c r="H81" s="9" t="n"/>
      <c r="I81" s="9" t="n"/>
      <c r="J81" s="10" t="n"/>
      <c r="K81" s="5" t="n"/>
    </row>
    <row r="82">
      <c r="A82" s="10" t="n"/>
      <c r="B82" s="10" t="n"/>
      <c r="C82" s="9" t="n"/>
      <c r="D82" s="10" t="n"/>
      <c r="E82" s="10" t="n"/>
      <c r="F82" s="10" t="n"/>
      <c r="G82" s="9" t="n"/>
      <c r="H82" s="9" t="n"/>
      <c r="I82" s="9" t="n"/>
      <c r="J82" s="10" t="n"/>
      <c r="K82" s="5" t="n"/>
    </row>
    <row r="83">
      <c r="A83" s="10" t="n"/>
      <c r="B83" s="10" t="n"/>
      <c r="C83" s="9" t="n"/>
      <c r="D83" s="10" t="n"/>
      <c r="E83" s="10" t="n"/>
      <c r="F83" s="10" t="n"/>
      <c r="G83" s="9" t="n"/>
      <c r="H83" s="9" t="n"/>
      <c r="I83" s="9" t="n"/>
      <c r="J83" s="10" t="n"/>
      <c r="K83" s="5" t="n"/>
    </row>
    <row r="85" ht="20" customHeight="1">
      <c r="A85" s="11" t="inlineStr">
        <is>
          <t>Stage-wise Tank Deltas (input per stage)</t>
        </is>
      </c>
    </row>
    <row r="86">
      <c r="A86" s="12" t="inlineStr">
        <is>
          <t>Fill delta (t) for each tank per stage. + = fill, - = discharge.</t>
        </is>
      </c>
    </row>
    <row r="87" ht="22" customHeight="1">
      <c r="A87" s="4" t="inlineStr">
        <is>
          <t>Tank</t>
        </is>
      </c>
      <c r="B87" s="4" t="inlineStr">
        <is>
          <t>Stage 1</t>
        </is>
      </c>
      <c r="C87" s="4" t="inlineStr">
        <is>
          <t>Stage 2</t>
        </is>
      </c>
      <c r="D87" s="4" t="inlineStr">
        <is>
          <t>Stage 3</t>
        </is>
      </c>
      <c r="E87" s="4" t="inlineStr">
        <is>
          <t>Stage 4</t>
        </is>
      </c>
      <c r="F87" s="4" t="inlineStr">
        <is>
          <t>Stage 5</t>
        </is>
      </c>
      <c r="G87" s="4" t="inlineStr">
        <is>
          <t>Stage 5_PreBallast</t>
        </is>
      </c>
      <c r="H87" s="4" t="inlineStr">
        <is>
          <t>Stage 6A_Critical (Opt C)</t>
        </is>
      </c>
      <c r="I87" s="4" t="inlineStr">
        <is>
          <t>Stage 6C</t>
        </is>
      </c>
      <c r="J87" s="4" t="inlineStr">
        <is>
          <t>Stage 7</t>
        </is>
      </c>
      <c r="K87" s="4" t="inlineStr">
        <is>
          <t>Remarks</t>
        </is>
      </c>
    </row>
    <row r="88">
      <c r="A88" s="10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5" t="n"/>
    </row>
    <row r="89">
      <c r="A89" s="10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5" t="n"/>
    </row>
    <row r="90">
      <c r="A90" s="10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5" t="n"/>
    </row>
    <row r="91">
      <c r="A91" s="10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5" t="n"/>
    </row>
    <row r="92">
      <c r="A92" s="10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5" t="n"/>
    </row>
    <row r="93">
      <c r="A93" s="10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5" t="n"/>
    </row>
    <row r="94">
      <c r="A94" s="10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5" t="n"/>
    </row>
    <row r="95">
      <c r="A95" s="10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5" t="n"/>
    </row>
    <row r="96">
      <c r="A96" s="10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5" t="n"/>
    </row>
    <row r="97">
      <c r="A97" s="10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5" t="n"/>
    </row>
    <row r="98">
      <c r="A98" s="10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5" t="n"/>
    </row>
    <row r="99">
      <c r="A99" s="10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5" t="n"/>
    </row>
    <row r="100">
      <c r="A100" s="10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5" t="n"/>
    </row>
    <row r="101">
      <c r="A101" s="10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5" t="n"/>
    </row>
    <row r="102">
      <c r="A102" s="10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5" t="n"/>
    </row>
    <row r="103">
      <c r="A103" s="10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5" t="n"/>
    </row>
    <row r="104">
      <c r="A104" s="10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5" t="n"/>
    </row>
    <row r="105">
      <c r="A105" s="10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5" t="n"/>
    </row>
    <row r="106">
      <c r="A106" s="10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5" t="n"/>
    </row>
    <row r="107">
      <c r="A107" s="10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5" t="n"/>
    </row>
    <row r="108">
      <c r="A108" s="10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5" t="n"/>
    </row>
    <row r="109">
      <c r="A109" s="10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5" t="n"/>
    </row>
    <row r="110">
      <c r="A110" s="10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5" t="n"/>
    </row>
    <row r="111">
      <c r="A111" s="10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5" t="n"/>
    </row>
    <row r="112">
      <c r="A112" s="10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5" t="n"/>
    </row>
    <row r="113">
      <c r="A113" s="10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5" t="n"/>
    </row>
    <row r="114">
      <c r="A114" s="10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5" t="n"/>
    </row>
    <row r="115">
      <c r="A115" s="10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5" t="n"/>
    </row>
    <row r="116">
      <c r="A116" s="10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5" t="n"/>
    </row>
    <row r="117">
      <c r="A117" s="10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5" t="n"/>
    </row>
    <row r="118">
      <c r="A118" s="10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5" t="n"/>
    </row>
    <row r="119">
      <c r="A119" s="10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5" t="n"/>
    </row>
    <row r="120">
      <c r="A120" s="10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5" t="n"/>
    </row>
    <row r="121">
      <c r="A121" s="10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5" t="n"/>
    </row>
    <row r="122">
      <c r="A122" s="10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5" t="n"/>
    </row>
    <row r="123">
      <c r="A123" s="10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5" t="n"/>
    </row>
    <row r="124">
      <c r="A124" s="10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5" t="n"/>
    </row>
    <row r="125">
      <c r="A125" s="10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5" t="n"/>
    </row>
    <row r="126">
      <c r="A126" s="10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5" t="n"/>
    </row>
    <row r="127">
      <c r="A127" s="10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5" t="n"/>
    </row>
    <row r="128">
      <c r="A128" s="10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5" t="n"/>
    </row>
    <row r="129">
      <c r="A129" s="10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5" t="n"/>
    </row>
    <row r="130">
      <c r="A130" s="10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5" t="n"/>
    </row>
    <row r="131">
      <c r="A131" s="10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5" t="n"/>
    </row>
    <row r="132">
      <c r="A132" s="10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5" t="n"/>
    </row>
    <row r="133">
      <c r="A133" s="10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5" t="n"/>
    </row>
    <row r="134">
      <c r="A134" s="10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5" t="n"/>
    </row>
    <row r="135">
      <c r="A135" s="10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5" t="n"/>
    </row>
    <row r="136">
      <c r="A136" s="10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5" t="n"/>
    </row>
    <row r="137">
      <c r="A137" s="10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5" t="n"/>
    </row>
    <row r="138">
      <c r="A138" s="10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5" t="n"/>
    </row>
    <row r="139">
      <c r="A139" s="10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5" t="n"/>
    </row>
    <row r="140">
      <c r="A140" s="10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5" t="n"/>
    </row>
    <row r="141">
      <c r="A141" s="10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5" t="n"/>
    </row>
    <row r="142">
      <c r="A142" s="10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5" t="n"/>
    </row>
    <row r="143">
      <c r="A143" s="10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5" t="n"/>
    </row>
    <row r="144">
      <c r="A144" s="10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5" t="n"/>
    </row>
    <row r="145">
      <c r="A145" s="10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5" t="n"/>
    </row>
    <row r="146">
      <c r="A146" s="10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5" t="n"/>
    </row>
    <row r="147">
      <c r="A147" s="10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5" t="n"/>
    </row>
    <row r="148">
      <c r="A148" s="10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5" t="n"/>
    </row>
    <row r="149">
      <c r="A149" s="10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5" t="n"/>
    </row>
    <row r="150">
      <c r="A150" s="10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5" t="n"/>
    </row>
    <row r="151">
      <c r="A151" s="10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5" t="n"/>
    </row>
    <row r="152">
      <c r="A152" s="10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5" t="n"/>
    </row>
    <row r="153">
      <c r="A153" s="10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5" t="n"/>
    </row>
    <row r="154">
      <c r="A154" s="10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5" t="n"/>
    </row>
    <row r="155">
      <c r="A155" s="10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5" t="n"/>
    </row>
    <row r="156">
      <c r="A156" s="10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5" t="n"/>
    </row>
    <row r="157">
      <c r="A157" s="10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5" t="n"/>
    </row>
    <row r="158">
      <c r="A158" s="10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5" t="n"/>
    </row>
    <row r="159">
      <c r="A159" s="10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5" t="n"/>
    </row>
    <row r="160">
      <c r="A160" s="10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5" t="n"/>
    </row>
    <row r="161">
      <c r="A161" s="10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5" t="n"/>
    </row>
    <row r="162">
      <c r="A162" s="10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5" t="n"/>
    </row>
    <row r="163">
      <c r="A163" s="10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5" t="n"/>
    </row>
    <row r="164">
      <c r="A164" s="10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5" t="n"/>
    </row>
    <row r="165">
      <c r="A165" s="10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5" t="n"/>
    </row>
    <row r="166">
      <c r="A166" s="10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5" t="n"/>
    </row>
    <row r="167">
      <c r="A167" s="10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5" t="n"/>
    </row>
    <row r="168">
      <c r="A168" s="10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5" t="n"/>
    </row>
    <row r="169">
      <c r="A169" s="10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5" t="n"/>
    </row>
    <row r="170">
      <c r="A170" s="10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5" t="n"/>
    </row>
    <row r="171">
      <c r="A171" s="10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5" t="n"/>
    </row>
    <row r="172">
      <c r="A172" s="10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5" t="n"/>
    </row>
    <row r="173">
      <c r="A173" s="10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5" t="n"/>
    </row>
    <row r="174">
      <c r="A174" s="10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5" t="n"/>
    </row>
    <row r="175">
      <c r="A175" s="10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5" t="n"/>
    </row>
    <row r="176">
      <c r="A176" s="10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5" t="n"/>
    </row>
    <row r="177">
      <c r="A177" s="10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5" t="n"/>
    </row>
    <row r="178">
      <c r="A178" s="10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5" t="n"/>
    </row>
    <row r="179">
      <c r="A179" s="10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5" t="n"/>
    </row>
    <row r="180">
      <c r="A180" s="10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5" t="n"/>
    </row>
    <row r="181">
      <c r="A181" s="10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5" t="n"/>
    </row>
    <row r="182">
      <c r="A182" s="10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5" t="n"/>
    </row>
    <row r="183">
      <c r="A183" s="10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5" t="n"/>
    </row>
    <row r="184">
      <c r="A184" s="10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5" t="n"/>
    </row>
    <row r="185">
      <c r="A185" s="10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5" t="n"/>
    </row>
    <row r="186">
      <c r="A186" s="10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5" t="n"/>
    </row>
    <row r="187">
      <c r="A187" s="10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5" t="n"/>
    </row>
    <row r="188">
      <c r="A188" s="10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5" t="n"/>
    </row>
    <row r="189">
      <c r="A189" s="10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5" t="n"/>
    </row>
    <row r="190">
      <c r="A190" s="10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5" t="n"/>
    </row>
    <row r="191">
      <c r="A191" s="10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5" t="n"/>
    </row>
    <row r="192">
      <c r="A192" s="10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5" t="n"/>
    </row>
    <row r="193">
      <c r="A193" s="10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5" t="n"/>
    </row>
    <row r="194">
      <c r="A194" s="10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5" t="n"/>
    </row>
    <row r="195">
      <c r="A195" s="10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5" t="n"/>
    </row>
    <row r="196">
      <c r="A196" s="10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5" t="n"/>
    </row>
    <row r="197">
      <c r="A197" s="10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5" t="n"/>
    </row>
    <row r="198">
      <c r="A198" s="10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5" t="n"/>
    </row>
    <row r="199">
      <c r="A199" s="10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5" t="n"/>
    </row>
    <row r="200">
      <c r="A200" s="10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5" t="n"/>
    </row>
    <row r="201">
      <c r="A201" s="10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5" t="n"/>
    </row>
    <row r="202">
      <c r="A202" s="10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5" t="n"/>
    </row>
    <row r="203">
      <c r="A203" s="10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5" t="n"/>
    </row>
    <row r="204">
      <c r="A204" s="10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5" t="n"/>
    </row>
    <row r="205">
      <c r="A205" s="10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5" t="n"/>
    </row>
    <row r="206">
      <c r="A206" s="10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5" t="n"/>
    </row>
    <row r="207">
      <c r="A207" s="10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5" t="n"/>
    </row>
  </sheetData>
  <mergeCells count="4">
    <mergeCell ref="A2:K2"/>
    <mergeCell ref="A86:K86"/>
    <mergeCell ref="A85:K85"/>
    <mergeCell ref="A1:K1"/>
  </mergeCells>
  <dataValidations count="1">
    <dataValidation sqref="A88:A207" showDropDown="0" showInputMessage="0" showErrorMessage="0" allowBlank="1" type="list">
      <formula1>=Tanks_List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8" customWidth="1" min="4" max="4"/>
    <col width="10" customWidth="1" min="5" max="5"/>
    <col width="18" customWidth="1" min="6" max="6"/>
    <col width="14" customWidth="1" min="7" max="7"/>
    <col width="40" customWidth="1" min="8" max="8"/>
  </cols>
  <sheetData>
    <row r="1" ht="22" customHeight="1">
      <c r="A1" s="4" t="inlineStr">
        <is>
          <t>Stage_ID</t>
        </is>
      </c>
      <c r="B1" s="4" t="inlineStr">
        <is>
          <t>Progress_%</t>
        </is>
      </c>
      <c r="C1" s="4" t="inlineStr">
        <is>
          <t>Planned_Start</t>
        </is>
      </c>
      <c r="D1" s="4" t="inlineStr">
        <is>
          <t>Planned_End</t>
        </is>
      </c>
      <c r="E1" s="4" t="inlineStr">
        <is>
          <t>HoldPoint</t>
        </is>
      </c>
      <c r="F1" s="4" t="inlineStr">
        <is>
          <t>GateB_Critical(Y/N)</t>
        </is>
      </c>
      <c r="G1" s="4" t="inlineStr">
        <is>
          <t>Stage_Status</t>
        </is>
      </c>
      <c r="H1" s="4" t="inlineStr">
        <is>
          <t>Remarks</t>
        </is>
      </c>
    </row>
    <row r="2">
      <c r="A2" s="9" t="inlineStr">
        <is>
          <t>Stage 1</t>
        </is>
      </c>
      <c r="B2" s="9" t="inlineStr">
        <is>
          <t>N/A</t>
        </is>
      </c>
      <c r="C2" s="10" t="inlineStr"/>
      <c r="D2" s="10" t="inlineStr"/>
      <c r="E2" s="9" t="inlineStr">
        <is>
          <t>-</t>
        </is>
      </c>
      <c r="F2" s="9" t="inlineStr">
        <is>
          <t>N</t>
        </is>
      </c>
      <c r="G2" s="9" t="inlineStr">
        <is>
          <t>PLANNED</t>
        </is>
      </c>
      <c r="H2" s="5" t="inlineStr">
        <is>
          <t>Arrival (lightship)</t>
        </is>
      </c>
    </row>
    <row r="3">
      <c r="A3" s="9" t="inlineStr">
        <is>
          <t>Stage 2</t>
        </is>
      </c>
      <c r="B3" s="9" t="inlineStr">
        <is>
          <t>N/A</t>
        </is>
      </c>
      <c r="C3" s="10" t="inlineStr"/>
      <c r="D3" s="10" t="inlineStr"/>
      <c r="E3" s="9" t="inlineStr">
        <is>
          <t>Y</t>
        </is>
      </c>
      <c r="F3" s="9" t="inlineStr">
        <is>
          <t>N</t>
        </is>
      </c>
      <c r="G3" s="9" t="inlineStr">
        <is>
          <t>PLANNED</t>
        </is>
      </c>
      <c r="H3" s="5" t="inlineStr">
        <is>
          <t>TR1 ramp start</t>
        </is>
      </c>
    </row>
    <row r="4">
      <c r="A4" s="9" t="inlineStr">
        <is>
          <t>Stage 3</t>
        </is>
      </c>
      <c r="B4" s="9" t="inlineStr">
        <is>
          <t>N/A</t>
        </is>
      </c>
      <c r="C4" s="10" t="inlineStr"/>
      <c r="D4" s="10" t="inlineStr"/>
      <c r="E4" s="9" t="inlineStr">
        <is>
          <t>-</t>
        </is>
      </c>
      <c r="F4" s="9" t="inlineStr">
        <is>
          <t>N</t>
        </is>
      </c>
      <c r="G4" s="9" t="inlineStr">
        <is>
          <t>PLANNED</t>
        </is>
      </c>
      <c r="H4" s="5" t="inlineStr">
        <is>
          <t>TR1 mid-ramp</t>
        </is>
      </c>
    </row>
    <row r="5">
      <c r="A5" s="9" t="inlineStr">
        <is>
          <t>Stage 4</t>
        </is>
      </c>
      <c r="B5" s="9" t="inlineStr">
        <is>
          <t>N/A</t>
        </is>
      </c>
      <c r="C5" s="10" t="inlineStr"/>
      <c r="D5" s="10" t="inlineStr"/>
      <c r="E5" s="9" t="inlineStr">
        <is>
          <t>-</t>
        </is>
      </c>
      <c r="F5" s="9" t="inlineStr">
        <is>
          <t>N</t>
        </is>
      </c>
      <c r="G5" s="9" t="inlineStr">
        <is>
          <t>PLANNED</t>
        </is>
      </c>
      <c r="H5" s="5" t="inlineStr">
        <is>
          <t>TR1 on deck</t>
        </is>
      </c>
    </row>
    <row r="6">
      <c r="A6" s="9" t="inlineStr">
        <is>
          <t>Stage 5</t>
        </is>
      </c>
      <c r="B6" s="9" t="inlineStr">
        <is>
          <t>N/A</t>
        </is>
      </c>
      <c r="C6" s="10" t="inlineStr"/>
      <c r="D6" s="10" t="inlineStr"/>
      <c r="E6" s="9" t="inlineStr">
        <is>
          <t>-</t>
        </is>
      </c>
      <c r="F6" s="9" t="inlineStr">
        <is>
          <t>N</t>
        </is>
      </c>
      <c r="G6" s="9" t="inlineStr">
        <is>
          <t>PLANNED</t>
        </is>
      </c>
      <c r="H6" s="5" t="inlineStr">
        <is>
          <t>TR1 final position</t>
        </is>
      </c>
    </row>
    <row r="7">
      <c r="A7" s="9" t="inlineStr">
        <is>
          <t>Stage 5_PreBallast</t>
        </is>
      </c>
      <c r="B7" s="9" t="inlineStr">
        <is>
          <t>N/A</t>
        </is>
      </c>
      <c r="C7" s="10" t="inlineStr"/>
      <c r="D7" s="10" t="inlineStr"/>
      <c r="E7" s="9" t="inlineStr">
        <is>
          <t>-</t>
        </is>
      </c>
      <c r="F7" s="9" t="inlineStr">
        <is>
          <t>Y</t>
        </is>
      </c>
      <c r="G7" s="9" t="inlineStr">
        <is>
          <t>PLANNED</t>
        </is>
      </c>
      <c r="H7" s="5" t="inlineStr">
        <is>
          <t>Water supply complete (TR1 stowed)</t>
        </is>
      </c>
    </row>
    <row r="8">
      <c r="A8" s="9" t="inlineStr">
        <is>
          <t>Stage 6A_Critical (Opt C)</t>
        </is>
      </c>
      <c r="B8" s="9" t="inlineStr">
        <is>
          <t>N/A</t>
        </is>
      </c>
      <c r="C8" s="10" t="inlineStr"/>
      <c r="D8" s="10" t="inlineStr"/>
      <c r="E8" s="9" t="inlineStr">
        <is>
          <t>-</t>
        </is>
      </c>
      <c r="F8" s="9" t="inlineStr">
        <is>
          <t>Y</t>
        </is>
      </c>
      <c r="G8" s="9" t="inlineStr">
        <is>
          <t>PLANNED</t>
        </is>
      </c>
      <c r="H8" s="5" t="inlineStr">
        <is>
          <t>TR2 ramp entry</t>
        </is>
      </c>
    </row>
    <row r="9">
      <c r="A9" s="9" t="inlineStr">
        <is>
          <t>Stage 6C</t>
        </is>
      </c>
      <c r="B9" s="9" t="inlineStr">
        <is>
          <t>N/A</t>
        </is>
      </c>
      <c r="C9" s="10" t="inlineStr"/>
      <c r="D9" s="10" t="inlineStr"/>
      <c r="E9" s="9" t="inlineStr">
        <is>
          <t>-</t>
        </is>
      </c>
      <c r="F9" s="9" t="inlineStr">
        <is>
          <t>N</t>
        </is>
      </c>
      <c r="G9" s="9" t="inlineStr">
        <is>
          <t>PLANNED</t>
        </is>
      </c>
      <c r="H9" s="5" t="inlineStr">
        <is>
          <t>Final stowage</t>
        </is>
      </c>
    </row>
    <row r="10">
      <c r="A10" s="9" t="inlineStr">
        <is>
          <t>Stage 7</t>
        </is>
      </c>
      <c r="B10" s="9" t="inlineStr">
        <is>
          <t>N/A</t>
        </is>
      </c>
      <c r="C10" s="10" t="inlineStr"/>
      <c r="D10" s="10" t="inlineStr"/>
      <c r="E10" s="9" t="inlineStr">
        <is>
          <t>-</t>
        </is>
      </c>
      <c r="F10" s="9" t="inlineStr">
        <is>
          <t>N</t>
        </is>
      </c>
      <c r="G10" s="9" t="inlineStr">
        <is>
          <t>PLANNED</t>
        </is>
      </c>
      <c r="H10" s="5" t="inlineStr">
        <is>
          <t>Departure (cargo off)</t>
        </is>
      </c>
    </row>
    <row r="11">
      <c r="A11" s="9" t="n"/>
      <c r="B11" s="9" t="n"/>
      <c r="C11" s="10" t="n"/>
      <c r="D11" s="10" t="n"/>
      <c r="E11" s="9" t="n"/>
      <c r="F11" s="9" t="n"/>
      <c r="G11" s="9" t="n"/>
      <c r="H11" s="5" t="n"/>
    </row>
    <row r="12">
      <c r="A12" s="9" t="n"/>
      <c r="B12" s="9" t="n"/>
      <c r="C12" s="10" t="n"/>
      <c r="D12" s="10" t="n"/>
      <c r="E12" s="9" t="n"/>
      <c r="F12" s="9" t="n"/>
      <c r="G12" s="9" t="n"/>
      <c r="H12" s="5" t="n"/>
    </row>
    <row r="13">
      <c r="A13" s="9" t="n"/>
      <c r="B13" s="9" t="n"/>
      <c r="C13" s="10" t="n"/>
      <c r="D13" s="10" t="n"/>
      <c r="E13" s="9" t="n"/>
      <c r="F13" s="9" t="n"/>
      <c r="G13" s="9" t="n"/>
      <c r="H13" s="5" t="n"/>
    </row>
    <row r="14">
      <c r="A14" s="9" t="n"/>
      <c r="B14" s="9" t="n"/>
      <c r="C14" s="10" t="n"/>
      <c r="D14" s="10" t="n"/>
      <c r="E14" s="9" t="n"/>
      <c r="F14" s="9" t="n"/>
      <c r="G14" s="9" t="n"/>
      <c r="H14" s="5" t="n"/>
    </row>
    <row r="15">
      <c r="A15" s="9" t="n"/>
      <c r="B15" s="9" t="n"/>
      <c r="C15" s="10" t="n"/>
      <c r="D15" s="10" t="n"/>
      <c r="E15" s="9" t="n"/>
      <c r="F15" s="9" t="n"/>
      <c r="G15" s="9" t="n"/>
      <c r="H15" s="5" t="n"/>
    </row>
    <row r="16">
      <c r="A16" s="9" t="n"/>
      <c r="B16" s="9" t="n"/>
      <c r="C16" s="10" t="n"/>
      <c r="D16" s="10" t="n"/>
      <c r="E16" s="9" t="n"/>
      <c r="F16" s="9" t="n"/>
      <c r="G16" s="9" t="n"/>
      <c r="H16" s="5" t="n"/>
    </row>
    <row r="17">
      <c r="A17" s="9" t="n"/>
      <c r="B17" s="9" t="n"/>
      <c r="C17" s="10" t="n"/>
      <c r="D17" s="10" t="n"/>
      <c r="E17" s="9" t="n"/>
      <c r="F17" s="9" t="n"/>
      <c r="G17" s="9" t="n"/>
      <c r="H17" s="5" t="n"/>
    </row>
    <row r="18">
      <c r="A18" s="9" t="n"/>
      <c r="B18" s="9" t="n"/>
      <c r="C18" s="10" t="n"/>
      <c r="D18" s="10" t="n"/>
      <c r="E18" s="9" t="n"/>
      <c r="F18" s="9" t="n"/>
      <c r="G18" s="9" t="n"/>
      <c r="H18" s="5" t="n"/>
    </row>
    <row r="19">
      <c r="A19" s="9" t="n"/>
      <c r="B19" s="9" t="n"/>
      <c r="C19" s="10" t="n"/>
      <c r="D19" s="10" t="n"/>
      <c r="E19" s="9" t="n"/>
      <c r="F19" s="9" t="n"/>
      <c r="G19" s="9" t="n"/>
      <c r="H19" s="5" t="n"/>
    </row>
    <row r="20">
      <c r="A20" s="9" t="n"/>
      <c r="B20" s="9" t="n"/>
      <c r="C20" s="10" t="n"/>
      <c r="D20" s="10" t="n"/>
      <c r="E20" s="9" t="n"/>
      <c r="F20" s="9" t="n"/>
      <c r="G20" s="9" t="n"/>
      <c r="H20" s="5" t="n"/>
    </row>
    <row r="21">
      <c r="A21" s="9" t="n"/>
      <c r="B21" s="9" t="n"/>
      <c r="C21" s="10" t="n"/>
      <c r="D21" s="10" t="n"/>
      <c r="E21" s="9" t="n"/>
      <c r="F21" s="9" t="n"/>
      <c r="G21" s="9" t="n"/>
      <c r="H21" s="5" t="n"/>
    </row>
    <row r="22">
      <c r="A22" s="9" t="n"/>
      <c r="B22" s="9" t="n"/>
      <c r="C22" s="10" t="n"/>
      <c r="D22" s="10" t="n"/>
      <c r="E22" s="9" t="n"/>
      <c r="F22" s="9" t="n"/>
      <c r="G22" s="9" t="n"/>
      <c r="H22" s="5" t="n"/>
    </row>
    <row r="23">
      <c r="A23" s="9" t="n"/>
      <c r="B23" s="9" t="n"/>
      <c r="C23" s="10" t="n"/>
      <c r="D23" s="10" t="n"/>
      <c r="E23" s="9" t="n"/>
      <c r="F23" s="9" t="n"/>
      <c r="G23" s="9" t="n"/>
      <c r="H23" s="5" t="n"/>
    </row>
    <row r="24">
      <c r="A24" s="9" t="n"/>
      <c r="B24" s="9" t="n"/>
      <c r="C24" s="10" t="n"/>
      <c r="D24" s="10" t="n"/>
      <c r="E24" s="9" t="n"/>
      <c r="F24" s="9" t="n"/>
      <c r="G24" s="9" t="n"/>
      <c r="H24" s="5" t="n"/>
    </row>
    <row r="25">
      <c r="A25" s="9" t="n"/>
      <c r="B25" s="9" t="n"/>
      <c r="C25" s="10" t="n"/>
      <c r="D25" s="10" t="n"/>
      <c r="E25" s="9" t="n"/>
      <c r="F25" s="9" t="n"/>
      <c r="G25" s="9" t="n"/>
      <c r="H25" s="5" t="n"/>
    </row>
    <row r="26">
      <c r="A26" s="9" t="n"/>
      <c r="B26" s="9" t="n"/>
      <c r="C26" s="10" t="n"/>
      <c r="D26" s="10" t="n"/>
      <c r="E26" s="9" t="n"/>
      <c r="F26" s="9" t="n"/>
      <c r="G26" s="9" t="n"/>
      <c r="H26" s="5" t="n"/>
    </row>
    <row r="27">
      <c r="A27" s="9" t="n"/>
      <c r="B27" s="9" t="n"/>
      <c r="C27" s="10" t="n"/>
      <c r="D27" s="10" t="n"/>
      <c r="E27" s="9" t="n"/>
      <c r="F27" s="9" t="n"/>
      <c r="G27" s="9" t="n"/>
      <c r="H27" s="5" t="n"/>
    </row>
    <row r="28">
      <c r="A28" s="9" t="n"/>
      <c r="B28" s="9" t="n"/>
      <c r="C28" s="10" t="n"/>
      <c r="D28" s="10" t="n"/>
      <c r="E28" s="9" t="n"/>
      <c r="F28" s="9" t="n"/>
      <c r="G28" s="9" t="n"/>
      <c r="H28" s="5" t="n"/>
    </row>
    <row r="29">
      <c r="A29" s="9" t="n"/>
      <c r="B29" s="9" t="n"/>
      <c r="C29" s="10" t="n"/>
      <c r="D29" s="10" t="n"/>
      <c r="E29" s="9" t="n"/>
      <c r="F29" s="9" t="n"/>
      <c r="G29" s="9" t="n"/>
      <c r="H29" s="5" t="n"/>
    </row>
    <row r="30">
      <c r="A30" s="9" t="n"/>
      <c r="B30" s="9" t="n"/>
      <c r="C30" s="10" t="n"/>
      <c r="D30" s="10" t="n"/>
      <c r="E30" s="9" t="n"/>
      <c r="F30" s="9" t="n"/>
      <c r="G30" s="9" t="n"/>
      <c r="H30" s="5" t="n"/>
    </row>
    <row r="31">
      <c r="A31" s="9" t="n"/>
      <c r="B31" s="9" t="n"/>
      <c r="C31" s="10" t="n"/>
      <c r="D31" s="10" t="n"/>
      <c r="E31" s="9" t="n"/>
      <c r="F31" s="9" t="n"/>
      <c r="G31" s="9" t="n"/>
      <c r="H31" s="5" t="n"/>
    </row>
    <row r="32">
      <c r="A32" s="9" t="n"/>
      <c r="B32" s="9" t="n"/>
      <c r="C32" s="10" t="n"/>
      <c r="D32" s="10" t="n"/>
      <c r="E32" s="9" t="n"/>
      <c r="F32" s="9" t="n"/>
      <c r="G32" s="9" t="n"/>
      <c r="H32" s="5" t="n"/>
    </row>
    <row r="33">
      <c r="A33" s="9" t="n"/>
      <c r="B33" s="9" t="n"/>
      <c r="C33" s="10" t="n"/>
      <c r="D33" s="10" t="n"/>
      <c r="E33" s="9" t="n"/>
      <c r="F33" s="9" t="n"/>
      <c r="G33" s="9" t="n"/>
      <c r="H33" s="5" t="n"/>
    </row>
    <row r="34">
      <c r="A34" s="9" t="n"/>
      <c r="B34" s="9" t="n"/>
      <c r="C34" s="10" t="n"/>
      <c r="D34" s="10" t="n"/>
      <c r="E34" s="9" t="n"/>
      <c r="F34" s="9" t="n"/>
      <c r="G34" s="9" t="n"/>
      <c r="H34" s="5" t="n"/>
    </row>
    <row r="35">
      <c r="A35" s="9" t="n"/>
      <c r="B35" s="9" t="n"/>
      <c r="C35" s="10" t="n"/>
      <c r="D35" s="10" t="n"/>
      <c r="E35" s="9" t="n"/>
      <c r="F35" s="9" t="n"/>
      <c r="G35" s="9" t="n"/>
      <c r="H35" s="5" t="n"/>
    </row>
    <row r="36">
      <c r="A36" s="9" t="n"/>
      <c r="B36" s="9" t="n"/>
      <c r="C36" s="10" t="n"/>
      <c r="D36" s="10" t="n"/>
      <c r="E36" s="9" t="n"/>
      <c r="F36" s="9" t="n"/>
      <c r="G36" s="9" t="n"/>
      <c r="H36" s="5" t="n"/>
    </row>
    <row r="37">
      <c r="A37" s="9" t="n"/>
      <c r="B37" s="9" t="n"/>
      <c r="C37" s="10" t="n"/>
      <c r="D37" s="10" t="n"/>
      <c r="E37" s="9" t="n"/>
      <c r="F37" s="9" t="n"/>
      <c r="G37" s="9" t="n"/>
      <c r="H37" s="5" t="n"/>
    </row>
    <row r="38">
      <c r="A38" s="9" t="n"/>
      <c r="B38" s="9" t="n"/>
      <c r="C38" s="10" t="n"/>
      <c r="D38" s="10" t="n"/>
      <c r="E38" s="9" t="n"/>
      <c r="F38" s="9" t="n"/>
      <c r="G38" s="9" t="n"/>
      <c r="H38" s="5" t="n"/>
    </row>
    <row r="39">
      <c r="A39" s="9" t="n"/>
      <c r="B39" s="9" t="n"/>
      <c r="C39" s="10" t="n"/>
      <c r="D39" s="10" t="n"/>
      <c r="E39" s="9" t="n"/>
      <c r="F39" s="9" t="n"/>
      <c r="G39" s="9" t="n"/>
      <c r="H39" s="5" t="n"/>
    </row>
    <row r="40">
      <c r="A40" s="9" t="n"/>
      <c r="B40" s="9" t="n"/>
      <c r="C40" s="10" t="n"/>
      <c r="D40" s="10" t="n"/>
      <c r="E40" s="9" t="n"/>
      <c r="F40" s="9" t="n"/>
      <c r="G40" s="9" t="n"/>
      <c r="H40" s="5" t="n"/>
    </row>
    <row r="41">
      <c r="A41" s="9" t="n"/>
      <c r="B41" s="9" t="n"/>
      <c r="C41" s="10" t="n"/>
      <c r="D41" s="10" t="n"/>
      <c r="E41" s="9" t="n"/>
      <c r="F41" s="9" t="n"/>
      <c r="G41" s="9" t="n"/>
      <c r="H41" s="5" t="n"/>
    </row>
    <row r="42">
      <c r="A42" s="9" t="n"/>
      <c r="B42" s="9" t="n"/>
      <c r="C42" s="10" t="n"/>
      <c r="D42" s="10" t="n"/>
      <c r="E42" s="9" t="n"/>
      <c r="F42" s="9" t="n"/>
      <c r="G42" s="9" t="n"/>
      <c r="H42" s="5" t="n"/>
    </row>
    <row r="43">
      <c r="A43" s="9" t="n"/>
      <c r="B43" s="9" t="n"/>
      <c r="C43" s="10" t="n"/>
      <c r="D43" s="10" t="n"/>
      <c r="E43" s="9" t="n"/>
      <c r="F43" s="9" t="n"/>
      <c r="G43" s="9" t="n"/>
      <c r="H43" s="5" t="n"/>
    </row>
    <row r="44">
      <c r="A44" s="9" t="n"/>
      <c r="B44" s="9" t="n"/>
      <c r="C44" s="10" t="n"/>
      <c r="D44" s="10" t="n"/>
      <c r="E44" s="9" t="n"/>
      <c r="F44" s="9" t="n"/>
      <c r="G44" s="9" t="n"/>
      <c r="H44" s="5" t="n"/>
    </row>
    <row r="45">
      <c r="A45" s="9" t="n"/>
      <c r="B45" s="9" t="n"/>
      <c r="C45" s="10" t="n"/>
      <c r="D45" s="10" t="n"/>
      <c r="E45" s="9" t="n"/>
      <c r="F45" s="9" t="n"/>
      <c r="G45" s="9" t="n"/>
      <c r="H45" s="5" t="n"/>
    </row>
    <row r="46">
      <c r="A46" s="9" t="n"/>
      <c r="B46" s="9" t="n"/>
      <c r="C46" s="10" t="n"/>
      <c r="D46" s="10" t="n"/>
      <c r="E46" s="9" t="n"/>
      <c r="F46" s="9" t="n"/>
      <c r="G46" s="9" t="n"/>
      <c r="H46" s="5" t="n"/>
    </row>
    <row r="47">
      <c r="A47" s="9" t="n"/>
      <c r="B47" s="9" t="n"/>
      <c r="C47" s="10" t="n"/>
      <c r="D47" s="10" t="n"/>
      <c r="E47" s="9" t="n"/>
      <c r="F47" s="9" t="n"/>
      <c r="G47" s="9" t="n"/>
      <c r="H47" s="5" t="n"/>
    </row>
    <row r="48">
      <c r="A48" s="9" t="n"/>
      <c r="B48" s="9" t="n"/>
      <c r="C48" s="10" t="n"/>
      <c r="D48" s="10" t="n"/>
      <c r="E48" s="9" t="n"/>
      <c r="F48" s="9" t="n"/>
      <c r="G48" s="9" t="n"/>
      <c r="H48" s="5" t="n"/>
    </row>
    <row r="49">
      <c r="A49" s="9" t="n"/>
      <c r="B49" s="9" t="n"/>
      <c r="C49" s="10" t="n"/>
      <c r="D49" s="10" t="n"/>
      <c r="E49" s="9" t="n"/>
      <c r="F49" s="9" t="n"/>
      <c r="G49" s="9" t="n"/>
      <c r="H49" s="5" t="n"/>
    </row>
    <row r="50">
      <c r="A50" s="9" t="n"/>
      <c r="B50" s="9" t="n"/>
      <c r="C50" s="10" t="n"/>
      <c r="D50" s="10" t="n"/>
      <c r="E50" s="9" t="n"/>
      <c r="F50" s="9" t="n"/>
      <c r="G50" s="9" t="n"/>
      <c r="H50" s="5" t="n"/>
    </row>
    <row r="51">
      <c r="A51" s="9" t="n"/>
      <c r="B51" s="9" t="n"/>
      <c r="C51" s="10" t="n"/>
      <c r="D51" s="10" t="n"/>
      <c r="E51" s="9" t="n"/>
      <c r="F51" s="9" t="n"/>
      <c r="G51" s="9" t="n"/>
      <c r="H51" s="5" t="n"/>
    </row>
    <row r="52">
      <c r="A52" s="9" t="n"/>
      <c r="B52" s="9" t="n"/>
      <c r="C52" s="10" t="n"/>
      <c r="D52" s="10" t="n"/>
      <c r="E52" s="9" t="n"/>
      <c r="F52" s="9" t="n"/>
      <c r="G52" s="9" t="n"/>
      <c r="H52" s="5" t="n"/>
    </row>
    <row r="53">
      <c r="A53" s="9" t="n"/>
      <c r="B53" s="9" t="n"/>
      <c r="C53" s="10" t="n"/>
      <c r="D53" s="10" t="n"/>
      <c r="E53" s="9" t="n"/>
      <c r="F53" s="9" t="n"/>
      <c r="G53" s="9" t="n"/>
      <c r="H53" s="5" t="n"/>
    </row>
    <row r="54">
      <c r="A54" s="9" t="n"/>
      <c r="B54" s="9" t="n"/>
      <c r="C54" s="10" t="n"/>
      <c r="D54" s="10" t="n"/>
      <c r="E54" s="9" t="n"/>
      <c r="F54" s="9" t="n"/>
      <c r="G54" s="9" t="n"/>
      <c r="H54" s="5" t="n"/>
    </row>
    <row r="55">
      <c r="A55" s="9" t="n"/>
      <c r="B55" s="9" t="n"/>
      <c r="C55" s="10" t="n"/>
      <c r="D55" s="10" t="n"/>
      <c r="E55" s="9" t="n"/>
      <c r="F55" s="9" t="n"/>
      <c r="G55" s="9" t="n"/>
      <c r="H55" s="5" t="n"/>
    </row>
    <row r="56">
      <c r="A56" s="9" t="n"/>
      <c r="B56" s="9" t="n"/>
      <c r="C56" s="10" t="n"/>
      <c r="D56" s="10" t="n"/>
      <c r="E56" s="9" t="n"/>
      <c r="F56" s="9" t="n"/>
      <c r="G56" s="9" t="n"/>
      <c r="H56" s="5" t="n"/>
    </row>
    <row r="57">
      <c r="A57" s="9" t="n"/>
      <c r="B57" s="9" t="n"/>
      <c r="C57" s="10" t="n"/>
      <c r="D57" s="10" t="n"/>
      <c r="E57" s="9" t="n"/>
      <c r="F57" s="9" t="n"/>
      <c r="G57" s="9" t="n"/>
      <c r="H57" s="5" t="n"/>
    </row>
    <row r="58">
      <c r="A58" s="9" t="n"/>
      <c r="B58" s="9" t="n"/>
      <c r="C58" s="10" t="n"/>
      <c r="D58" s="10" t="n"/>
      <c r="E58" s="9" t="n"/>
      <c r="F58" s="9" t="n"/>
      <c r="G58" s="9" t="n"/>
      <c r="H58" s="5" t="n"/>
    </row>
    <row r="59">
      <c r="A59" s="9" t="n"/>
      <c r="B59" s="9" t="n"/>
      <c r="C59" s="10" t="n"/>
      <c r="D59" s="10" t="n"/>
      <c r="E59" s="9" t="n"/>
      <c r="F59" s="9" t="n"/>
      <c r="G59" s="9" t="n"/>
      <c r="H59" s="5" t="n"/>
    </row>
    <row r="60">
      <c r="A60" s="9" t="n"/>
      <c r="B60" s="9" t="n"/>
      <c r="C60" s="10" t="n"/>
      <c r="D60" s="10" t="n"/>
      <c r="E60" s="9" t="n"/>
      <c r="F60" s="9" t="n"/>
      <c r="G60" s="9" t="n"/>
      <c r="H60" s="5" t="n"/>
    </row>
    <row r="61">
      <c r="A61" s="9" t="n"/>
      <c r="B61" s="9" t="n"/>
      <c r="C61" s="10" t="n"/>
      <c r="D61" s="10" t="n"/>
      <c r="E61" s="9" t="n"/>
      <c r="F61" s="9" t="n"/>
      <c r="G61" s="9" t="n"/>
      <c r="H61" s="5" t="n"/>
    </row>
    <row r="62">
      <c r="A62" s="9" t="n"/>
      <c r="B62" s="9" t="n"/>
      <c r="C62" s="10" t="n"/>
      <c r="D62" s="10" t="n"/>
      <c r="E62" s="9" t="n"/>
      <c r="F62" s="9" t="n"/>
      <c r="G62" s="9" t="n"/>
      <c r="H62" s="5" t="n"/>
    </row>
    <row r="63">
      <c r="A63" s="9" t="n"/>
      <c r="B63" s="9" t="n"/>
      <c r="C63" s="10" t="n"/>
      <c r="D63" s="10" t="n"/>
      <c r="E63" s="9" t="n"/>
      <c r="F63" s="9" t="n"/>
      <c r="G63" s="9" t="n"/>
      <c r="H63" s="5" t="n"/>
    </row>
    <row r="64">
      <c r="A64" s="9" t="n"/>
      <c r="B64" s="9" t="n"/>
      <c r="C64" s="10" t="n"/>
      <c r="D64" s="10" t="n"/>
      <c r="E64" s="9" t="n"/>
      <c r="F64" s="9" t="n"/>
      <c r="G64" s="9" t="n"/>
      <c r="H64" s="5" t="n"/>
    </row>
    <row r="65">
      <c r="A65" s="9" t="n"/>
      <c r="B65" s="9" t="n"/>
      <c r="C65" s="10" t="n"/>
      <c r="D65" s="10" t="n"/>
      <c r="E65" s="9" t="n"/>
      <c r="F65" s="9" t="n"/>
      <c r="G65" s="9" t="n"/>
      <c r="H65" s="5" t="n"/>
    </row>
    <row r="66">
      <c r="A66" s="9" t="n"/>
      <c r="B66" s="9" t="n"/>
      <c r="C66" s="10" t="n"/>
      <c r="D66" s="10" t="n"/>
      <c r="E66" s="9" t="n"/>
      <c r="F66" s="9" t="n"/>
      <c r="G66" s="9" t="n"/>
      <c r="H66" s="5" t="n"/>
    </row>
    <row r="67">
      <c r="A67" s="9" t="n"/>
      <c r="B67" s="9" t="n"/>
      <c r="C67" s="10" t="n"/>
      <c r="D67" s="10" t="n"/>
      <c r="E67" s="9" t="n"/>
      <c r="F67" s="9" t="n"/>
      <c r="G67" s="9" t="n"/>
      <c r="H67" s="5" t="n"/>
    </row>
    <row r="68">
      <c r="A68" s="9" t="n"/>
      <c r="B68" s="9" t="n"/>
      <c r="C68" s="10" t="n"/>
      <c r="D68" s="10" t="n"/>
      <c r="E68" s="9" t="n"/>
      <c r="F68" s="9" t="n"/>
      <c r="G68" s="9" t="n"/>
      <c r="H68" s="5" t="n"/>
    </row>
    <row r="69">
      <c r="A69" s="9" t="n"/>
      <c r="B69" s="9" t="n"/>
      <c r="C69" s="10" t="n"/>
      <c r="D69" s="10" t="n"/>
      <c r="E69" s="9" t="n"/>
      <c r="F69" s="9" t="n"/>
      <c r="G69" s="9" t="n"/>
      <c r="H69" s="5" t="n"/>
    </row>
    <row r="70">
      <c r="A70" s="9" t="n"/>
      <c r="B70" s="9" t="n"/>
      <c r="C70" s="10" t="n"/>
      <c r="D70" s="10" t="n"/>
      <c r="E70" s="9" t="n"/>
      <c r="F70" s="9" t="n"/>
      <c r="G70" s="9" t="n"/>
      <c r="H70" s="5" t="n"/>
    </row>
    <row r="71">
      <c r="A71" s="9" t="n"/>
      <c r="B71" s="9" t="n"/>
      <c r="C71" s="10" t="n"/>
      <c r="D71" s="10" t="n"/>
      <c r="E71" s="9" t="n"/>
      <c r="F71" s="9" t="n"/>
      <c r="G71" s="9" t="n"/>
      <c r="H71" s="5" t="n"/>
    </row>
    <row r="72">
      <c r="A72" s="9" t="n"/>
      <c r="B72" s="9" t="n"/>
      <c r="C72" s="10" t="n"/>
      <c r="D72" s="10" t="n"/>
      <c r="E72" s="9" t="n"/>
      <c r="F72" s="9" t="n"/>
      <c r="G72" s="9" t="n"/>
      <c r="H72" s="5" t="n"/>
    </row>
    <row r="73">
      <c r="A73" s="9" t="n"/>
      <c r="B73" s="9" t="n"/>
      <c r="C73" s="10" t="n"/>
      <c r="D73" s="10" t="n"/>
      <c r="E73" s="9" t="n"/>
      <c r="F73" s="9" t="n"/>
      <c r="G73" s="9" t="n"/>
      <c r="H73" s="5" t="n"/>
    </row>
    <row r="74">
      <c r="A74" s="9" t="n"/>
      <c r="B74" s="9" t="n"/>
      <c r="C74" s="10" t="n"/>
      <c r="D74" s="10" t="n"/>
      <c r="E74" s="9" t="n"/>
      <c r="F74" s="9" t="n"/>
      <c r="G74" s="9" t="n"/>
      <c r="H74" s="5" t="n"/>
    </row>
    <row r="75">
      <c r="A75" s="9" t="n"/>
      <c r="B75" s="9" t="n"/>
      <c r="C75" s="10" t="n"/>
      <c r="D75" s="10" t="n"/>
      <c r="E75" s="9" t="n"/>
      <c r="F75" s="9" t="n"/>
      <c r="G75" s="9" t="n"/>
      <c r="H75" s="5" t="n"/>
    </row>
    <row r="76">
      <c r="A76" s="9" t="n"/>
      <c r="B76" s="9" t="n"/>
      <c r="C76" s="10" t="n"/>
      <c r="D76" s="10" t="n"/>
      <c r="E76" s="9" t="n"/>
      <c r="F76" s="9" t="n"/>
      <c r="G76" s="9" t="n"/>
      <c r="H76" s="5" t="n"/>
    </row>
    <row r="77">
      <c r="A77" s="9" t="n"/>
      <c r="B77" s="9" t="n"/>
      <c r="C77" s="10" t="n"/>
      <c r="D77" s="10" t="n"/>
      <c r="E77" s="9" t="n"/>
      <c r="F77" s="9" t="n"/>
      <c r="G77" s="9" t="n"/>
      <c r="H77" s="5" t="n"/>
    </row>
    <row r="78">
      <c r="A78" s="9" t="n"/>
      <c r="B78" s="9" t="n"/>
      <c r="C78" s="10" t="n"/>
      <c r="D78" s="10" t="n"/>
      <c r="E78" s="9" t="n"/>
      <c r="F78" s="9" t="n"/>
      <c r="G78" s="9" t="n"/>
      <c r="H78" s="5" t="n"/>
    </row>
    <row r="79">
      <c r="A79" s="9" t="n"/>
      <c r="B79" s="9" t="n"/>
      <c r="C79" s="10" t="n"/>
      <c r="D79" s="10" t="n"/>
      <c r="E79" s="9" t="n"/>
      <c r="F79" s="9" t="n"/>
      <c r="G79" s="9" t="n"/>
      <c r="H79" s="5" t="n"/>
    </row>
    <row r="80">
      <c r="A80" s="9" t="n"/>
      <c r="B80" s="9" t="n"/>
      <c r="C80" s="10" t="n"/>
      <c r="D80" s="10" t="n"/>
      <c r="E80" s="9" t="n"/>
      <c r="F80" s="9" t="n"/>
      <c r="G80" s="9" t="n"/>
      <c r="H80" s="5" t="n"/>
    </row>
    <row r="81">
      <c r="A81" s="9" t="n"/>
      <c r="B81" s="9" t="n"/>
      <c r="C81" s="10" t="n"/>
      <c r="D81" s="10" t="n"/>
      <c r="E81" s="9" t="n"/>
      <c r="F81" s="9" t="n"/>
      <c r="G81" s="9" t="n"/>
      <c r="H81" s="5" t="n"/>
    </row>
    <row r="82">
      <c r="A82" s="9" t="n"/>
      <c r="B82" s="9" t="n"/>
      <c r="C82" s="10" t="n"/>
      <c r="D82" s="10" t="n"/>
      <c r="E82" s="9" t="n"/>
      <c r="F82" s="9" t="n"/>
      <c r="G82" s="9" t="n"/>
      <c r="H82" s="5" t="n"/>
    </row>
    <row r="83">
      <c r="A83" s="9" t="n"/>
      <c r="B83" s="9" t="n"/>
      <c r="C83" s="10" t="n"/>
      <c r="D83" s="10" t="n"/>
      <c r="E83" s="9" t="n"/>
      <c r="F83" s="9" t="n"/>
      <c r="G83" s="9" t="n"/>
      <c r="H83" s="5" t="n"/>
    </row>
    <row r="84">
      <c r="A84" s="9" t="n"/>
      <c r="B84" s="9" t="n"/>
      <c r="C84" s="10" t="n"/>
      <c r="D84" s="10" t="n"/>
      <c r="E84" s="9" t="n"/>
      <c r="F84" s="9" t="n"/>
      <c r="G84" s="9" t="n"/>
      <c r="H84" s="5" t="n"/>
    </row>
    <row r="85">
      <c r="A85" s="9" t="n"/>
      <c r="B85" s="9" t="n"/>
      <c r="C85" s="10" t="n"/>
      <c r="D85" s="10" t="n"/>
      <c r="E85" s="9" t="n"/>
      <c r="F85" s="9" t="n"/>
      <c r="G85" s="9" t="n"/>
      <c r="H85" s="5" t="n"/>
    </row>
    <row r="86">
      <c r="A86" s="9" t="n"/>
      <c r="B86" s="9" t="n"/>
      <c r="C86" s="10" t="n"/>
      <c r="D86" s="10" t="n"/>
      <c r="E86" s="9" t="n"/>
      <c r="F86" s="9" t="n"/>
      <c r="G86" s="9" t="n"/>
      <c r="H86" s="5" t="n"/>
    </row>
    <row r="87">
      <c r="A87" s="9" t="n"/>
      <c r="B87" s="9" t="n"/>
      <c r="C87" s="10" t="n"/>
      <c r="D87" s="10" t="n"/>
      <c r="E87" s="9" t="n"/>
      <c r="F87" s="9" t="n"/>
      <c r="G87" s="9" t="n"/>
      <c r="H87" s="5" t="n"/>
    </row>
    <row r="88">
      <c r="A88" s="9" t="n"/>
      <c r="B88" s="9" t="n"/>
      <c r="C88" s="10" t="n"/>
      <c r="D88" s="10" t="n"/>
      <c r="E88" s="9" t="n"/>
      <c r="F88" s="9" t="n"/>
      <c r="G88" s="9" t="n"/>
      <c r="H88" s="5" t="n"/>
    </row>
    <row r="89">
      <c r="A89" s="9" t="n"/>
      <c r="B89" s="9" t="n"/>
      <c r="C89" s="10" t="n"/>
      <c r="D89" s="10" t="n"/>
      <c r="E89" s="9" t="n"/>
      <c r="F89" s="9" t="n"/>
      <c r="G89" s="9" t="n"/>
      <c r="H89" s="5" t="n"/>
    </row>
    <row r="90">
      <c r="A90" s="9" t="n"/>
      <c r="B90" s="9" t="n"/>
      <c r="C90" s="10" t="n"/>
      <c r="D90" s="10" t="n"/>
      <c r="E90" s="9" t="n"/>
      <c r="F90" s="9" t="n"/>
      <c r="G90" s="9" t="n"/>
      <c r="H90" s="5" t="n"/>
    </row>
    <row r="91">
      <c r="A91" s="9" t="n"/>
      <c r="B91" s="9" t="n"/>
      <c r="C91" s="10" t="n"/>
      <c r="D91" s="10" t="n"/>
      <c r="E91" s="9" t="n"/>
      <c r="F91" s="9" t="n"/>
      <c r="G91" s="9" t="n"/>
      <c r="H91" s="5" t="n"/>
    </row>
    <row r="92">
      <c r="A92" s="9" t="n"/>
      <c r="B92" s="9" t="n"/>
      <c r="C92" s="10" t="n"/>
      <c r="D92" s="10" t="n"/>
      <c r="E92" s="9" t="n"/>
      <c r="F92" s="9" t="n"/>
      <c r="G92" s="9" t="n"/>
      <c r="H92" s="5" t="n"/>
    </row>
    <row r="93">
      <c r="A93" s="9" t="n"/>
      <c r="B93" s="9" t="n"/>
      <c r="C93" s="10" t="n"/>
      <c r="D93" s="10" t="n"/>
      <c r="E93" s="9" t="n"/>
      <c r="F93" s="9" t="n"/>
      <c r="G93" s="9" t="n"/>
      <c r="H93" s="5" t="n"/>
    </row>
    <row r="94">
      <c r="A94" s="9" t="n"/>
      <c r="B94" s="9" t="n"/>
      <c r="C94" s="10" t="n"/>
      <c r="D94" s="10" t="n"/>
      <c r="E94" s="9" t="n"/>
      <c r="F94" s="9" t="n"/>
      <c r="G94" s="9" t="n"/>
      <c r="H94" s="5" t="n"/>
    </row>
    <row r="95">
      <c r="A95" s="9" t="n"/>
      <c r="B95" s="9" t="n"/>
      <c r="C95" s="10" t="n"/>
      <c r="D95" s="10" t="n"/>
      <c r="E95" s="9" t="n"/>
      <c r="F95" s="9" t="n"/>
      <c r="G95" s="9" t="n"/>
      <c r="H95" s="5" t="n"/>
    </row>
    <row r="96">
      <c r="A96" s="9" t="n"/>
      <c r="B96" s="9" t="n"/>
      <c r="C96" s="10" t="n"/>
      <c r="D96" s="10" t="n"/>
      <c r="E96" s="9" t="n"/>
      <c r="F96" s="9" t="n"/>
      <c r="G96" s="9" t="n"/>
      <c r="H96" s="5" t="n"/>
    </row>
    <row r="97">
      <c r="A97" s="9" t="n"/>
      <c r="B97" s="9" t="n"/>
      <c r="C97" s="10" t="n"/>
      <c r="D97" s="10" t="n"/>
      <c r="E97" s="9" t="n"/>
      <c r="F97" s="9" t="n"/>
      <c r="G97" s="9" t="n"/>
      <c r="H97" s="5" t="n"/>
    </row>
    <row r="98">
      <c r="A98" s="9" t="n"/>
      <c r="B98" s="9" t="n"/>
      <c r="C98" s="10" t="n"/>
      <c r="D98" s="10" t="n"/>
      <c r="E98" s="9" t="n"/>
      <c r="F98" s="9" t="n"/>
      <c r="G98" s="9" t="n"/>
      <c r="H98" s="5" t="n"/>
    </row>
    <row r="99">
      <c r="A99" s="9" t="n"/>
      <c r="B99" s="9" t="n"/>
      <c r="C99" s="10" t="n"/>
      <c r="D99" s="10" t="n"/>
      <c r="E99" s="9" t="n"/>
      <c r="F99" s="9" t="n"/>
      <c r="G99" s="9" t="n"/>
      <c r="H99" s="5" t="n"/>
    </row>
    <row r="100">
      <c r="A100" s="9" t="n"/>
      <c r="B100" s="9" t="n"/>
      <c r="C100" s="10" t="n"/>
      <c r="D100" s="10" t="n"/>
      <c r="E100" s="9" t="n"/>
      <c r="F100" s="9" t="n"/>
      <c r="G100" s="9" t="n"/>
      <c r="H100" s="5" t="n"/>
    </row>
    <row r="101">
      <c r="A101" s="9" t="n"/>
      <c r="B101" s="9" t="n"/>
      <c r="C101" s="10" t="n"/>
      <c r="D101" s="10" t="n"/>
      <c r="E101" s="9" t="n"/>
      <c r="F101" s="9" t="n"/>
      <c r="G101" s="9" t="n"/>
      <c r="H101" s="5" t="n"/>
    </row>
    <row r="102">
      <c r="A102" s="9" t="n"/>
      <c r="B102" s="9" t="n"/>
      <c r="C102" s="10" t="n"/>
      <c r="D102" s="10" t="n"/>
      <c r="E102" s="9" t="n"/>
      <c r="F102" s="9" t="n"/>
      <c r="G102" s="9" t="n"/>
      <c r="H102" s="5" t="n"/>
    </row>
    <row r="103">
      <c r="A103" s="9" t="n"/>
      <c r="B103" s="9" t="n"/>
      <c r="C103" s="10" t="n"/>
      <c r="D103" s="10" t="n"/>
      <c r="E103" s="9" t="n"/>
      <c r="F103" s="9" t="n"/>
      <c r="G103" s="9" t="n"/>
      <c r="H103" s="5" t="n"/>
    </row>
    <row r="104">
      <c r="A104" s="9" t="n"/>
      <c r="B104" s="9" t="n"/>
      <c r="C104" s="10" t="n"/>
      <c r="D104" s="10" t="n"/>
      <c r="E104" s="9" t="n"/>
      <c r="F104" s="9" t="n"/>
      <c r="G104" s="9" t="n"/>
      <c r="H104" s="5" t="n"/>
    </row>
    <row r="105">
      <c r="A105" s="9" t="n"/>
      <c r="B105" s="9" t="n"/>
      <c r="C105" s="10" t="n"/>
      <c r="D105" s="10" t="n"/>
      <c r="E105" s="9" t="n"/>
      <c r="F105" s="9" t="n"/>
      <c r="G105" s="9" t="n"/>
      <c r="H105" s="5" t="n"/>
    </row>
    <row r="106">
      <c r="A106" s="9" t="n"/>
      <c r="B106" s="9" t="n"/>
      <c r="C106" s="10" t="n"/>
      <c r="D106" s="10" t="n"/>
      <c r="E106" s="9" t="n"/>
      <c r="F106" s="9" t="n"/>
      <c r="G106" s="9" t="n"/>
      <c r="H106" s="5" t="n"/>
    </row>
    <row r="107">
      <c r="A107" s="9" t="n"/>
      <c r="B107" s="9" t="n"/>
      <c r="C107" s="10" t="n"/>
      <c r="D107" s="10" t="n"/>
      <c r="E107" s="9" t="n"/>
      <c r="F107" s="9" t="n"/>
      <c r="G107" s="9" t="n"/>
      <c r="H107" s="5" t="n"/>
    </row>
    <row r="108">
      <c r="A108" s="9" t="n"/>
      <c r="B108" s="9" t="n"/>
      <c r="C108" s="10" t="n"/>
      <c r="D108" s="10" t="n"/>
      <c r="E108" s="9" t="n"/>
      <c r="F108" s="9" t="n"/>
      <c r="G108" s="9" t="n"/>
      <c r="H108" s="5" t="n"/>
    </row>
    <row r="109">
      <c r="A109" s="9" t="n"/>
      <c r="B109" s="9" t="n"/>
      <c r="C109" s="10" t="n"/>
      <c r="D109" s="10" t="n"/>
      <c r="E109" s="9" t="n"/>
      <c r="F109" s="9" t="n"/>
      <c r="G109" s="9" t="n"/>
      <c r="H109" s="5" t="n"/>
    </row>
    <row r="110">
      <c r="A110" s="9" t="n"/>
      <c r="B110" s="9" t="n"/>
      <c r="C110" s="10" t="n"/>
      <c r="D110" s="10" t="n"/>
      <c r="E110" s="9" t="n"/>
      <c r="F110" s="9" t="n"/>
      <c r="G110" s="9" t="n"/>
      <c r="H110" s="5" t="n"/>
    </row>
    <row r="111">
      <c r="A111" s="9" t="n"/>
      <c r="B111" s="9" t="n"/>
      <c r="C111" s="10" t="n"/>
      <c r="D111" s="10" t="n"/>
      <c r="E111" s="9" t="n"/>
      <c r="F111" s="9" t="n"/>
      <c r="G111" s="9" t="n"/>
      <c r="H111" s="5" t="n"/>
    </row>
    <row r="112">
      <c r="A112" s="9" t="n"/>
      <c r="B112" s="9" t="n"/>
      <c r="C112" s="10" t="n"/>
      <c r="D112" s="10" t="n"/>
      <c r="E112" s="9" t="n"/>
      <c r="F112" s="9" t="n"/>
      <c r="G112" s="9" t="n"/>
      <c r="H112" s="5" t="n"/>
    </row>
    <row r="113">
      <c r="A113" s="9" t="n"/>
      <c r="B113" s="9" t="n"/>
      <c r="C113" s="10" t="n"/>
      <c r="D113" s="10" t="n"/>
      <c r="E113" s="9" t="n"/>
      <c r="F113" s="9" t="n"/>
      <c r="G113" s="9" t="n"/>
      <c r="H113" s="5" t="n"/>
    </row>
    <row r="114">
      <c r="A114" s="9" t="n"/>
      <c r="B114" s="9" t="n"/>
      <c r="C114" s="10" t="n"/>
      <c r="D114" s="10" t="n"/>
      <c r="E114" s="9" t="n"/>
      <c r="F114" s="9" t="n"/>
      <c r="G114" s="9" t="n"/>
      <c r="H114" s="5" t="n"/>
    </row>
    <row r="115">
      <c r="A115" s="9" t="n"/>
      <c r="B115" s="9" t="n"/>
      <c r="C115" s="10" t="n"/>
      <c r="D115" s="10" t="n"/>
      <c r="E115" s="9" t="n"/>
      <c r="F115" s="9" t="n"/>
      <c r="G115" s="9" t="n"/>
      <c r="H115" s="5" t="n"/>
    </row>
    <row r="116">
      <c r="A116" s="9" t="n"/>
      <c r="B116" s="9" t="n"/>
      <c r="C116" s="10" t="n"/>
      <c r="D116" s="10" t="n"/>
      <c r="E116" s="9" t="n"/>
      <c r="F116" s="9" t="n"/>
      <c r="G116" s="9" t="n"/>
      <c r="H116" s="5" t="n"/>
    </row>
    <row r="117">
      <c r="A117" s="9" t="n"/>
      <c r="B117" s="9" t="n"/>
      <c r="C117" s="10" t="n"/>
      <c r="D117" s="10" t="n"/>
      <c r="E117" s="9" t="n"/>
      <c r="F117" s="9" t="n"/>
      <c r="G117" s="9" t="n"/>
      <c r="H117" s="5" t="n"/>
    </row>
    <row r="118">
      <c r="A118" s="9" t="n"/>
      <c r="B118" s="9" t="n"/>
      <c r="C118" s="10" t="n"/>
      <c r="D118" s="10" t="n"/>
      <c r="E118" s="9" t="n"/>
      <c r="F118" s="9" t="n"/>
      <c r="G118" s="9" t="n"/>
      <c r="H118" s="5" t="n"/>
    </row>
    <row r="119">
      <c r="A119" s="9" t="n"/>
      <c r="B119" s="9" t="n"/>
      <c r="C119" s="10" t="n"/>
      <c r="D119" s="10" t="n"/>
      <c r="E119" s="9" t="n"/>
      <c r="F119" s="9" t="n"/>
      <c r="G119" s="9" t="n"/>
      <c r="H119" s="5" t="n"/>
    </row>
    <row r="120">
      <c r="A120" s="9" t="n"/>
      <c r="B120" s="9" t="n"/>
      <c r="C120" s="10" t="n"/>
      <c r="D120" s="10" t="n"/>
      <c r="E120" s="9" t="n"/>
      <c r="F120" s="9" t="n"/>
      <c r="G120" s="9" t="n"/>
      <c r="H120" s="5" t="n"/>
    </row>
    <row r="121">
      <c r="A121" s="9" t="n"/>
      <c r="B121" s="9" t="n"/>
      <c r="C121" s="10" t="n"/>
      <c r="D121" s="10" t="n"/>
      <c r="E121" s="9" t="n"/>
      <c r="F121" s="9" t="n"/>
      <c r="G121" s="9" t="n"/>
      <c r="H121" s="5" t="n"/>
    </row>
    <row r="122">
      <c r="A122" s="9" t="n"/>
      <c r="B122" s="9" t="n"/>
      <c r="C122" s="10" t="n"/>
      <c r="D122" s="10" t="n"/>
      <c r="E122" s="9" t="n"/>
      <c r="F122" s="9" t="n"/>
      <c r="G122" s="9" t="n"/>
      <c r="H122" s="5" t="n"/>
    </row>
    <row r="123">
      <c r="A123" s="9" t="n"/>
      <c r="B123" s="9" t="n"/>
      <c r="C123" s="10" t="n"/>
      <c r="D123" s="10" t="n"/>
      <c r="E123" s="9" t="n"/>
      <c r="F123" s="9" t="n"/>
      <c r="G123" s="9" t="n"/>
      <c r="H123" s="5" t="n"/>
    </row>
    <row r="124">
      <c r="A124" s="9" t="n"/>
      <c r="B124" s="9" t="n"/>
      <c r="C124" s="10" t="n"/>
      <c r="D124" s="10" t="n"/>
      <c r="E124" s="9" t="n"/>
      <c r="F124" s="9" t="n"/>
      <c r="G124" s="9" t="n"/>
      <c r="H124" s="5" t="n"/>
    </row>
    <row r="125">
      <c r="A125" s="9" t="n"/>
      <c r="B125" s="9" t="n"/>
      <c r="C125" s="10" t="n"/>
      <c r="D125" s="10" t="n"/>
      <c r="E125" s="9" t="n"/>
      <c r="F125" s="9" t="n"/>
      <c r="G125" s="9" t="n"/>
      <c r="H125" s="5" t="n"/>
    </row>
    <row r="126">
      <c r="A126" s="9" t="n"/>
      <c r="B126" s="9" t="n"/>
      <c r="C126" s="10" t="n"/>
      <c r="D126" s="10" t="n"/>
      <c r="E126" s="9" t="n"/>
      <c r="F126" s="9" t="n"/>
      <c r="G126" s="9" t="n"/>
      <c r="H126" s="5" t="n"/>
    </row>
    <row r="127">
      <c r="A127" s="9" t="n"/>
      <c r="B127" s="9" t="n"/>
      <c r="C127" s="10" t="n"/>
      <c r="D127" s="10" t="n"/>
      <c r="E127" s="9" t="n"/>
      <c r="F127" s="9" t="n"/>
      <c r="G127" s="9" t="n"/>
      <c r="H127" s="5" t="n"/>
    </row>
    <row r="128">
      <c r="A128" s="9" t="n"/>
      <c r="B128" s="9" t="n"/>
      <c r="C128" s="10" t="n"/>
      <c r="D128" s="10" t="n"/>
      <c r="E128" s="9" t="n"/>
      <c r="F128" s="9" t="n"/>
      <c r="G128" s="9" t="n"/>
      <c r="H128" s="5" t="n"/>
    </row>
    <row r="129">
      <c r="A129" s="9" t="n"/>
      <c r="B129" s="9" t="n"/>
      <c r="C129" s="10" t="n"/>
      <c r="D129" s="10" t="n"/>
      <c r="E129" s="9" t="n"/>
      <c r="F129" s="9" t="n"/>
      <c r="G129" s="9" t="n"/>
      <c r="H129" s="5" t="n"/>
    </row>
    <row r="130">
      <c r="A130" s="9" t="n"/>
      <c r="B130" s="9" t="n"/>
      <c r="C130" s="10" t="n"/>
      <c r="D130" s="10" t="n"/>
      <c r="E130" s="9" t="n"/>
      <c r="F130" s="9" t="n"/>
      <c r="G130" s="9" t="n"/>
      <c r="H130" s="5" t="n"/>
    </row>
    <row r="131">
      <c r="A131" s="9" t="n"/>
      <c r="B131" s="9" t="n"/>
      <c r="C131" s="10" t="n"/>
      <c r="D131" s="10" t="n"/>
      <c r="E131" s="9" t="n"/>
      <c r="F131" s="9" t="n"/>
      <c r="G131" s="9" t="n"/>
      <c r="H131" s="5" t="n"/>
    </row>
    <row r="132">
      <c r="A132" s="9" t="n"/>
      <c r="B132" s="9" t="n"/>
      <c r="C132" s="10" t="n"/>
      <c r="D132" s="10" t="n"/>
      <c r="E132" s="9" t="n"/>
      <c r="F132" s="9" t="n"/>
      <c r="G132" s="9" t="n"/>
      <c r="H132" s="5" t="n"/>
    </row>
    <row r="133">
      <c r="A133" s="9" t="n"/>
      <c r="B133" s="9" t="n"/>
      <c r="C133" s="10" t="n"/>
      <c r="D133" s="10" t="n"/>
      <c r="E133" s="9" t="n"/>
      <c r="F133" s="9" t="n"/>
      <c r="G133" s="9" t="n"/>
      <c r="H133" s="5" t="n"/>
    </row>
    <row r="134">
      <c r="A134" s="9" t="n"/>
      <c r="B134" s="9" t="n"/>
      <c r="C134" s="10" t="n"/>
      <c r="D134" s="10" t="n"/>
      <c r="E134" s="9" t="n"/>
      <c r="F134" s="9" t="n"/>
      <c r="G134" s="9" t="n"/>
      <c r="H134" s="5" t="n"/>
    </row>
    <row r="135">
      <c r="A135" s="9" t="n"/>
      <c r="B135" s="9" t="n"/>
      <c r="C135" s="10" t="n"/>
      <c r="D135" s="10" t="n"/>
      <c r="E135" s="9" t="n"/>
      <c r="F135" s="9" t="n"/>
      <c r="G135" s="9" t="n"/>
      <c r="H135" s="5" t="n"/>
    </row>
    <row r="136">
      <c r="A136" s="9" t="n"/>
      <c r="B136" s="9" t="n"/>
      <c r="C136" s="10" t="n"/>
      <c r="D136" s="10" t="n"/>
      <c r="E136" s="9" t="n"/>
      <c r="F136" s="9" t="n"/>
      <c r="G136" s="9" t="n"/>
      <c r="H136" s="5" t="n"/>
    </row>
    <row r="137">
      <c r="A137" s="9" t="n"/>
      <c r="B137" s="9" t="n"/>
      <c r="C137" s="10" t="n"/>
      <c r="D137" s="10" t="n"/>
      <c r="E137" s="9" t="n"/>
      <c r="F137" s="9" t="n"/>
      <c r="G137" s="9" t="n"/>
      <c r="H137" s="5" t="n"/>
    </row>
    <row r="138">
      <c r="A138" s="9" t="n"/>
      <c r="B138" s="9" t="n"/>
      <c r="C138" s="10" t="n"/>
      <c r="D138" s="10" t="n"/>
      <c r="E138" s="9" t="n"/>
      <c r="F138" s="9" t="n"/>
      <c r="G138" s="9" t="n"/>
      <c r="H138" s="5" t="n"/>
    </row>
    <row r="139">
      <c r="A139" s="9" t="n"/>
      <c r="B139" s="9" t="n"/>
      <c r="C139" s="10" t="n"/>
      <c r="D139" s="10" t="n"/>
      <c r="E139" s="9" t="n"/>
      <c r="F139" s="9" t="n"/>
      <c r="G139" s="9" t="n"/>
      <c r="H139" s="5" t="n"/>
    </row>
    <row r="140">
      <c r="A140" s="9" t="n"/>
      <c r="B140" s="9" t="n"/>
      <c r="C140" s="10" t="n"/>
      <c r="D140" s="10" t="n"/>
      <c r="E140" s="9" t="n"/>
      <c r="F140" s="9" t="n"/>
      <c r="G140" s="9" t="n"/>
      <c r="H140" s="5" t="n"/>
    </row>
    <row r="141">
      <c r="A141" s="9" t="n"/>
      <c r="B141" s="9" t="n"/>
      <c r="C141" s="10" t="n"/>
      <c r="D141" s="10" t="n"/>
      <c r="E141" s="9" t="n"/>
      <c r="F141" s="9" t="n"/>
      <c r="G141" s="9" t="n"/>
      <c r="H141" s="5" t="n"/>
    </row>
    <row r="142">
      <c r="A142" s="9" t="n"/>
      <c r="B142" s="9" t="n"/>
      <c r="C142" s="10" t="n"/>
      <c r="D142" s="10" t="n"/>
      <c r="E142" s="9" t="n"/>
      <c r="F142" s="9" t="n"/>
      <c r="G142" s="9" t="n"/>
      <c r="H142" s="5" t="n"/>
    </row>
    <row r="143">
      <c r="A143" s="9" t="n"/>
      <c r="B143" s="9" t="n"/>
      <c r="C143" s="10" t="n"/>
      <c r="D143" s="10" t="n"/>
      <c r="E143" s="9" t="n"/>
      <c r="F143" s="9" t="n"/>
      <c r="G143" s="9" t="n"/>
      <c r="H143" s="5" t="n"/>
    </row>
    <row r="144">
      <c r="A144" s="9" t="n"/>
      <c r="B144" s="9" t="n"/>
      <c r="C144" s="10" t="n"/>
      <c r="D144" s="10" t="n"/>
      <c r="E144" s="9" t="n"/>
      <c r="F144" s="9" t="n"/>
      <c r="G144" s="9" t="n"/>
      <c r="H144" s="5" t="n"/>
    </row>
    <row r="145">
      <c r="A145" s="9" t="n"/>
      <c r="B145" s="9" t="n"/>
      <c r="C145" s="10" t="n"/>
      <c r="D145" s="10" t="n"/>
      <c r="E145" s="9" t="n"/>
      <c r="F145" s="9" t="n"/>
      <c r="G145" s="9" t="n"/>
      <c r="H145" s="5" t="n"/>
    </row>
    <row r="146">
      <c r="A146" s="9" t="n"/>
      <c r="B146" s="9" t="n"/>
      <c r="C146" s="10" t="n"/>
      <c r="D146" s="10" t="n"/>
      <c r="E146" s="9" t="n"/>
      <c r="F146" s="9" t="n"/>
      <c r="G146" s="9" t="n"/>
      <c r="H146" s="5" t="n"/>
    </row>
    <row r="147">
      <c r="A147" s="9" t="n"/>
      <c r="B147" s="9" t="n"/>
      <c r="C147" s="10" t="n"/>
      <c r="D147" s="10" t="n"/>
      <c r="E147" s="9" t="n"/>
      <c r="F147" s="9" t="n"/>
      <c r="G147" s="9" t="n"/>
      <c r="H147" s="5" t="n"/>
    </row>
    <row r="148">
      <c r="A148" s="9" t="n"/>
      <c r="B148" s="9" t="n"/>
      <c r="C148" s="10" t="n"/>
      <c r="D148" s="10" t="n"/>
      <c r="E148" s="9" t="n"/>
      <c r="F148" s="9" t="n"/>
      <c r="G148" s="9" t="n"/>
      <c r="H148" s="5" t="n"/>
    </row>
    <row r="149">
      <c r="A149" s="9" t="n"/>
      <c r="B149" s="9" t="n"/>
      <c r="C149" s="10" t="n"/>
      <c r="D149" s="10" t="n"/>
      <c r="E149" s="9" t="n"/>
      <c r="F149" s="9" t="n"/>
      <c r="G149" s="9" t="n"/>
      <c r="H149" s="5" t="n"/>
    </row>
    <row r="150">
      <c r="A150" s="9" t="n"/>
      <c r="B150" s="9" t="n"/>
      <c r="C150" s="10" t="n"/>
      <c r="D150" s="10" t="n"/>
      <c r="E150" s="9" t="n"/>
      <c r="F150" s="9" t="n"/>
      <c r="G150" s="9" t="n"/>
      <c r="H150" s="5" t="n"/>
    </row>
    <row r="151">
      <c r="A151" s="9" t="n"/>
      <c r="B151" s="9" t="n"/>
      <c r="C151" s="10" t="n"/>
      <c r="D151" s="10" t="n"/>
      <c r="E151" s="9" t="n"/>
      <c r="F151" s="9" t="n"/>
      <c r="G151" s="9" t="n"/>
      <c r="H151" s="5" t="n"/>
    </row>
    <row r="152">
      <c r="A152" s="9" t="n"/>
      <c r="B152" s="9" t="n"/>
      <c r="C152" s="10" t="n"/>
      <c r="D152" s="10" t="n"/>
      <c r="E152" s="9" t="n"/>
      <c r="F152" s="9" t="n"/>
      <c r="G152" s="9" t="n"/>
      <c r="H152" s="5" t="n"/>
    </row>
    <row r="153">
      <c r="A153" s="9" t="n"/>
      <c r="B153" s="9" t="n"/>
      <c r="C153" s="10" t="n"/>
      <c r="D153" s="10" t="n"/>
      <c r="E153" s="9" t="n"/>
      <c r="F153" s="9" t="n"/>
      <c r="G153" s="9" t="n"/>
      <c r="H153" s="5" t="n"/>
    </row>
    <row r="154">
      <c r="A154" s="9" t="n"/>
      <c r="B154" s="9" t="n"/>
      <c r="C154" s="10" t="n"/>
      <c r="D154" s="10" t="n"/>
      <c r="E154" s="9" t="n"/>
      <c r="F154" s="9" t="n"/>
      <c r="G154" s="9" t="n"/>
      <c r="H154" s="5" t="n"/>
    </row>
    <row r="155">
      <c r="A155" s="9" t="n"/>
      <c r="B155" s="9" t="n"/>
      <c r="C155" s="10" t="n"/>
      <c r="D155" s="10" t="n"/>
      <c r="E155" s="9" t="n"/>
      <c r="F155" s="9" t="n"/>
      <c r="G155" s="9" t="n"/>
      <c r="H155" s="5" t="n"/>
    </row>
    <row r="156">
      <c r="A156" s="9" t="n"/>
      <c r="B156" s="9" t="n"/>
      <c r="C156" s="10" t="n"/>
      <c r="D156" s="10" t="n"/>
      <c r="E156" s="9" t="n"/>
      <c r="F156" s="9" t="n"/>
      <c r="G156" s="9" t="n"/>
      <c r="H156" s="5" t="n"/>
    </row>
    <row r="157">
      <c r="A157" s="9" t="n"/>
      <c r="B157" s="9" t="n"/>
      <c r="C157" s="10" t="n"/>
      <c r="D157" s="10" t="n"/>
      <c r="E157" s="9" t="n"/>
      <c r="F157" s="9" t="n"/>
      <c r="G157" s="9" t="n"/>
      <c r="H157" s="5" t="n"/>
    </row>
    <row r="158">
      <c r="A158" s="9" t="n"/>
      <c r="B158" s="9" t="n"/>
      <c r="C158" s="10" t="n"/>
      <c r="D158" s="10" t="n"/>
      <c r="E158" s="9" t="n"/>
      <c r="F158" s="9" t="n"/>
      <c r="G158" s="9" t="n"/>
      <c r="H158" s="5" t="n"/>
    </row>
    <row r="159">
      <c r="A159" s="9" t="n"/>
      <c r="B159" s="9" t="n"/>
      <c r="C159" s="10" t="n"/>
      <c r="D159" s="10" t="n"/>
      <c r="E159" s="9" t="n"/>
      <c r="F159" s="9" t="n"/>
      <c r="G159" s="9" t="n"/>
      <c r="H159" s="5" t="n"/>
    </row>
    <row r="160">
      <c r="A160" s="9" t="n"/>
      <c r="B160" s="9" t="n"/>
      <c r="C160" s="10" t="n"/>
      <c r="D160" s="10" t="n"/>
      <c r="E160" s="9" t="n"/>
      <c r="F160" s="9" t="n"/>
      <c r="G160" s="9" t="n"/>
      <c r="H160" s="5" t="n"/>
    </row>
    <row r="161">
      <c r="A161" s="9" t="n"/>
      <c r="B161" s="9" t="n"/>
      <c r="C161" s="10" t="n"/>
      <c r="D161" s="10" t="n"/>
      <c r="E161" s="9" t="n"/>
      <c r="F161" s="9" t="n"/>
      <c r="G161" s="9" t="n"/>
      <c r="H161" s="5" t="n"/>
    </row>
    <row r="162">
      <c r="A162" s="9" t="n"/>
      <c r="B162" s="9" t="n"/>
      <c r="C162" s="10" t="n"/>
      <c r="D162" s="10" t="n"/>
      <c r="E162" s="9" t="n"/>
      <c r="F162" s="9" t="n"/>
      <c r="G162" s="9" t="n"/>
      <c r="H162" s="5" t="n"/>
    </row>
    <row r="163">
      <c r="A163" s="9" t="n"/>
      <c r="B163" s="9" t="n"/>
      <c r="C163" s="10" t="n"/>
      <c r="D163" s="10" t="n"/>
      <c r="E163" s="9" t="n"/>
      <c r="F163" s="9" t="n"/>
      <c r="G163" s="9" t="n"/>
      <c r="H163" s="5" t="n"/>
    </row>
    <row r="164">
      <c r="A164" s="9" t="n"/>
      <c r="B164" s="9" t="n"/>
      <c r="C164" s="10" t="n"/>
      <c r="D164" s="10" t="n"/>
      <c r="E164" s="9" t="n"/>
      <c r="F164" s="9" t="n"/>
      <c r="G164" s="9" t="n"/>
      <c r="H164" s="5" t="n"/>
    </row>
    <row r="165">
      <c r="A165" s="9" t="n"/>
      <c r="B165" s="9" t="n"/>
      <c r="C165" s="10" t="n"/>
      <c r="D165" s="10" t="n"/>
      <c r="E165" s="9" t="n"/>
      <c r="F165" s="9" t="n"/>
      <c r="G165" s="9" t="n"/>
      <c r="H165" s="5" t="n"/>
    </row>
    <row r="166">
      <c r="A166" s="9" t="n"/>
      <c r="B166" s="9" t="n"/>
      <c r="C166" s="10" t="n"/>
      <c r="D166" s="10" t="n"/>
      <c r="E166" s="9" t="n"/>
      <c r="F166" s="9" t="n"/>
      <c r="G166" s="9" t="n"/>
      <c r="H166" s="5" t="n"/>
    </row>
    <row r="167">
      <c r="A167" s="9" t="n"/>
      <c r="B167" s="9" t="n"/>
      <c r="C167" s="10" t="n"/>
      <c r="D167" s="10" t="n"/>
      <c r="E167" s="9" t="n"/>
      <c r="F167" s="9" t="n"/>
      <c r="G167" s="9" t="n"/>
      <c r="H167" s="5" t="n"/>
    </row>
    <row r="168">
      <c r="A168" s="9" t="n"/>
      <c r="B168" s="9" t="n"/>
      <c r="C168" s="10" t="n"/>
      <c r="D168" s="10" t="n"/>
      <c r="E168" s="9" t="n"/>
      <c r="F168" s="9" t="n"/>
      <c r="G168" s="9" t="n"/>
      <c r="H168" s="5" t="n"/>
    </row>
    <row r="169">
      <c r="A169" s="9" t="n"/>
      <c r="B169" s="9" t="n"/>
      <c r="C169" s="10" t="n"/>
      <c r="D169" s="10" t="n"/>
      <c r="E169" s="9" t="n"/>
      <c r="F169" s="9" t="n"/>
      <c r="G169" s="9" t="n"/>
      <c r="H169" s="5" t="n"/>
    </row>
    <row r="170">
      <c r="A170" s="9" t="n"/>
      <c r="B170" s="9" t="n"/>
      <c r="C170" s="10" t="n"/>
      <c r="D170" s="10" t="n"/>
      <c r="E170" s="9" t="n"/>
      <c r="F170" s="9" t="n"/>
      <c r="G170" s="9" t="n"/>
      <c r="H170" s="5" t="n"/>
    </row>
    <row r="171">
      <c r="A171" s="9" t="n"/>
      <c r="B171" s="9" t="n"/>
      <c r="C171" s="10" t="n"/>
      <c r="D171" s="10" t="n"/>
      <c r="E171" s="9" t="n"/>
      <c r="F171" s="9" t="n"/>
      <c r="G171" s="9" t="n"/>
      <c r="H171" s="5" t="n"/>
    </row>
    <row r="172">
      <c r="A172" s="9" t="n"/>
      <c r="B172" s="9" t="n"/>
      <c r="C172" s="10" t="n"/>
      <c r="D172" s="10" t="n"/>
      <c r="E172" s="9" t="n"/>
      <c r="F172" s="9" t="n"/>
      <c r="G172" s="9" t="n"/>
      <c r="H172" s="5" t="n"/>
    </row>
    <row r="173">
      <c r="A173" s="9" t="n"/>
      <c r="B173" s="9" t="n"/>
      <c r="C173" s="10" t="n"/>
      <c r="D173" s="10" t="n"/>
      <c r="E173" s="9" t="n"/>
      <c r="F173" s="9" t="n"/>
      <c r="G173" s="9" t="n"/>
      <c r="H173" s="5" t="n"/>
    </row>
    <row r="174">
      <c r="A174" s="9" t="n"/>
      <c r="B174" s="9" t="n"/>
      <c r="C174" s="10" t="n"/>
      <c r="D174" s="10" t="n"/>
      <c r="E174" s="9" t="n"/>
      <c r="F174" s="9" t="n"/>
      <c r="G174" s="9" t="n"/>
      <c r="H174" s="5" t="n"/>
    </row>
    <row r="175">
      <c r="A175" s="9" t="n"/>
      <c r="B175" s="9" t="n"/>
      <c r="C175" s="10" t="n"/>
      <c r="D175" s="10" t="n"/>
      <c r="E175" s="9" t="n"/>
      <c r="F175" s="9" t="n"/>
      <c r="G175" s="9" t="n"/>
      <c r="H175" s="5" t="n"/>
    </row>
    <row r="176">
      <c r="A176" s="9" t="n"/>
      <c r="B176" s="9" t="n"/>
      <c r="C176" s="10" t="n"/>
      <c r="D176" s="10" t="n"/>
      <c r="E176" s="9" t="n"/>
      <c r="F176" s="9" t="n"/>
      <c r="G176" s="9" t="n"/>
      <c r="H176" s="5" t="n"/>
    </row>
    <row r="177">
      <c r="A177" s="9" t="n"/>
      <c r="B177" s="9" t="n"/>
      <c r="C177" s="10" t="n"/>
      <c r="D177" s="10" t="n"/>
      <c r="E177" s="9" t="n"/>
      <c r="F177" s="9" t="n"/>
      <c r="G177" s="9" t="n"/>
      <c r="H177" s="5" t="n"/>
    </row>
    <row r="178">
      <c r="A178" s="9" t="n"/>
      <c r="B178" s="9" t="n"/>
      <c r="C178" s="10" t="n"/>
      <c r="D178" s="10" t="n"/>
      <c r="E178" s="9" t="n"/>
      <c r="F178" s="9" t="n"/>
      <c r="G178" s="9" t="n"/>
      <c r="H178" s="5" t="n"/>
    </row>
    <row r="179">
      <c r="A179" s="9" t="n"/>
      <c r="B179" s="9" t="n"/>
      <c r="C179" s="10" t="n"/>
      <c r="D179" s="10" t="n"/>
      <c r="E179" s="9" t="n"/>
      <c r="F179" s="9" t="n"/>
      <c r="G179" s="9" t="n"/>
      <c r="H179" s="5" t="n"/>
    </row>
    <row r="180">
      <c r="A180" s="9" t="n"/>
      <c r="B180" s="9" t="n"/>
      <c r="C180" s="10" t="n"/>
      <c r="D180" s="10" t="n"/>
      <c r="E180" s="9" t="n"/>
      <c r="F180" s="9" t="n"/>
      <c r="G180" s="9" t="n"/>
      <c r="H180" s="5" t="n"/>
    </row>
    <row r="181">
      <c r="A181" s="9" t="n"/>
      <c r="B181" s="9" t="n"/>
      <c r="C181" s="10" t="n"/>
      <c r="D181" s="10" t="n"/>
      <c r="E181" s="9" t="n"/>
      <c r="F181" s="9" t="n"/>
      <c r="G181" s="9" t="n"/>
      <c r="H181" s="5" t="n"/>
    </row>
    <row r="182">
      <c r="A182" s="9" t="n"/>
      <c r="B182" s="9" t="n"/>
      <c r="C182" s="10" t="n"/>
      <c r="D182" s="10" t="n"/>
      <c r="E182" s="9" t="n"/>
      <c r="F182" s="9" t="n"/>
      <c r="G182" s="9" t="n"/>
      <c r="H182" s="5" t="n"/>
    </row>
    <row r="183">
      <c r="A183" s="9" t="n"/>
      <c r="B183" s="9" t="n"/>
      <c r="C183" s="10" t="n"/>
      <c r="D183" s="10" t="n"/>
      <c r="E183" s="9" t="n"/>
      <c r="F183" s="9" t="n"/>
      <c r="G183" s="9" t="n"/>
      <c r="H183" s="5" t="n"/>
    </row>
    <row r="184">
      <c r="A184" s="9" t="n"/>
      <c r="B184" s="9" t="n"/>
      <c r="C184" s="10" t="n"/>
      <c r="D184" s="10" t="n"/>
      <c r="E184" s="9" t="n"/>
      <c r="F184" s="9" t="n"/>
      <c r="G184" s="9" t="n"/>
      <c r="H184" s="5" t="n"/>
    </row>
    <row r="185">
      <c r="A185" s="9" t="n"/>
      <c r="B185" s="9" t="n"/>
      <c r="C185" s="10" t="n"/>
      <c r="D185" s="10" t="n"/>
      <c r="E185" s="9" t="n"/>
      <c r="F185" s="9" t="n"/>
      <c r="G185" s="9" t="n"/>
      <c r="H185" s="5" t="n"/>
    </row>
    <row r="186">
      <c r="A186" s="9" t="n"/>
      <c r="B186" s="9" t="n"/>
      <c r="C186" s="10" t="n"/>
      <c r="D186" s="10" t="n"/>
      <c r="E186" s="9" t="n"/>
      <c r="F186" s="9" t="n"/>
      <c r="G186" s="9" t="n"/>
      <c r="H186" s="5" t="n"/>
    </row>
    <row r="187">
      <c r="A187" s="9" t="n"/>
      <c r="B187" s="9" t="n"/>
      <c r="C187" s="10" t="n"/>
      <c r="D187" s="10" t="n"/>
      <c r="E187" s="9" t="n"/>
      <c r="F187" s="9" t="n"/>
      <c r="G187" s="9" t="n"/>
      <c r="H187" s="5" t="n"/>
    </row>
    <row r="188">
      <c r="A188" s="9" t="n"/>
      <c r="B188" s="9" t="n"/>
      <c r="C188" s="10" t="n"/>
      <c r="D188" s="10" t="n"/>
      <c r="E188" s="9" t="n"/>
      <c r="F188" s="9" t="n"/>
      <c r="G188" s="9" t="n"/>
      <c r="H188" s="5" t="n"/>
    </row>
    <row r="189">
      <c r="A189" s="9" t="n"/>
      <c r="B189" s="9" t="n"/>
      <c r="C189" s="10" t="n"/>
      <c r="D189" s="10" t="n"/>
      <c r="E189" s="9" t="n"/>
      <c r="F189" s="9" t="n"/>
      <c r="G189" s="9" t="n"/>
      <c r="H189" s="5" t="n"/>
    </row>
    <row r="190">
      <c r="A190" s="9" t="n"/>
      <c r="B190" s="9" t="n"/>
      <c r="C190" s="10" t="n"/>
      <c r="D190" s="10" t="n"/>
      <c r="E190" s="9" t="n"/>
      <c r="F190" s="9" t="n"/>
      <c r="G190" s="9" t="n"/>
      <c r="H190" s="5" t="n"/>
    </row>
    <row r="191">
      <c r="A191" s="9" t="n"/>
      <c r="B191" s="9" t="n"/>
      <c r="C191" s="10" t="n"/>
      <c r="D191" s="10" t="n"/>
      <c r="E191" s="9" t="n"/>
      <c r="F191" s="9" t="n"/>
      <c r="G191" s="9" t="n"/>
      <c r="H191" s="5" t="n"/>
    </row>
    <row r="192">
      <c r="A192" s="9" t="n"/>
      <c r="B192" s="9" t="n"/>
      <c r="C192" s="10" t="n"/>
      <c r="D192" s="10" t="n"/>
      <c r="E192" s="9" t="n"/>
      <c r="F192" s="9" t="n"/>
      <c r="G192" s="9" t="n"/>
      <c r="H192" s="5" t="n"/>
    </row>
    <row r="193">
      <c r="A193" s="9" t="n"/>
      <c r="B193" s="9" t="n"/>
      <c r="C193" s="10" t="n"/>
      <c r="D193" s="10" t="n"/>
      <c r="E193" s="9" t="n"/>
      <c r="F193" s="9" t="n"/>
      <c r="G193" s="9" t="n"/>
      <c r="H193" s="5" t="n"/>
    </row>
    <row r="194">
      <c r="A194" s="9" t="n"/>
      <c r="B194" s="9" t="n"/>
      <c r="C194" s="10" t="n"/>
      <c r="D194" s="10" t="n"/>
      <c r="E194" s="9" t="n"/>
      <c r="F194" s="9" t="n"/>
      <c r="G194" s="9" t="n"/>
      <c r="H194" s="5" t="n"/>
    </row>
    <row r="195">
      <c r="A195" s="9" t="n"/>
      <c r="B195" s="9" t="n"/>
      <c r="C195" s="10" t="n"/>
      <c r="D195" s="10" t="n"/>
      <c r="E195" s="9" t="n"/>
      <c r="F195" s="9" t="n"/>
      <c r="G195" s="9" t="n"/>
      <c r="H195" s="5" t="n"/>
    </row>
    <row r="196">
      <c r="A196" s="9" t="n"/>
      <c r="B196" s="9" t="n"/>
      <c r="C196" s="10" t="n"/>
      <c r="D196" s="10" t="n"/>
      <c r="E196" s="9" t="n"/>
      <c r="F196" s="9" t="n"/>
      <c r="G196" s="9" t="n"/>
      <c r="H196" s="5" t="n"/>
    </row>
    <row r="197">
      <c r="A197" s="9" t="n"/>
      <c r="B197" s="9" t="n"/>
      <c r="C197" s="10" t="n"/>
      <c r="D197" s="10" t="n"/>
      <c r="E197" s="9" t="n"/>
      <c r="F197" s="9" t="n"/>
      <c r="G197" s="9" t="n"/>
      <c r="H197" s="5" t="n"/>
    </row>
    <row r="198">
      <c r="A198" s="9" t="n"/>
      <c r="B198" s="9" t="n"/>
      <c r="C198" s="10" t="n"/>
      <c r="D198" s="10" t="n"/>
      <c r="E198" s="9" t="n"/>
      <c r="F198" s="9" t="n"/>
      <c r="G198" s="9" t="n"/>
      <c r="H198" s="5" t="n"/>
    </row>
    <row r="199">
      <c r="A199" s="9" t="n"/>
      <c r="B199" s="9" t="n"/>
      <c r="C199" s="10" t="n"/>
      <c r="D199" s="10" t="n"/>
      <c r="E199" s="9" t="n"/>
      <c r="F199" s="9" t="n"/>
      <c r="G199" s="9" t="n"/>
      <c r="H199" s="5" t="n"/>
    </row>
    <row r="200">
      <c r="A200" s="9" t="n"/>
      <c r="B200" s="9" t="n"/>
      <c r="C200" s="10" t="n"/>
      <c r="D200" s="10" t="n"/>
      <c r="E200" s="9" t="n"/>
      <c r="F200" s="9" t="n"/>
      <c r="G200" s="9" t="n"/>
      <c r="H200" s="5" t="n"/>
    </row>
    <row r="201">
      <c r="A201" s="9" t="n"/>
      <c r="B201" s="9" t="n"/>
      <c r="C201" s="10" t="n"/>
      <c r="D201" s="10" t="n"/>
      <c r="E201" s="9" t="n"/>
      <c r="F201" s="9" t="n"/>
      <c r="G201" s="9" t="n"/>
      <c r="H201" s="5" t="n"/>
    </row>
  </sheetData>
  <dataValidations count="3">
    <dataValidation sqref="G2:G200" showDropDown="0" showInputMessage="0" showErrorMessage="0" allowBlank="1" type="list">
      <formula1>"PLANNED,IN-PROGRESS,COMPLETED,ABORTED"</formula1>
    </dataValidation>
    <dataValidation sqref="F2:F200" showDropDown="0" showInputMessage="0" showErrorMessage="0" allowBlank="1" type="list">
      <formula1>"Y,N"</formula1>
    </dataValidation>
    <dataValidation sqref="E2:E200" showDropDown="0" showInputMessage="0" showErrorMessage="0" allowBlank="1" type="list">
      <formula1>"Y,-"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220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40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  <col width="10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12" customWidth="1" min="28" max="28"/>
    <col width="18" customWidth="1" min="29" max="29"/>
    <col width="14" customWidth="1" min="30" max="30"/>
    <col width="14" customWidth="1" min="31" max="31"/>
    <col width="28" customWidth="1" min="32" max="32"/>
    <col width="40" customWidth="1" min="33" max="33"/>
  </cols>
  <sheetData>
    <row r="1" ht="22" customHeight="1">
      <c r="A1" s="23" t="inlineStr">
        <is>
          <t>Stage-wise Draft / Trim / Tide / Ramp Gates (submission table)</t>
        </is>
      </c>
    </row>
    <row r="2">
      <c r="A2" s="24" t="inlineStr">
        <is>
          <t>Parameter</t>
        </is>
      </c>
      <c r="B2" s="24" t="inlineStr">
        <is>
          <t>Value</t>
        </is>
      </c>
      <c r="C2" s="24" t="inlineStr">
        <is>
          <t>Unit</t>
        </is>
      </c>
      <c r="D2" s="24" t="inlineStr">
        <is>
          <t>Notes</t>
        </is>
      </c>
    </row>
    <row r="3">
      <c r="A3" s="1" t="inlineStr">
        <is>
          <t>TOTAL_CARGO_T</t>
        </is>
      </c>
      <c r="B3" s="10" t="n">
        <v>500</v>
      </c>
      <c r="C3" s="9" t="inlineStr">
        <is>
          <t>t</t>
        </is>
      </c>
      <c r="D3" s="6" t="inlineStr">
        <is>
          <t>TR1+TR2 total (edit)</t>
        </is>
      </c>
    </row>
    <row r="4">
      <c r="A4" s="1" t="inlineStr">
        <is>
          <t>GATE_AFT_MIN</t>
        </is>
      </c>
      <c r="B4" s="10" t="n">
        <v>2.7</v>
      </c>
      <c r="C4" s="9" t="inlineStr">
        <is>
          <t>m</t>
        </is>
      </c>
      <c r="D4" s="6" t="inlineStr">
        <is>
          <t>AFT draft must be &gt;= this</t>
        </is>
      </c>
    </row>
    <row r="5">
      <c r="A5" s="1" t="inlineStr">
        <is>
          <t>GATE_FWD_MAX</t>
        </is>
      </c>
      <c r="B5" s="10" t="n">
        <v>2.7</v>
      </c>
      <c r="C5" s="9" t="inlineStr">
        <is>
          <t>m</t>
        </is>
      </c>
      <c r="D5" s="6" t="inlineStr">
        <is>
          <t>FWD draft must be &lt;= this (critical stages)</t>
        </is>
      </c>
    </row>
    <row r="6">
      <c r="A6" s="1" t="inlineStr">
        <is>
          <t>TRIM_LIMIT_CM</t>
        </is>
      </c>
      <c r="B6" s="10" t="n">
        <v>240</v>
      </c>
      <c r="C6" s="9" t="inlineStr">
        <is>
          <t>cm</t>
        </is>
      </c>
      <c r="D6" s="6" t="inlineStr">
        <is>
          <t>ABS(trim_cm) &lt;= this</t>
        </is>
      </c>
    </row>
    <row r="7">
      <c r="A7" s="1" t="inlineStr">
        <is>
          <t>DEPTHREF_M</t>
        </is>
      </c>
      <c r="B7" s="10" t="n">
        <v>5.5</v>
      </c>
      <c r="C7" s="9" t="inlineStr">
        <is>
          <t>m</t>
        </is>
      </c>
      <c r="D7" s="6" t="inlineStr">
        <is>
          <t>Berth depth reference (same datum as tide)</t>
        </is>
      </c>
    </row>
    <row r="8">
      <c r="A8" s="1" t="inlineStr">
        <is>
          <t>UKC_MIN_M</t>
        </is>
      </c>
      <c r="B8" s="10" t="n">
        <v>0.5</v>
      </c>
      <c r="C8" s="9" t="inlineStr">
        <is>
          <t>m</t>
        </is>
      </c>
      <c r="D8" s="6" t="inlineStr">
        <is>
          <t>Under keel clearance minimum</t>
        </is>
      </c>
    </row>
    <row r="9">
      <c r="A9" s="1" t="inlineStr">
        <is>
          <t>SQUAT_M</t>
        </is>
      </c>
      <c r="B9" s="10" t="n">
        <v>0</v>
      </c>
      <c r="C9" s="9" t="inlineStr">
        <is>
          <t>m</t>
        </is>
      </c>
      <c r="D9" s="6" t="inlineStr">
        <is>
          <t>Allowance</t>
        </is>
      </c>
    </row>
    <row r="10">
      <c r="A10" s="1" t="inlineStr">
        <is>
          <t>SAFETY_M</t>
        </is>
      </c>
      <c r="B10" s="10" t="n">
        <v>0</v>
      </c>
      <c r="C10" s="9" t="inlineStr">
        <is>
          <t>m</t>
        </is>
      </c>
      <c r="D10" s="6" t="inlineStr">
        <is>
          <t>Allowance</t>
        </is>
      </c>
    </row>
    <row r="19" ht="20" customHeight="1">
      <c r="A19" s="23" t="inlineStr">
        <is>
          <t>Stage-wise Calculation Table</t>
        </is>
      </c>
    </row>
    <row r="20" ht="26" customHeight="1">
      <c r="A20" s="4" t="inlineStr">
        <is>
          <t>Stage_ID</t>
        </is>
      </c>
      <c r="B20" s="4" t="inlineStr">
        <is>
          <t>HoldPoint</t>
        </is>
      </c>
      <c r="C20" s="4" t="inlineStr">
        <is>
          <t>GateB_Critical</t>
        </is>
      </c>
      <c r="D20" s="4" t="inlineStr">
        <is>
          <t>Stage_Remark</t>
        </is>
      </c>
      <c r="E20" s="4" t="inlineStr">
        <is>
          <t>Progress_%</t>
        </is>
      </c>
      <c r="F20" s="4" t="inlineStr">
        <is>
          <t>x_stage_m</t>
        </is>
      </c>
      <c r="G20" s="4" t="inlineStr">
        <is>
          <t>W_stage_t</t>
        </is>
      </c>
      <c r="H20" s="4" t="inlineStr">
        <is>
          <t>Displacement_t</t>
        </is>
      </c>
      <c r="I20" s="4" t="inlineStr">
        <is>
          <t>Tmean_m</t>
        </is>
      </c>
      <c r="J20" s="4" t="inlineStr">
        <is>
          <t>Trim_cm</t>
        </is>
      </c>
      <c r="K20" s="4" t="inlineStr">
        <is>
          <t>Draft_FWD_m</t>
        </is>
      </c>
      <c r="L20" s="4" t="inlineStr">
        <is>
          <t>Draft_AFT_m</t>
        </is>
      </c>
      <c r="M20" s="4" t="inlineStr">
        <is>
          <t>Freeboard_min_m</t>
        </is>
      </c>
      <c r="N20" s="4" t="inlineStr">
        <is>
          <t>Tide_required_m</t>
        </is>
      </c>
      <c r="O20" s="4" t="inlineStr">
        <is>
          <t>Forecast_tide_m</t>
        </is>
      </c>
      <c r="P20" s="4" t="inlineStr">
        <is>
          <t>Tide_margin_m</t>
        </is>
      </c>
      <c r="Q20" s="4" t="inlineStr">
        <is>
          <t>UKC_min_m</t>
        </is>
      </c>
      <c r="R20" s="4" t="inlineStr">
        <is>
          <t>UKC_fwd_m</t>
        </is>
      </c>
      <c r="S20" s="4" t="inlineStr">
        <is>
          <t>UKC_aft_m</t>
        </is>
      </c>
      <c r="T20" s="4" t="inlineStr">
        <is>
          <t>Ramp_angle_deg</t>
        </is>
      </c>
      <c r="U20" s="4" t="inlineStr">
        <is>
          <t>GM_m</t>
        </is>
      </c>
      <c r="V20" s="4" t="inlineStr">
        <is>
          <t>Gate_FWD</t>
        </is>
      </c>
      <c r="W20" s="4" t="inlineStr">
        <is>
          <t>Gate_AFT</t>
        </is>
      </c>
      <c r="X20" s="4" t="inlineStr">
        <is>
          <t>Gate_TRIM</t>
        </is>
      </c>
      <c r="Y20" s="4" t="inlineStr">
        <is>
          <t>Gate_UKC</t>
        </is>
      </c>
      <c r="Z20" s="4" t="inlineStr">
        <is>
          <t>Gate_RAMP</t>
        </is>
      </c>
      <c r="AA20" s="4" t="inlineStr">
        <is>
          <t>HoldPoint_Band</t>
        </is>
      </c>
      <c r="AB20" s="4" t="inlineStr">
        <is>
          <t>Go/No-Go</t>
        </is>
      </c>
      <c r="AC20" s="4" t="inlineStr">
        <is>
          <t>Ballast_Action</t>
        </is>
      </c>
      <c r="AD20" s="4" t="inlineStr">
        <is>
          <t>Ballast_Time_h</t>
        </is>
      </c>
      <c r="AE20" s="4" t="inlineStr">
        <is>
          <t>Ballast_Net_t</t>
        </is>
      </c>
      <c r="AF20" s="4" t="inlineStr">
        <is>
          <t>Ballast_Alloc</t>
        </is>
      </c>
      <c r="AG20" s="4" t="inlineStr">
        <is>
          <t>Notes</t>
        </is>
      </c>
    </row>
    <row r="21">
      <c r="A21" s="10" t="inlineStr">
        <is>
          <t>Stage 1</t>
        </is>
      </c>
      <c r="B21" s="9">
        <f>IF($A21="","",IFERROR(INDEX('06_Stage_Plan'!$E:$E,MATCH($A21,'06_Stage_Plan'!$A:$A,0)),""))</f>
        <v/>
      </c>
      <c r="C21" s="9">
        <f>IF($A21="","",IFERROR(INDEX('06_Stage_Plan'!$F:$F,MATCH($A21,'06_Stage_Plan'!$A:$A,0)),""))</f>
        <v/>
      </c>
      <c r="D21" s="6">
        <f>IF($A21="","",IFERROR(INDEX('06_Stage_Plan'!$H:$H,MATCH($A21,'06_Stage_Plan'!$A:$A,0)),""))</f>
        <v/>
      </c>
      <c r="E21" s="9">
        <f>IF($A21="","",IFERROR(INDEX('06_Stage_Plan'!$B:$B,MATCH($A21,'06_Stage_Plan'!$A:$A,0)),""))</f>
        <v/>
      </c>
      <c r="F21" s="10" t="n"/>
      <c r="G21" s="10" t="n"/>
      <c r="H21" s="9" t="n"/>
      <c r="I21" s="9" t="n"/>
      <c r="J21" s="9">
        <f>IF(OR($K21="",$L21=""),"",($L21-$K21)*100)</f>
        <v/>
      </c>
      <c r="K21" s="10" t="n"/>
      <c r="L21" s="10" t="n"/>
      <c r="M21" s="9">
        <f>IF(OR($K21="",$L21=""),"",MIN(INDEX('01_SSOT_Master'!$B:$B,MATCH("Molded Depth (D)",'01_SSOT_Master'!$A:$A,0))-$K21,INDEX('01_SSOT_Master'!$B:$B,MATCH("Molded Depth (D)",'01_SSOT_Master'!$A:$A,0))-$L21))</f>
        <v/>
      </c>
      <c r="N21" s="9">
        <f>IF(OR($K21="",$L21=""),"",MAX(0,(MAX($K21,$L21)+$B$9+$B$10+$B$8)-$B$7))</f>
        <v/>
      </c>
      <c r="O21" s="10" t="n"/>
      <c r="P21" s="9">
        <f>IF(OR($O21="",$N21=""),"",$O21-$N21)</f>
        <v/>
      </c>
      <c r="Q21" s="9">
        <f>IF($A21="","",$B$8)</f>
        <v/>
      </c>
      <c r="R21" s="9">
        <f>IF(OR($O21="",$K21=""),"",($B$7+$O21)-($K21+$B$9+$B$10))</f>
        <v/>
      </c>
      <c r="S21" s="9">
        <f>IF(OR($O21="",$L21=""),"",($B$7+$O21)-($L21+$B$9+$B$10))</f>
        <v/>
      </c>
      <c r="T21" s="10" t="n"/>
      <c r="U21" s="10" t="n"/>
      <c r="V21" s="9">
        <f>IF($A21="","",IF($C21&lt;&gt;"Y","N/A",IF($K21&lt;=$B$5,"PASS","LIMIT")))</f>
        <v/>
      </c>
      <c r="W21" s="9">
        <f>IF($A21="","",IF($L21&gt;=$B$4,"PASS","LIMIT"))</f>
        <v/>
      </c>
      <c r="X21" s="9">
        <f>IF($A21="","",IF(ABS($J21)&lt;=$B$6,"PASS","LIMIT"))</f>
        <v/>
      </c>
      <c r="Y21" s="9">
        <f>IF($A21="","",IF(MIN($R21,$S21)&gt;=$B$8,"PASS","LIMIT"))</f>
        <v/>
      </c>
      <c r="Z21" s="9">
        <f>IF($A21="","",IF($T21="","VERIFY",IF($T21&lt;=6,"PASS","LIMIT")))</f>
        <v/>
      </c>
      <c r="AA21" s="9">
        <f>IF($B21&lt;&gt;"Y","-",IF(OR($V21="LIMIT",$W21="LIMIT",$X21="LIMIT",$Y21="LIMIT"),"STOP","GO"))</f>
        <v/>
      </c>
      <c r="AB21" s="9">
        <f>IF($A21="","",IF($AA21="STOP","ABORT",IF($AA21="RECALC","NO-GO","GO")))</f>
        <v/>
      </c>
      <c r="AC21" s="10" t="n"/>
      <c r="AD21" s="10" t="n"/>
      <c r="AE21" s="10" t="n"/>
      <c r="AF21" s="10" t="n"/>
      <c r="AG21" s="5" t="n"/>
    </row>
    <row r="22">
      <c r="A22" s="10" t="inlineStr">
        <is>
          <t>Stage 2</t>
        </is>
      </c>
      <c r="B22" s="9">
        <f>IF($A22="","",IFERROR(INDEX('06_Stage_Plan'!$E:$E,MATCH($A22,'06_Stage_Plan'!$A:$A,0)),""))</f>
        <v/>
      </c>
      <c r="C22" s="9">
        <f>IF($A22="","",IFERROR(INDEX('06_Stage_Plan'!$F:$F,MATCH($A22,'06_Stage_Plan'!$A:$A,0)),""))</f>
        <v/>
      </c>
      <c r="D22" s="6">
        <f>IF($A22="","",IFERROR(INDEX('06_Stage_Plan'!$H:$H,MATCH($A22,'06_Stage_Plan'!$A:$A,0)),""))</f>
        <v/>
      </c>
      <c r="E22" s="9">
        <f>IF($A22="","",IFERROR(INDEX('06_Stage_Plan'!$B:$B,MATCH($A22,'06_Stage_Plan'!$A:$A,0)),""))</f>
        <v/>
      </c>
      <c r="F22" s="10" t="n"/>
      <c r="G22" s="10" t="n"/>
      <c r="H22" s="9" t="n"/>
      <c r="I22" s="9" t="n"/>
      <c r="J22" s="9">
        <f>IF(OR($K22="",$L22=""),"",($L22-$K22)*100)</f>
        <v/>
      </c>
      <c r="K22" s="10" t="n"/>
      <c r="L22" s="10" t="n"/>
      <c r="M22" s="9">
        <f>IF(OR($K22="",$L22=""),"",MIN(INDEX('01_SSOT_Master'!$B:$B,MATCH("Molded Depth (D)",'01_SSOT_Master'!$A:$A,0))-$K22,INDEX('01_SSOT_Master'!$B:$B,MATCH("Molded Depth (D)",'01_SSOT_Master'!$A:$A,0))-$L22))</f>
        <v/>
      </c>
      <c r="N22" s="9">
        <f>IF(OR($K22="",$L22=""),"",MAX(0,(MAX($K22,$L22)+$B$9+$B$10+$B$8)-$B$7))</f>
        <v/>
      </c>
      <c r="O22" s="10" t="n"/>
      <c r="P22" s="9">
        <f>IF(OR($O22="",$N22=""),"",$O22-$N22)</f>
        <v/>
      </c>
      <c r="Q22" s="9">
        <f>IF($A22="","",$B$8)</f>
        <v/>
      </c>
      <c r="R22" s="9">
        <f>IF(OR($O22="",$K22=""),"",($B$7+$O22)-($K22+$B$9+$B$10))</f>
        <v/>
      </c>
      <c r="S22" s="9">
        <f>IF(OR($O22="",$L22=""),"",($B$7+$O22)-($L22+$B$9+$B$10))</f>
        <v/>
      </c>
      <c r="T22" s="10" t="n"/>
      <c r="U22" s="10" t="n"/>
      <c r="V22" s="9">
        <f>IF($A22="","",IF($C22&lt;&gt;"Y","N/A",IF($K22&lt;=$B$5,"PASS","LIMIT")))</f>
        <v/>
      </c>
      <c r="W22" s="9">
        <f>IF($A22="","",IF($L22&gt;=$B$4,"PASS","LIMIT"))</f>
        <v/>
      </c>
      <c r="X22" s="9">
        <f>IF($A22="","",IF(ABS($J22)&lt;=$B$6,"PASS","LIMIT"))</f>
        <v/>
      </c>
      <c r="Y22" s="9">
        <f>IF($A22="","",IF(MIN($R22,$S22)&gt;=$B$8,"PASS","LIMIT"))</f>
        <v/>
      </c>
      <c r="Z22" s="9">
        <f>IF($A22="","",IF($T22="","VERIFY",IF($T22&lt;=6,"PASS","LIMIT")))</f>
        <v/>
      </c>
      <c r="AA22" s="9">
        <f>IF($B22&lt;&gt;"Y","-",IF(OR($V22="LIMIT",$W22="LIMIT",$X22="LIMIT",$Y22="LIMIT"),"STOP","GO"))</f>
        <v/>
      </c>
      <c r="AB22" s="9">
        <f>IF($A22="","",IF($AA22="STOP","ABORT",IF($AA22="RECALC","NO-GO","GO")))</f>
        <v/>
      </c>
      <c r="AC22" s="10" t="n"/>
      <c r="AD22" s="10" t="n"/>
      <c r="AE22" s="10" t="n"/>
      <c r="AF22" s="10" t="n"/>
      <c r="AG22" s="5" t="n"/>
    </row>
    <row r="23">
      <c r="A23" s="10" t="inlineStr">
        <is>
          <t>Stage 3</t>
        </is>
      </c>
      <c r="B23" s="9">
        <f>IF($A23="","",IFERROR(INDEX('06_Stage_Plan'!$E:$E,MATCH($A23,'06_Stage_Plan'!$A:$A,0)),""))</f>
        <v/>
      </c>
      <c r="C23" s="9">
        <f>IF($A23="","",IFERROR(INDEX('06_Stage_Plan'!$F:$F,MATCH($A23,'06_Stage_Plan'!$A:$A,0)),""))</f>
        <v/>
      </c>
      <c r="D23" s="6">
        <f>IF($A23="","",IFERROR(INDEX('06_Stage_Plan'!$H:$H,MATCH($A23,'06_Stage_Plan'!$A:$A,0)),""))</f>
        <v/>
      </c>
      <c r="E23" s="9">
        <f>IF($A23="","",IFERROR(INDEX('06_Stage_Plan'!$B:$B,MATCH($A23,'06_Stage_Plan'!$A:$A,0)),""))</f>
        <v/>
      </c>
      <c r="F23" s="10" t="n"/>
      <c r="G23" s="10" t="n"/>
      <c r="H23" s="9" t="n"/>
      <c r="I23" s="9" t="n"/>
      <c r="J23" s="9">
        <f>IF(OR($K23="",$L23=""),"",($L23-$K23)*100)</f>
        <v/>
      </c>
      <c r="K23" s="10" t="n"/>
      <c r="L23" s="10" t="n"/>
      <c r="M23" s="9">
        <f>IF(OR($K23="",$L23=""),"",MIN(INDEX('01_SSOT_Master'!$B:$B,MATCH("Molded Depth (D)",'01_SSOT_Master'!$A:$A,0))-$K23,INDEX('01_SSOT_Master'!$B:$B,MATCH("Molded Depth (D)",'01_SSOT_Master'!$A:$A,0))-$L23))</f>
        <v/>
      </c>
      <c r="N23" s="9">
        <f>IF(OR($K23="",$L23=""),"",MAX(0,(MAX($K23,$L23)+$B$9+$B$10+$B$8)-$B$7))</f>
        <v/>
      </c>
      <c r="O23" s="10" t="n"/>
      <c r="P23" s="9">
        <f>IF(OR($O23="",$N23=""),"",$O23-$N23)</f>
        <v/>
      </c>
      <c r="Q23" s="9">
        <f>IF($A23="","",$B$8)</f>
        <v/>
      </c>
      <c r="R23" s="9">
        <f>IF(OR($O23="",$K23=""),"",($B$7+$O23)-($K23+$B$9+$B$10))</f>
        <v/>
      </c>
      <c r="S23" s="9">
        <f>IF(OR($O23="",$L23=""),"",($B$7+$O23)-($L23+$B$9+$B$10))</f>
        <v/>
      </c>
      <c r="T23" s="10" t="n"/>
      <c r="U23" s="10" t="n"/>
      <c r="V23" s="9">
        <f>IF($A23="","",IF($C23&lt;&gt;"Y","N/A",IF($K23&lt;=$B$5,"PASS","LIMIT")))</f>
        <v/>
      </c>
      <c r="W23" s="9">
        <f>IF($A23="","",IF($L23&gt;=$B$4,"PASS","LIMIT"))</f>
        <v/>
      </c>
      <c r="X23" s="9">
        <f>IF($A23="","",IF(ABS($J23)&lt;=$B$6,"PASS","LIMIT"))</f>
        <v/>
      </c>
      <c r="Y23" s="9">
        <f>IF($A23="","",IF(MIN($R23,$S23)&gt;=$B$8,"PASS","LIMIT"))</f>
        <v/>
      </c>
      <c r="Z23" s="9">
        <f>IF($A23="","",IF($T23="","VERIFY",IF($T23&lt;=6,"PASS","LIMIT")))</f>
        <v/>
      </c>
      <c r="AA23" s="9">
        <f>IF($B23&lt;&gt;"Y","-",IF(OR($V23="LIMIT",$W23="LIMIT",$X23="LIMIT",$Y23="LIMIT"),"STOP","GO"))</f>
        <v/>
      </c>
      <c r="AB23" s="9">
        <f>IF($A23="","",IF($AA23="STOP","ABORT",IF($AA23="RECALC","NO-GO","GO")))</f>
        <v/>
      </c>
      <c r="AC23" s="10" t="n"/>
      <c r="AD23" s="10" t="n"/>
      <c r="AE23" s="10" t="n"/>
      <c r="AF23" s="10" t="n"/>
      <c r="AG23" s="5" t="n"/>
    </row>
    <row r="24">
      <c r="A24" s="10" t="inlineStr">
        <is>
          <t>Stage 4</t>
        </is>
      </c>
      <c r="B24" s="9">
        <f>IF($A24="","",IFERROR(INDEX('06_Stage_Plan'!$E:$E,MATCH($A24,'06_Stage_Plan'!$A:$A,0)),""))</f>
        <v/>
      </c>
      <c r="C24" s="9">
        <f>IF($A24="","",IFERROR(INDEX('06_Stage_Plan'!$F:$F,MATCH($A24,'06_Stage_Plan'!$A:$A,0)),""))</f>
        <v/>
      </c>
      <c r="D24" s="6">
        <f>IF($A24="","",IFERROR(INDEX('06_Stage_Plan'!$H:$H,MATCH($A24,'06_Stage_Plan'!$A:$A,0)),""))</f>
        <v/>
      </c>
      <c r="E24" s="9">
        <f>IF($A24="","",IFERROR(INDEX('06_Stage_Plan'!$B:$B,MATCH($A24,'06_Stage_Plan'!$A:$A,0)),""))</f>
        <v/>
      </c>
      <c r="F24" s="10" t="n"/>
      <c r="G24" s="10" t="n"/>
      <c r="H24" s="9" t="n"/>
      <c r="I24" s="9" t="n"/>
      <c r="J24" s="9">
        <f>IF(OR($K24="",$L24=""),"",($L24-$K24)*100)</f>
        <v/>
      </c>
      <c r="K24" s="10" t="n"/>
      <c r="L24" s="10" t="n"/>
      <c r="M24" s="9">
        <f>IF(OR($K24="",$L24=""),"",MIN(INDEX('01_SSOT_Master'!$B:$B,MATCH("Molded Depth (D)",'01_SSOT_Master'!$A:$A,0))-$K24,INDEX('01_SSOT_Master'!$B:$B,MATCH("Molded Depth (D)",'01_SSOT_Master'!$A:$A,0))-$L24))</f>
        <v/>
      </c>
      <c r="N24" s="9">
        <f>IF(OR($K24="",$L24=""),"",MAX(0,(MAX($K24,$L24)+$B$9+$B$10+$B$8)-$B$7))</f>
        <v/>
      </c>
      <c r="O24" s="10" t="n"/>
      <c r="P24" s="9">
        <f>IF(OR($O24="",$N24=""),"",$O24-$N24)</f>
        <v/>
      </c>
      <c r="Q24" s="9">
        <f>IF($A24="","",$B$8)</f>
        <v/>
      </c>
      <c r="R24" s="9">
        <f>IF(OR($O24="",$K24=""),"",($B$7+$O24)-($K24+$B$9+$B$10))</f>
        <v/>
      </c>
      <c r="S24" s="9">
        <f>IF(OR($O24="",$L24=""),"",($B$7+$O24)-($L24+$B$9+$B$10))</f>
        <v/>
      </c>
      <c r="T24" s="10" t="n"/>
      <c r="U24" s="10" t="n"/>
      <c r="V24" s="9">
        <f>IF($A24="","",IF($C24&lt;&gt;"Y","N/A",IF($K24&lt;=$B$5,"PASS","LIMIT")))</f>
        <v/>
      </c>
      <c r="W24" s="9">
        <f>IF($A24="","",IF($L24&gt;=$B$4,"PASS","LIMIT"))</f>
        <v/>
      </c>
      <c r="X24" s="9">
        <f>IF($A24="","",IF(ABS($J24)&lt;=$B$6,"PASS","LIMIT"))</f>
        <v/>
      </c>
      <c r="Y24" s="9">
        <f>IF($A24="","",IF(MIN($R24,$S24)&gt;=$B$8,"PASS","LIMIT"))</f>
        <v/>
      </c>
      <c r="Z24" s="9">
        <f>IF($A24="","",IF($T24="","VERIFY",IF($T24&lt;=6,"PASS","LIMIT")))</f>
        <v/>
      </c>
      <c r="AA24" s="9">
        <f>IF($B24&lt;&gt;"Y","-",IF(OR($V24="LIMIT",$W24="LIMIT",$X24="LIMIT",$Y24="LIMIT"),"STOP","GO"))</f>
        <v/>
      </c>
      <c r="AB24" s="9">
        <f>IF($A24="","",IF($AA24="STOP","ABORT",IF($AA24="RECALC","NO-GO","GO")))</f>
        <v/>
      </c>
      <c r="AC24" s="10" t="n"/>
      <c r="AD24" s="10" t="n"/>
      <c r="AE24" s="10" t="n"/>
      <c r="AF24" s="10" t="n"/>
      <c r="AG24" s="5" t="n"/>
    </row>
    <row r="25">
      <c r="A25" s="10" t="inlineStr">
        <is>
          <t>Stage 5</t>
        </is>
      </c>
      <c r="B25" s="9">
        <f>IF($A25="","",IFERROR(INDEX('06_Stage_Plan'!$E:$E,MATCH($A25,'06_Stage_Plan'!$A:$A,0)),""))</f>
        <v/>
      </c>
      <c r="C25" s="9">
        <f>IF($A25="","",IFERROR(INDEX('06_Stage_Plan'!$F:$F,MATCH($A25,'06_Stage_Plan'!$A:$A,0)),""))</f>
        <v/>
      </c>
      <c r="D25" s="6">
        <f>IF($A25="","",IFERROR(INDEX('06_Stage_Plan'!$H:$H,MATCH($A25,'06_Stage_Plan'!$A:$A,0)),""))</f>
        <v/>
      </c>
      <c r="E25" s="9">
        <f>IF($A25="","",IFERROR(INDEX('06_Stage_Plan'!$B:$B,MATCH($A25,'06_Stage_Plan'!$A:$A,0)),""))</f>
        <v/>
      </c>
      <c r="F25" s="10" t="n"/>
      <c r="G25" s="10" t="n"/>
      <c r="H25" s="9" t="n"/>
      <c r="I25" s="9" t="n"/>
      <c r="J25" s="9">
        <f>IF(OR($K25="",$L25=""),"",($L25-$K25)*100)</f>
        <v/>
      </c>
      <c r="K25" s="10" t="n"/>
      <c r="L25" s="10" t="n"/>
      <c r="M25" s="9">
        <f>IF(OR($K25="",$L25=""),"",MIN(INDEX('01_SSOT_Master'!$B:$B,MATCH("Molded Depth (D)",'01_SSOT_Master'!$A:$A,0))-$K25,INDEX('01_SSOT_Master'!$B:$B,MATCH("Molded Depth (D)",'01_SSOT_Master'!$A:$A,0))-$L25))</f>
        <v/>
      </c>
      <c r="N25" s="9">
        <f>IF(OR($K25="",$L25=""),"",MAX(0,(MAX($K25,$L25)+$B$9+$B$10+$B$8)-$B$7))</f>
        <v/>
      </c>
      <c r="O25" s="10" t="n"/>
      <c r="P25" s="9">
        <f>IF(OR($O25="",$N25=""),"",$O25-$N25)</f>
        <v/>
      </c>
      <c r="Q25" s="9">
        <f>IF($A25="","",$B$8)</f>
        <v/>
      </c>
      <c r="R25" s="9">
        <f>IF(OR($O25="",$K25=""),"",($B$7+$O25)-($K25+$B$9+$B$10))</f>
        <v/>
      </c>
      <c r="S25" s="9">
        <f>IF(OR($O25="",$L25=""),"",($B$7+$O25)-($L25+$B$9+$B$10))</f>
        <v/>
      </c>
      <c r="T25" s="10" t="n"/>
      <c r="U25" s="10" t="n"/>
      <c r="V25" s="9">
        <f>IF($A25="","",IF($C25&lt;&gt;"Y","N/A",IF($K25&lt;=$B$5,"PASS","LIMIT")))</f>
        <v/>
      </c>
      <c r="W25" s="9">
        <f>IF($A25="","",IF($L25&gt;=$B$4,"PASS","LIMIT"))</f>
        <v/>
      </c>
      <c r="X25" s="9">
        <f>IF($A25="","",IF(ABS($J25)&lt;=$B$6,"PASS","LIMIT"))</f>
        <v/>
      </c>
      <c r="Y25" s="9">
        <f>IF($A25="","",IF(MIN($R25,$S25)&gt;=$B$8,"PASS","LIMIT"))</f>
        <v/>
      </c>
      <c r="Z25" s="9">
        <f>IF($A25="","",IF($T25="","VERIFY",IF($T25&lt;=6,"PASS","LIMIT")))</f>
        <v/>
      </c>
      <c r="AA25" s="9">
        <f>IF($B25&lt;&gt;"Y","-",IF(OR($V25="LIMIT",$W25="LIMIT",$X25="LIMIT",$Y25="LIMIT"),"STOP","GO"))</f>
        <v/>
      </c>
      <c r="AB25" s="9">
        <f>IF($A25="","",IF($AA25="STOP","ABORT",IF($AA25="RECALC","NO-GO","GO")))</f>
        <v/>
      </c>
      <c r="AC25" s="10" t="n"/>
      <c r="AD25" s="10" t="n"/>
      <c r="AE25" s="10" t="n"/>
      <c r="AF25" s="10" t="n"/>
      <c r="AG25" s="5" t="n"/>
    </row>
    <row r="26">
      <c r="A26" s="10" t="inlineStr">
        <is>
          <t>Stage 5_PreBallast</t>
        </is>
      </c>
      <c r="B26" s="9">
        <f>IF($A26="","",IFERROR(INDEX('06_Stage_Plan'!$E:$E,MATCH($A26,'06_Stage_Plan'!$A:$A,0)),""))</f>
        <v/>
      </c>
      <c r="C26" s="9">
        <f>IF($A26="","",IFERROR(INDEX('06_Stage_Plan'!$F:$F,MATCH($A26,'06_Stage_Plan'!$A:$A,0)),""))</f>
        <v/>
      </c>
      <c r="D26" s="6">
        <f>IF($A26="","",IFERROR(INDEX('06_Stage_Plan'!$H:$H,MATCH($A26,'06_Stage_Plan'!$A:$A,0)),""))</f>
        <v/>
      </c>
      <c r="E26" s="9">
        <f>IF($A26="","",IFERROR(INDEX('06_Stage_Plan'!$B:$B,MATCH($A26,'06_Stage_Plan'!$A:$A,0)),""))</f>
        <v/>
      </c>
      <c r="F26" s="10" t="n"/>
      <c r="G26" s="10" t="n"/>
      <c r="H26" s="9" t="n"/>
      <c r="I26" s="9" t="n"/>
      <c r="J26" s="9">
        <f>IF(OR($K26="",$L26=""),"",($L26-$K26)*100)</f>
        <v/>
      </c>
      <c r="K26" s="10" t="n"/>
      <c r="L26" s="10" t="n"/>
      <c r="M26" s="9">
        <f>IF(OR($K26="",$L26=""),"",MIN(INDEX('01_SSOT_Master'!$B:$B,MATCH("Molded Depth (D)",'01_SSOT_Master'!$A:$A,0))-$K26,INDEX('01_SSOT_Master'!$B:$B,MATCH("Molded Depth (D)",'01_SSOT_Master'!$A:$A,0))-$L26))</f>
        <v/>
      </c>
      <c r="N26" s="9">
        <f>IF(OR($K26="",$L26=""),"",MAX(0,(MAX($K26,$L26)+$B$9+$B$10+$B$8)-$B$7))</f>
        <v/>
      </c>
      <c r="O26" s="10" t="n"/>
      <c r="P26" s="9">
        <f>IF(OR($O26="",$N26=""),"",$O26-$N26)</f>
        <v/>
      </c>
      <c r="Q26" s="9">
        <f>IF($A26="","",$B$8)</f>
        <v/>
      </c>
      <c r="R26" s="9">
        <f>IF(OR($O26="",$K26=""),"",($B$7+$O26)-($K26+$B$9+$B$10))</f>
        <v/>
      </c>
      <c r="S26" s="9">
        <f>IF(OR($O26="",$L26=""),"",($B$7+$O26)-($L26+$B$9+$B$10))</f>
        <v/>
      </c>
      <c r="T26" s="10" t="n"/>
      <c r="U26" s="10" t="n"/>
      <c r="V26" s="9">
        <f>IF($A26="","",IF($C26&lt;&gt;"Y","N/A",IF($K26&lt;=$B$5,"PASS","LIMIT")))</f>
        <v/>
      </c>
      <c r="W26" s="9">
        <f>IF($A26="","",IF($L26&gt;=$B$4,"PASS","LIMIT"))</f>
        <v/>
      </c>
      <c r="X26" s="9">
        <f>IF($A26="","",IF(ABS($J26)&lt;=$B$6,"PASS","LIMIT"))</f>
        <v/>
      </c>
      <c r="Y26" s="9">
        <f>IF($A26="","",IF(MIN($R26,$S26)&gt;=$B$8,"PASS","LIMIT"))</f>
        <v/>
      </c>
      <c r="Z26" s="9">
        <f>IF($A26="","",IF($T26="","VERIFY",IF($T26&lt;=6,"PASS","LIMIT")))</f>
        <v/>
      </c>
      <c r="AA26" s="9">
        <f>IF($B26&lt;&gt;"Y","-",IF(OR($V26="LIMIT",$W26="LIMIT",$X26="LIMIT",$Y26="LIMIT"),"STOP","GO"))</f>
        <v/>
      </c>
      <c r="AB26" s="9">
        <f>IF($A26="","",IF($AA26="STOP","ABORT",IF($AA26="RECALC","NO-GO","GO")))</f>
        <v/>
      </c>
      <c r="AC26" s="10" t="n"/>
      <c r="AD26" s="10" t="n"/>
      <c r="AE26" s="10" t="n"/>
      <c r="AF26" s="10" t="n"/>
      <c r="AG26" s="5" t="n"/>
    </row>
    <row r="27">
      <c r="A27" s="10" t="inlineStr">
        <is>
          <t>Stage 6A_Critical (Opt C)</t>
        </is>
      </c>
      <c r="B27" s="9">
        <f>IF($A27="","",IFERROR(INDEX('06_Stage_Plan'!$E:$E,MATCH($A27,'06_Stage_Plan'!$A:$A,0)),""))</f>
        <v/>
      </c>
      <c r="C27" s="9">
        <f>IF($A27="","",IFERROR(INDEX('06_Stage_Plan'!$F:$F,MATCH($A27,'06_Stage_Plan'!$A:$A,0)),""))</f>
        <v/>
      </c>
      <c r="D27" s="6">
        <f>IF($A27="","",IFERROR(INDEX('06_Stage_Plan'!$H:$H,MATCH($A27,'06_Stage_Plan'!$A:$A,0)),""))</f>
        <v/>
      </c>
      <c r="E27" s="9">
        <f>IF($A27="","",IFERROR(INDEX('06_Stage_Plan'!$B:$B,MATCH($A27,'06_Stage_Plan'!$A:$A,0)),""))</f>
        <v/>
      </c>
      <c r="F27" s="10" t="n"/>
      <c r="G27" s="10" t="n"/>
      <c r="H27" s="9" t="n"/>
      <c r="I27" s="9" t="n"/>
      <c r="J27" s="9">
        <f>IF(OR($K27="",$L27=""),"",($L27-$K27)*100)</f>
        <v/>
      </c>
      <c r="K27" s="10" t="n"/>
      <c r="L27" s="10" t="n"/>
      <c r="M27" s="9">
        <f>IF(OR($K27="",$L27=""),"",MIN(INDEX('01_SSOT_Master'!$B:$B,MATCH("Molded Depth (D)",'01_SSOT_Master'!$A:$A,0))-$K27,INDEX('01_SSOT_Master'!$B:$B,MATCH("Molded Depth (D)",'01_SSOT_Master'!$A:$A,0))-$L27))</f>
        <v/>
      </c>
      <c r="N27" s="9">
        <f>IF(OR($K27="",$L27=""),"",MAX(0,(MAX($K27,$L27)+$B$9+$B$10+$B$8)-$B$7))</f>
        <v/>
      </c>
      <c r="O27" s="10" t="n"/>
      <c r="P27" s="9">
        <f>IF(OR($O27="",$N27=""),"",$O27-$N27)</f>
        <v/>
      </c>
      <c r="Q27" s="9">
        <f>IF($A27="","",$B$8)</f>
        <v/>
      </c>
      <c r="R27" s="9">
        <f>IF(OR($O27="",$K27=""),"",($B$7+$O27)-($K27+$B$9+$B$10))</f>
        <v/>
      </c>
      <c r="S27" s="9">
        <f>IF(OR($O27="",$L27=""),"",($B$7+$O27)-($L27+$B$9+$B$10))</f>
        <v/>
      </c>
      <c r="T27" s="10" t="n"/>
      <c r="U27" s="10" t="n"/>
      <c r="V27" s="9">
        <f>IF($A27="","",IF($C27&lt;&gt;"Y","N/A",IF($K27&lt;=$B$5,"PASS","LIMIT")))</f>
        <v/>
      </c>
      <c r="W27" s="9">
        <f>IF($A27="","",IF($L27&gt;=$B$4,"PASS","LIMIT"))</f>
        <v/>
      </c>
      <c r="X27" s="9">
        <f>IF($A27="","",IF(ABS($J27)&lt;=$B$6,"PASS","LIMIT"))</f>
        <v/>
      </c>
      <c r="Y27" s="9">
        <f>IF($A27="","",IF(MIN($R27,$S27)&gt;=$B$8,"PASS","LIMIT"))</f>
        <v/>
      </c>
      <c r="Z27" s="9">
        <f>IF($A27="","",IF($T27="","VERIFY",IF($T27&lt;=6,"PASS","LIMIT")))</f>
        <v/>
      </c>
      <c r="AA27" s="9">
        <f>IF($B27&lt;&gt;"Y","-",IF(OR($V27="LIMIT",$W27="LIMIT",$X27="LIMIT",$Y27="LIMIT"),"STOP","GO"))</f>
        <v/>
      </c>
      <c r="AB27" s="9">
        <f>IF($A27="","",IF($AA27="STOP","ABORT",IF($AA27="RECALC","NO-GO","GO")))</f>
        <v/>
      </c>
      <c r="AC27" s="10" t="n"/>
      <c r="AD27" s="10" t="n"/>
      <c r="AE27" s="10" t="n"/>
      <c r="AF27" s="10" t="n"/>
      <c r="AG27" s="5" t="n"/>
    </row>
    <row r="28">
      <c r="A28" s="10" t="inlineStr">
        <is>
          <t>Stage 6C</t>
        </is>
      </c>
      <c r="B28" s="9">
        <f>IF($A28="","",IFERROR(INDEX('06_Stage_Plan'!$E:$E,MATCH($A28,'06_Stage_Plan'!$A:$A,0)),""))</f>
        <v/>
      </c>
      <c r="C28" s="9">
        <f>IF($A28="","",IFERROR(INDEX('06_Stage_Plan'!$F:$F,MATCH($A28,'06_Stage_Plan'!$A:$A,0)),""))</f>
        <v/>
      </c>
      <c r="D28" s="6">
        <f>IF($A28="","",IFERROR(INDEX('06_Stage_Plan'!$H:$H,MATCH($A28,'06_Stage_Plan'!$A:$A,0)),""))</f>
        <v/>
      </c>
      <c r="E28" s="9">
        <f>IF($A28="","",IFERROR(INDEX('06_Stage_Plan'!$B:$B,MATCH($A28,'06_Stage_Plan'!$A:$A,0)),""))</f>
        <v/>
      </c>
      <c r="F28" s="10" t="n"/>
      <c r="G28" s="10" t="n"/>
      <c r="H28" s="9" t="n"/>
      <c r="I28" s="9" t="n"/>
      <c r="J28" s="9">
        <f>IF(OR($K28="",$L28=""),"",($L28-$K28)*100)</f>
        <v/>
      </c>
      <c r="K28" s="10" t="n"/>
      <c r="L28" s="10" t="n"/>
      <c r="M28" s="9">
        <f>IF(OR($K28="",$L28=""),"",MIN(INDEX('01_SSOT_Master'!$B:$B,MATCH("Molded Depth (D)",'01_SSOT_Master'!$A:$A,0))-$K28,INDEX('01_SSOT_Master'!$B:$B,MATCH("Molded Depth (D)",'01_SSOT_Master'!$A:$A,0))-$L28))</f>
        <v/>
      </c>
      <c r="N28" s="9">
        <f>IF(OR($K28="",$L28=""),"",MAX(0,(MAX($K28,$L28)+$B$9+$B$10+$B$8)-$B$7))</f>
        <v/>
      </c>
      <c r="O28" s="10" t="n"/>
      <c r="P28" s="9">
        <f>IF(OR($O28="",$N28=""),"",$O28-$N28)</f>
        <v/>
      </c>
      <c r="Q28" s="9">
        <f>IF($A28="","",$B$8)</f>
        <v/>
      </c>
      <c r="R28" s="9">
        <f>IF(OR($O28="",$K28=""),"",($B$7+$O28)-($K28+$B$9+$B$10))</f>
        <v/>
      </c>
      <c r="S28" s="9">
        <f>IF(OR($O28="",$L28=""),"",($B$7+$O28)-($L28+$B$9+$B$10))</f>
        <v/>
      </c>
      <c r="T28" s="10" t="n"/>
      <c r="U28" s="10" t="n"/>
      <c r="V28" s="9">
        <f>IF($A28="","",IF($C28&lt;&gt;"Y","N/A",IF($K28&lt;=$B$5,"PASS","LIMIT")))</f>
        <v/>
      </c>
      <c r="W28" s="9">
        <f>IF($A28="","",IF($L28&gt;=$B$4,"PASS","LIMIT"))</f>
        <v/>
      </c>
      <c r="X28" s="9">
        <f>IF($A28="","",IF(ABS($J28)&lt;=$B$6,"PASS","LIMIT"))</f>
        <v/>
      </c>
      <c r="Y28" s="9">
        <f>IF($A28="","",IF(MIN($R28,$S28)&gt;=$B$8,"PASS","LIMIT"))</f>
        <v/>
      </c>
      <c r="Z28" s="9">
        <f>IF($A28="","",IF($T28="","VERIFY",IF($T28&lt;=6,"PASS","LIMIT")))</f>
        <v/>
      </c>
      <c r="AA28" s="9">
        <f>IF($B28&lt;&gt;"Y","-",IF(OR($V28="LIMIT",$W28="LIMIT",$X28="LIMIT",$Y28="LIMIT"),"STOP","GO"))</f>
        <v/>
      </c>
      <c r="AB28" s="9">
        <f>IF($A28="","",IF($AA28="STOP","ABORT",IF($AA28="RECALC","NO-GO","GO")))</f>
        <v/>
      </c>
      <c r="AC28" s="10" t="n"/>
      <c r="AD28" s="10" t="n"/>
      <c r="AE28" s="10" t="n"/>
      <c r="AF28" s="10" t="n"/>
      <c r="AG28" s="5" t="n"/>
    </row>
    <row r="29">
      <c r="A29" s="10" t="inlineStr">
        <is>
          <t>Stage 7</t>
        </is>
      </c>
      <c r="B29" s="9">
        <f>IF($A29="","",IFERROR(INDEX('06_Stage_Plan'!$E:$E,MATCH($A29,'06_Stage_Plan'!$A:$A,0)),""))</f>
        <v/>
      </c>
      <c r="C29" s="9">
        <f>IF($A29="","",IFERROR(INDEX('06_Stage_Plan'!$F:$F,MATCH($A29,'06_Stage_Plan'!$A:$A,0)),""))</f>
        <v/>
      </c>
      <c r="D29" s="6">
        <f>IF($A29="","",IFERROR(INDEX('06_Stage_Plan'!$H:$H,MATCH($A29,'06_Stage_Plan'!$A:$A,0)),""))</f>
        <v/>
      </c>
      <c r="E29" s="9">
        <f>IF($A29="","",IFERROR(INDEX('06_Stage_Plan'!$B:$B,MATCH($A29,'06_Stage_Plan'!$A:$A,0)),""))</f>
        <v/>
      </c>
      <c r="F29" s="10" t="n"/>
      <c r="G29" s="10" t="n"/>
      <c r="H29" s="9" t="n"/>
      <c r="I29" s="9" t="n"/>
      <c r="J29" s="9">
        <f>IF(OR($K29="",$L29=""),"",($L29-$K29)*100)</f>
        <v/>
      </c>
      <c r="K29" s="10" t="n"/>
      <c r="L29" s="10" t="n"/>
      <c r="M29" s="9">
        <f>IF(OR($K29="",$L29=""),"",MIN(INDEX('01_SSOT_Master'!$B:$B,MATCH("Molded Depth (D)",'01_SSOT_Master'!$A:$A,0))-$K29,INDEX('01_SSOT_Master'!$B:$B,MATCH("Molded Depth (D)",'01_SSOT_Master'!$A:$A,0))-$L29))</f>
        <v/>
      </c>
      <c r="N29" s="9">
        <f>IF(OR($K29="",$L29=""),"",MAX(0,(MAX($K29,$L29)+$B$9+$B$10+$B$8)-$B$7))</f>
        <v/>
      </c>
      <c r="O29" s="10" t="n"/>
      <c r="P29" s="9">
        <f>IF(OR($O29="",$N29=""),"",$O29-$N29)</f>
        <v/>
      </c>
      <c r="Q29" s="9">
        <f>IF($A29="","",$B$8)</f>
        <v/>
      </c>
      <c r="R29" s="9">
        <f>IF(OR($O29="",$K29=""),"",($B$7+$O29)-($K29+$B$9+$B$10))</f>
        <v/>
      </c>
      <c r="S29" s="9">
        <f>IF(OR($O29="",$L29=""),"",($B$7+$O29)-($L29+$B$9+$B$10))</f>
        <v/>
      </c>
      <c r="T29" s="10" t="n"/>
      <c r="U29" s="10" t="n"/>
      <c r="V29" s="9">
        <f>IF($A29="","",IF($C29&lt;&gt;"Y","N/A",IF($K29&lt;=$B$5,"PASS","LIMIT")))</f>
        <v/>
      </c>
      <c r="W29" s="9">
        <f>IF($A29="","",IF($L29&gt;=$B$4,"PASS","LIMIT"))</f>
        <v/>
      </c>
      <c r="X29" s="9">
        <f>IF($A29="","",IF(ABS($J29)&lt;=$B$6,"PASS","LIMIT"))</f>
        <v/>
      </c>
      <c r="Y29" s="9">
        <f>IF($A29="","",IF(MIN($R29,$S29)&gt;=$B$8,"PASS","LIMIT"))</f>
        <v/>
      </c>
      <c r="Z29" s="9">
        <f>IF($A29="","",IF($T29="","VERIFY",IF($T29&lt;=6,"PASS","LIMIT")))</f>
        <v/>
      </c>
      <c r="AA29" s="9">
        <f>IF($B29&lt;&gt;"Y","-",IF(OR($V29="LIMIT",$W29="LIMIT",$X29="LIMIT",$Y29="LIMIT"),"STOP","GO"))</f>
        <v/>
      </c>
      <c r="AB29" s="9">
        <f>IF($A29="","",IF($AA29="STOP","ABORT",IF($AA29="RECALC","NO-GO","GO")))</f>
        <v/>
      </c>
      <c r="AC29" s="10" t="n"/>
      <c r="AD29" s="10" t="n"/>
      <c r="AE29" s="10" t="n"/>
      <c r="AF29" s="10" t="n"/>
      <c r="AG29" s="5" t="n"/>
    </row>
    <row r="30">
      <c r="A30" s="10" t="n"/>
      <c r="B30" s="9" t="n"/>
      <c r="C30" s="9" t="n"/>
      <c r="D30" s="6" t="n"/>
      <c r="E30" s="9" t="n"/>
      <c r="F30" s="10" t="n"/>
      <c r="G30" s="10" t="n"/>
      <c r="H30" s="9" t="n"/>
      <c r="I30" s="9" t="n"/>
      <c r="J30" s="9" t="n"/>
      <c r="K30" s="10" t="n"/>
      <c r="L30" s="10" t="n"/>
      <c r="M30" s="9" t="n"/>
      <c r="N30" s="9" t="n"/>
      <c r="O30" s="10" t="n"/>
      <c r="P30" s="9" t="n"/>
      <c r="Q30" s="9" t="n"/>
      <c r="R30" s="9" t="n"/>
      <c r="S30" s="9" t="n"/>
      <c r="T30" s="10" t="n"/>
      <c r="U30" s="10" t="n"/>
      <c r="V30" s="9" t="n"/>
      <c r="W30" s="9" t="n"/>
      <c r="X30" s="9" t="n"/>
      <c r="Y30" s="9" t="n"/>
      <c r="Z30" s="9" t="n"/>
      <c r="AA30" s="9" t="n"/>
      <c r="AB30" s="9" t="n"/>
      <c r="AC30" s="10" t="n"/>
      <c r="AD30" s="10" t="n"/>
      <c r="AE30" s="10" t="n"/>
      <c r="AF30" s="10" t="n"/>
      <c r="AG30" s="5" t="n"/>
    </row>
    <row r="31">
      <c r="A31" s="10" t="n"/>
      <c r="B31" s="9" t="n"/>
      <c r="C31" s="9" t="n"/>
      <c r="D31" s="6" t="n"/>
      <c r="E31" s="9" t="n"/>
      <c r="F31" s="10" t="n"/>
      <c r="G31" s="10" t="n"/>
      <c r="H31" s="9" t="n"/>
      <c r="I31" s="9" t="n"/>
      <c r="J31" s="9" t="n"/>
      <c r="K31" s="10" t="n"/>
      <c r="L31" s="10" t="n"/>
      <c r="M31" s="9" t="n"/>
      <c r="N31" s="9" t="n"/>
      <c r="O31" s="10" t="n"/>
      <c r="P31" s="9" t="n"/>
      <c r="Q31" s="9" t="n"/>
      <c r="R31" s="9" t="n"/>
      <c r="S31" s="9" t="n"/>
      <c r="T31" s="10" t="n"/>
      <c r="U31" s="10" t="n"/>
      <c r="V31" s="9" t="n"/>
      <c r="W31" s="9" t="n"/>
      <c r="X31" s="9" t="n"/>
      <c r="Y31" s="9" t="n"/>
      <c r="Z31" s="9" t="n"/>
      <c r="AA31" s="9" t="n"/>
      <c r="AB31" s="9" t="n"/>
      <c r="AC31" s="10" t="n"/>
      <c r="AD31" s="10" t="n"/>
      <c r="AE31" s="10" t="n"/>
      <c r="AF31" s="10" t="n"/>
      <c r="AG31" s="5" t="n"/>
    </row>
    <row r="32">
      <c r="A32" s="10" t="n"/>
      <c r="B32" s="9" t="n"/>
      <c r="C32" s="9" t="n"/>
      <c r="D32" s="6" t="n"/>
      <c r="E32" s="9" t="n"/>
      <c r="F32" s="10" t="n"/>
      <c r="G32" s="10" t="n"/>
      <c r="H32" s="9" t="n"/>
      <c r="I32" s="9" t="n"/>
      <c r="J32" s="9" t="n"/>
      <c r="K32" s="10" t="n"/>
      <c r="L32" s="10" t="n"/>
      <c r="M32" s="9" t="n"/>
      <c r="N32" s="9" t="n"/>
      <c r="O32" s="10" t="n"/>
      <c r="P32" s="9" t="n"/>
      <c r="Q32" s="9" t="n"/>
      <c r="R32" s="9" t="n"/>
      <c r="S32" s="9" t="n"/>
      <c r="T32" s="10" t="n"/>
      <c r="U32" s="10" t="n"/>
      <c r="V32" s="9" t="n"/>
      <c r="W32" s="9" t="n"/>
      <c r="X32" s="9" t="n"/>
      <c r="Y32" s="9" t="n"/>
      <c r="Z32" s="9" t="n"/>
      <c r="AA32" s="9" t="n"/>
      <c r="AB32" s="9" t="n"/>
      <c r="AC32" s="10" t="n"/>
      <c r="AD32" s="10" t="n"/>
      <c r="AE32" s="10" t="n"/>
      <c r="AF32" s="10" t="n"/>
      <c r="AG32" s="5" t="n"/>
    </row>
    <row r="33">
      <c r="A33" s="10" t="n"/>
      <c r="B33" s="9" t="n"/>
      <c r="C33" s="9" t="n"/>
      <c r="D33" s="6" t="n"/>
      <c r="E33" s="9" t="n"/>
      <c r="F33" s="10" t="n"/>
      <c r="G33" s="10" t="n"/>
      <c r="H33" s="9" t="n"/>
      <c r="I33" s="9" t="n"/>
      <c r="J33" s="9" t="n"/>
      <c r="K33" s="10" t="n"/>
      <c r="L33" s="10" t="n"/>
      <c r="M33" s="9" t="n"/>
      <c r="N33" s="9" t="n"/>
      <c r="O33" s="10" t="n"/>
      <c r="P33" s="9" t="n"/>
      <c r="Q33" s="9" t="n"/>
      <c r="R33" s="9" t="n"/>
      <c r="S33" s="9" t="n"/>
      <c r="T33" s="10" t="n"/>
      <c r="U33" s="10" t="n"/>
      <c r="V33" s="9" t="n"/>
      <c r="W33" s="9" t="n"/>
      <c r="X33" s="9" t="n"/>
      <c r="Y33" s="9" t="n"/>
      <c r="Z33" s="9" t="n"/>
      <c r="AA33" s="9" t="n"/>
      <c r="AB33" s="9" t="n"/>
      <c r="AC33" s="10" t="n"/>
      <c r="AD33" s="10" t="n"/>
      <c r="AE33" s="10" t="n"/>
      <c r="AF33" s="10" t="n"/>
      <c r="AG33" s="5" t="n"/>
    </row>
    <row r="34">
      <c r="A34" s="10" t="n"/>
      <c r="B34" s="9" t="n"/>
      <c r="C34" s="9" t="n"/>
      <c r="D34" s="6" t="n"/>
      <c r="E34" s="9" t="n"/>
      <c r="F34" s="10" t="n"/>
      <c r="G34" s="10" t="n"/>
      <c r="H34" s="9" t="n"/>
      <c r="I34" s="9" t="n"/>
      <c r="J34" s="9" t="n"/>
      <c r="K34" s="10" t="n"/>
      <c r="L34" s="10" t="n"/>
      <c r="M34" s="9" t="n"/>
      <c r="N34" s="9" t="n"/>
      <c r="O34" s="10" t="n"/>
      <c r="P34" s="9" t="n"/>
      <c r="Q34" s="9" t="n"/>
      <c r="R34" s="9" t="n"/>
      <c r="S34" s="9" t="n"/>
      <c r="T34" s="10" t="n"/>
      <c r="U34" s="10" t="n"/>
      <c r="V34" s="9" t="n"/>
      <c r="W34" s="9" t="n"/>
      <c r="X34" s="9" t="n"/>
      <c r="Y34" s="9" t="n"/>
      <c r="Z34" s="9" t="n"/>
      <c r="AA34" s="9" t="n"/>
      <c r="AB34" s="9" t="n"/>
      <c r="AC34" s="10" t="n"/>
      <c r="AD34" s="10" t="n"/>
      <c r="AE34" s="10" t="n"/>
      <c r="AF34" s="10" t="n"/>
      <c r="AG34" s="5" t="n"/>
    </row>
    <row r="35">
      <c r="A35" s="10" t="n"/>
      <c r="B35" s="9" t="n"/>
      <c r="C35" s="9" t="n"/>
      <c r="D35" s="6" t="n"/>
      <c r="E35" s="9" t="n"/>
      <c r="F35" s="10" t="n"/>
      <c r="G35" s="10" t="n"/>
      <c r="H35" s="9" t="n"/>
      <c r="I35" s="9" t="n"/>
      <c r="J35" s="9" t="n"/>
      <c r="K35" s="10" t="n"/>
      <c r="L35" s="10" t="n"/>
      <c r="M35" s="9" t="n"/>
      <c r="N35" s="9" t="n"/>
      <c r="O35" s="10" t="n"/>
      <c r="P35" s="9" t="n"/>
      <c r="Q35" s="9" t="n"/>
      <c r="R35" s="9" t="n"/>
      <c r="S35" s="9" t="n"/>
      <c r="T35" s="10" t="n"/>
      <c r="U35" s="10" t="n"/>
      <c r="V35" s="9" t="n"/>
      <c r="W35" s="9" t="n"/>
      <c r="X35" s="9" t="n"/>
      <c r="Y35" s="9" t="n"/>
      <c r="Z35" s="9" t="n"/>
      <c r="AA35" s="9" t="n"/>
      <c r="AB35" s="9" t="n"/>
      <c r="AC35" s="10" t="n"/>
      <c r="AD35" s="10" t="n"/>
      <c r="AE35" s="10" t="n"/>
      <c r="AF35" s="10" t="n"/>
      <c r="AG35" s="5" t="n"/>
    </row>
    <row r="36">
      <c r="A36" s="10" t="n"/>
      <c r="B36" s="9" t="n"/>
      <c r="C36" s="9" t="n"/>
      <c r="D36" s="6" t="n"/>
      <c r="E36" s="9" t="n"/>
      <c r="F36" s="10" t="n"/>
      <c r="G36" s="10" t="n"/>
      <c r="H36" s="9" t="n"/>
      <c r="I36" s="9" t="n"/>
      <c r="J36" s="9" t="n"/>
      <c r="K36" s="10" t="n"/>
      <c r="L36" s="10" t="n"/>
      <c r="M36" s="9" t="n"/>
      <c r="N36" s="9" t="n"/>
      <c r="O36" s="10" t="n"/>
      <c r="P36" s="9" t="n"/>
      <c r="Q36" s="9" t="n"/>
      <c r="R36" s="9" t="n"/>
      <c r="S36" s="9" t="n"/>
      <c r="T36" s="10" t="n"/>
      <c r="U36" s="10" t="n"/>
      <c r="V36" s="9" t="n"/>
      <c r="W36" s="9" t="n"/>
      <c r="X36" s="9" t="n"/>
      <c r="Y36" s="9" t="n"/>
      <c r="Z36" s="9" t="n"/>
      <c r="AA36" s="9" t="n"/>
      <c r="AB36" s="9" t="n"/>
      <c r="AC36" s="10" t="n"/>
      <c r="AD36" s="10" t="n"/>
      <c r="AE36" s="10" t="n"/>
      <c r="AF36" s="10" t="n"/>
      <c r="AG36" s="5" t="n"/>
    </row>
    <row r="37">
      <c r="A37" s="10" t="n"/>
      <c r="B37" s="9" t="n"/>
      <c r="C37" s="9" t="n"/>
      <c r="D37" s="6" t="n"/>
      <c r="E37" s="9" t="n"/>
      <c r="F37" s="10" t="n"/>
      <c r="G37" s="10" t="n"/>
      <c r="H37" s="9" t="n"/>
      <c r="I37" s="9" t="n"/>
      <c r="J37" s="9" t="n"/>
      <c r="K37" s="10" t="n"/>
      <c r="L37" s="10" t="n"/>
      <c r="M37" s="9" t="n"/>
      <c r="N37" s="9" t="n"/>
      <c r="O37" s="10" t="n"/>
      <c r="P37" s="9" t="n"/>
      <c r="Q37" s="9" t="n"/>
      <c r="R37" s="9" t="n"/>
      <c r="S37" s="9" t="n"/>
      <c r="T37" s="10" t="n"/>
      <c r="U37" s="10" t="n"/>
      <c r="V37" s="9" t="n"/>
      <c r="W37" s="9" t="n"/>
      <c r="X37" s="9" t="n"/>
      <c r="Y37" s="9" t="n"/>
      <c r="Z37" s="9" t="n"/>
      <c r="AA37" s="9" t="n"/>
      <c r="AB37" s="9" t="n"/>
      <c r="AC37" s="10" t="n"/>
      <c r="AD37" s="10" t="n"/>
      <c r="AE37" s="10" t="n"/>
      <c r="AF37" s="10" t="n"/>
      <c r="AG37" s="5" t="n"/>
    </row>
    <row r="38">
      <c r="A38" s="10" t="n"/>
      <c r="B38" s="9" t="n"/>
      <c r="C38" s="9" t="n"/>
      <c r="D38" s="6" t="n"/>
      <c r="E38" s="9" t="n"/>
      <c r="F38" s="10" t="n"/>
      <c r="G38" s="10" t="n"/>
      <c r="H38" s="9" t="n"/>
      <c r="I38" s="9" t="n"/>
      <c r="J38" s="9" t="n"/>
      <c r="K38" s="10" t="n"/>
      <c r="L38" s="10" t="n"/>
      <c r="M38" s="9" t="n"/>
      <c r="N38" s="9" t="n"/>
      <c r="O38" s="10" t="n"/>
      <c r="P38" s="9" t="n"/>
      <c r="Q38" s="9" t="n"/>
      <c r="R38" s="9" t="n"/>
      <c r="S38" s="9" t="n"/>
      <c r="T38" s="10" t="n"/>
      <c r="U38" s="10" t="n"/>
      <c r="V38" s="9" t="n"/>
      <c r="W38" s="9" t="n"/>
      <c r="X38" s="9" t="n"/>
      <c r="Y38" s="9" t="n"/>
      <c r="Z38" s="9" t="n"/>
      <c r="AA38" s="9" t="n"/>
      <c r="AB38" s="9" t="n"/>
      <c r="AC38" s="10" t="n"/>
      <c r="AD38" s="10" t="n"/>
      <c r="AE38" s="10" t="n"/>
      <c r="AF38" s="10" t="n"/>
      <c r="AG38" s="5" t="n"/>
    </row>
    <row r="39">
      <c r="A39" s="10" t="n"/>
      <c r="B39" s="9" t="n"/>
      <c r="C39" s="9" t="n"/>
      <c r="D39" s="6" t="n"/>
      <c r="E39" s="9" t="n"/>
      <c r="F39" s="10" t="n"/>
      <c r="G39" s="10" t="n"/>
      <c r="H39" s="9" t="n"/>
      <c r="I39" s="9" t="n"/>
      <c r="J39" s="9" t="n"/>
      <c r="K39" s="10" t="n"/>
      <c r="L39" s="10" t="n"/>
      <c r="M39" s="9" t="n"/>
      <c r="N39" s="9" t="n"/>
      <c r="O39" s="10" t="n"/>
      <c r="P39" s="9" t="n"/>
      <c r="Q39" s="9" t="n"/>
      <c r="R39" s="9" t="n"/>
      <c r="S39" s="9" t="n"/>
      <c r="T39" s="10" t="n"/>
      <c r="U39" s="10" t="n"/>
      <c r="V39" s="9" t="n"/>
      <c r="W39" s="9" t="n"/>
      <c r="X39" s="9" t="n"/>
      <c r="Y39" s="9" t="n"/>
      <c r="Z39" s="9" t="n"/>
      <c r="AA39" s="9" t="n"/>
      <c r="AB39" s="9" t="n"/>
      <c r="AC39" s="10" t="n"/>
      <c r="AD39" s="10" t="n"/>
      <c r="AE39" s="10" t="n"/>
      <c r="AF39" s="10" t="n"/>
      <c r="AG39" s="5" t="n"/>
    </row>
    <row r="40">
      <c r="A40" s="10" t="n"/>
      <c r="B40" s="9" t="n"/>
      <c r="C40" s="9" t="n"/>
      <c r="D40" s="6" t="n"/>
      <c r="E40" s="9" t="n"/>
      <c r="F40" s="10" t="n"/>
      <c r="G40" s="10" t="n"/>
      <c r="H40" s="9" t="n"/>
      <c r="I40" s="9" t="n"/>
      <c r="J40" s="9" t="n"/>
      <c r="K40" s="10" t="n"/>
      <c r="L40" s="10" t="n"/>
      <c r="M40" s="9" t="n"/>
      <c r="N40" s="9" t="n"/>
      <c r="O40" s="10" t="n"/>
      <c r="P40" s="9" t="n"/>
      <c r="Q40" s="9" t="n"/>
      <c r="R40" s="9" t="n"/>
      <c r="S40" s="9" t="n"/>
      <c r="T40" s="10" t="n"/>
      <c r="U40" s="10" t="n"/>
      <c r="V40" s="9" t="n"/>
      <c r="W40" s="9" t="n"/>
      <c r="X40" s="9" t="n"/>
      <c r="Y40" s="9" t="n"/>
      <c r="Z40" s="9" t="n"/>
      <c r="AA40" s="9" t="n"/>
      <c r="AB40" s="9" t="n"/>
      <c r="AC40" s="10" t="n"/>
      <c r="AD40" s="10" t="n"/>
      <c r="AE40" s="10" t="n"/>
      <c r="AF40" s="10" t="n"/>
      <c r="AG40" s="5" t="n"/>
    </row>
    <row r="41">
      <c r="A41" s="10" t="n"/>
      <c r="B41" s="9" t="n"/>
      <c r="C41" s="9" t="n"/>
      <c r="D41" s="6" t="n"/>
      <c r="E41" s="9" t="n"/>
      <c r="F41" s="10" t="n"/>
      <c r="G41" s="10" t="n"/>
      <c r="H41" s="9" t="n"/>
      <c r="I41" s="9" t="n"/>
      <c r="J41" s="9" t="n"/>
      <c r="K41" s="10" t="n"/>
      <c r="L41" s="10" t="n"/>
      <c r="M41" s="9" t="n"/>
      <c r="N41" s="9" t="n"/>
      <c r="O41" s="10" t="n"/>
      <c r="P41" s="9" t="n"/>
      <c r="Q41" s="9" t="n"/>
      <c r="R41" s="9" t="n"/>
      <c r="S41" s="9" t="n"/>
      <c r="T41" s="10" t="n"/>
      <c r="U41" s="10" t="n"/>
      <c r="V41" s="9" t="n"/>
      <c r="W41" s="9" t="n"/>
      <c r="X41" s="9" t="n"/>
      <c r="Y41" s="9" t="n"/>
      <c r="Z41" s="9" t="n"/>
      <c r="AA41" s="9" t="n"/>
      <c r="AB41" s="9" t="n"/>
      <c r="AC41" s="10" t="n"/>
      <c r="AD41" s="10" t="n"/>
      <c r="AE41" s="10" t="n"/>
      <c r="AF41" s="10" t="n"/>
      <c r="AG41" s="5" t="n"/>
    </row>
    <row r="42">
      <c r="A42" s="10" t="n"/>
      <c r="B42" s="9" t="n"/>
      <c r="C42" s="9" t="n"/>
      <c r="D42" s="6" t="n"/>
      <c r="E42" s="9" t="n"/>
      <c r="F42" s="10" t="n"/>
      <c r="G42" s="10" t="n"/>
      <c r="H42" s="9" t="n"/>
      <c r="I42" s="9" t="n"/>
      <c r="J42" s="9" t="n"/>
      <c r="K42" s="10" t="n"/>
      <c r="L42" s="10" t="n"/>
      <c r="M42" s="9" t="n"/>
      <c r="N42" s="9" t="n"/>
      <c r="O42" s="10" t="n"/>
      <c r="P42" s="9" t="n"/>
      <c r="Q42" s="9" t="n"/>
      <c r="R42" s="9" t="n"/>
      <c r="S42" s="9" t="n"/>
      <c r="T42" s="10" t="n"/>
      <c r="U42" s="10" t="n"/>
      <c r="V42" s="9" t="n"/>
      <c r="W42" s="9" t="n"/>
      <c r="X42" s="9" t="n"/>
      <c r="Y42" s="9" t="n"/>
      <c r="Z42" s="9" t="n"/>
      <c r="AA42" s="9" t="n"/>
      <c r="AB42" s="9" t="n"/>
      <c r="AC42" s="10" t="n"/>
      <c r="AD42" s="10" t="n"/>
      <c r="AE42" s="10" t="n"/>
      <c r="AF42" s="10" t="n"/>
      <c r="AG42" s="5" t="n"/>
    </row>
    <row r="43">
      <c r="A43" s="10" t="n"/>
      <c r="B43" s="9" t="n"/>
      <c r="C43" s="9" t="n"/>
      <c r="D43" s="6" t="n"/>
      <c r="E43" s="9" t="n"/>
      <c r="F43" s="10" t="n"/>
      <c r="G43" s="10" t="n"/>
      <c r="H43" s="9" t="n"/>
      <c r="I43" s="9" t="n"/>
      <c r="J43" s="9" t="n"/>
      <c r="K43" s="10" t="n"/>
      <c r="L43" s="10" t="n"/>
      <c r="M43" s="9" t="n"/>
      <c r="N43" s="9" t="n"/>
      <c r="O43" s="10" t="n"/>
      <c r="P43" s="9" t="n"/>
      <c r="Q43" s="9" t="n"/>
      <c r="R43" s="9" t="n"/>
      <c r="S43" s="9" t="n"/>
      <c r="T43" s="10" t="n"/>
      <c r="U43" s="10" t="n"/>
      <c r="V43" s="9" t="n"/>
      <c r="W43" s="9" t="n"/>
      <c r="X43" s="9" t="n"/>
      <c r="Y43" s="9" t="n"/>
      <c r="Z43" s="9" t="n"/>
      <c r="AA43" s="9" t="n"/>
      <c r="AB43" s="9" t="n"/>
      <c r="AC43" s="10" t="n"/>
      <c r="AD43" s="10" t="n"/>
      <c r="AE43" s="10" t="n"/>
      <c r="AF43" s="10" t="n"/>
      <c r="AG43" s="5" t="n"/>
    </row>
    <row r="44">
      <c r="A44" s="10" t="n"/>
      <c r="B44" s="9" t="n"/>
      <c r="C44" s="9" t="n"/>
      <c r="D44" s="6" t="n"/>
      <c r="E44" s="9" t="n"/>
      <c r="F44" s="10" t="n"/>
      <c r="G44" s="10" t="n"/>
      <c r="H44" s="9" t="n"/>
      <c r="I44" s="9" t="n"/>
      <c r="J44" s="9" t="n"/>
      <c r="K44" s="10" t="n"/>
      <c r="L44" s="10" t="n"/>
      <c r="M44" s="9" t="n"/>
      <c r="N44" s="9" t="n"/>
      <c r="O44" s="10" t="n"/>
      <c r="P44" s="9" t="n"/>
      <c r="Q44" s="9" t="n"/>
      <c r="R44" s="9" t="n"/>
      <c r="S44" s="9" t="n"/>
      <c r="T44" s="10" t="n"/>
      <c r="U44" s="10" t="n"/>
      <c r="V44" s="9" t="n"/>
      <c r="W44" s="9" t="n"/>
      <c r="X44" s="9" t="n"/>
      <c r="Y44" s="9" t="n"/>
      <c r="Z44" s="9" t="n"/>
      <c r="AA44" s="9" t="n"/>
      <c r="AB44" s="9" t="n"/>
      <c r="AC44" s="10" t="n"/>
      <c r="AD44" s="10" t="n"/>
      <c r="AE44" s="10" t="n"/>
      <c r="AF44" s="10" t="n"/>
      <c r="AG44" s="5" t="n"/>
    </row>
    <row r="45">
      <c r="A45" s="10" t="n"/>
      <c r="B45" s="9" t="n"/>
      <c r="C45" s="9" t="n"/>
      <c r="D45" s="6" t="n"/>
      <c r="E45" s="9" t="n"/>
      <c r="F45" s="10" t="n"/>
      <c r="G45" s="10" t="n"/>
      <c r="H45" s="9" t="n"/>
      <c r="I45" s="9" t="n"/>
      <c r="J45" s="9" t="n"/>
      <c r="K45" s="10" t="n"/>
      <c r="L45" s="10" t="n"/>
      <c r="M45" s="9" t="n"/>
      <c r="N45" s="9" t="n"/>
      <c r="O45" s="10" t="n"/>
      <c r="P45" s="9" t="n"/>
      <c r="Q45" s="9" t="n"/>
      <c r="R45" s="9" t="n"/>
      <c r="S45" s="9" t="n"/>
      <c r="T45" s="10" t="n"/>
      <c r="U45" s="10" t="n"/>
      <c r="V45" s="9" t="n"/>
      <c r="W45" s="9" t="n"/>
      <c r="X45" s="9" t="n"/>
      <c r="Y45" s="9" t="n"/>
      <c r="Z45" s="9" t="n"/>
      <c r="AA45" s="9" t="n"/>
      <c r="AB45" s="9" t="n"/>
      <c r="AC45" s="10" t="n"/>
      <c r="AD45" s="10" t="n"/>
      <c r="AE45" s="10" t="n"/>
      <c r="AF45" s="10" t="n"/>
      <c r="AG45" s="5" t="n"/>
    </row>
    <row r="46">
      <c r="A46" s="10" t="n"/>
      <c r="B46" s="9" t="n"/>
      <c r="C46" s="9" t="n"/>
      <c r="D46" s="6" t="n"/>
      <c r="E46" s="9" t="n"/>
      <c r="F46" s="10" t="n"/>
      <c r="G46" s="10" t="n"/>
      <c r="H46" s="9" t="n"/>
      <c r="I46" s="9" t="n"/>
      <c r="J46" s="9" t="n"/>
      <c r="K46" s="10" t="n"/>
      <c r="L46" s="10" t="n"/>
      <c r="M46" s="9" t="n"/>
      <c r="N46" s="9" t="n"/>
      <c r="O46" s="10" t="n"/>
      <c r="P46" s="9" t="n"/>
      <c r="Q46" s="9" t="n"/>
      <c r="R46" s="9" t="n"/>
      <c r="S46" s="9" t="n"/>
      <c r="T46" s="10" t="n"/>
      <c r="U46" s="10" t="n"/>
      <c r="V46" s="9" t="n"/>
      <c r="W46" s="9" t="n"/>
      <c r="X46" s="9" t="n"/>
      <c r="Y46" s="9" t="n"/>
      <c r="Z46" s="9" t="n"/>
      <c r="AA46" s="9" t="n"/>
      <c r="AB46" s="9" t="n"/>
      <c r="AC46" s="10" t="n"/>
      <c r="AD46" s="10" t="n"/>
      <c r="AE46" s="10" t="n"/>
      <c r="AF46" s="10" t="n"/>
      <c r="AG46" s="5" t="n"/>
    </row>
    <row r="47">
      <c r="A47" s="10" t="n"/>
      <c r="B47" s="9" t="n"/>
      <c r="C47" s="9" t="n"/>
      <c r="D47" s="6" t="n"/>
      <c r="E47" s="9" t="n"/>
      <c r="F47" s="10" t="n"/>
      <c r="G47" s="10" t="n"/>
      <c r="H47" s="9" t="n"/>
      <c r="I47" s="9" t="n"/>
      <c r="J47" s="9" t="n"/>
      <c r="K47" s="10" t="n"/>
      <c r="L47" s="10" t="n"/>
      <c r="M47" s="9" t="n"/>
      <c r="N47" s="9" t="n"/>
      <c r="O47" s="10" t="n"/>
      <c r="P47" s="9" t="n"/>
      <c r="Q47" s="9" t="n"/>
      <c r="R47" s="9" t="n"/>
      <c r="S47" s="9" t="n"/>
      <c r="T47" s="10" t="n"/>
      <c r="U47" s="10" t="n"/>
      <c r="V47" s="9" t="n"/>
      <c r="W47" s="9" t="n"/>
      <c r="X47" s="9" t="n"/>
      <c r="Y47" s="9" t="n"/>
      <c r="Z47" s="9" t="n"/>
      <c r="AA47" s="9" t="n"/>
      <c r="AB47" s="9" t="n"/>
      <c r="AC47" s="10" t="n"/>
      <c r="AD47" s="10" t="n"/>
      <c r="AE47" s="10" t="n"/>
      <c r="AF47" s="10" t="n"/>
      <c r="AG47" s="5" t="n"/>
    </row>
    <row r="48">
      <c r="A48" s="10" t="n"/>
      <c r="B48" s="9" t="n"/>
      <c r="C48" s="9" t="n"/>
      <c r="D48" s="6" t="n"/>
      <c r="E48" s="9" t="n"/>
      <c r="F48" s="10" t="n"/>
      <c r="G48" s="10" t="n"/>
      <c r="H48" s="9" t="n"/>
      <c r="I48" s="9" t="n"/>
      <c r="J48" s="9" t="n"/>
      <c r="K48" s="10" t="n"/>
      <c r="L48" s="10" t="n"/>
      <c r="M48" s="9" t="n"/>
      <c r="N48" s="9" t="n"/>
      <c r="O48" s="10" t="n"/>
      <c r="P48" s="9" t="n"/>
      <c r="Q48" s="9" t="n"/>
      <c r="R48" s="9" t="n"/>
      <c r="S48" s="9" t="n"/>
      <c r="T48" s="10" t="n"/>
      <c r="U48" s="10" t="n"/>
      <c r="V48" s="9" t="n"/>
      <c r="W48" s="9" t="n"/>
      <c r="X48" s="9" t="n"/>
      <c r="Y48" s="9" t="n"/>
      <c r="Z48" s="9" t="n"/>
      <c r="AA48" s="9" t="n"/>
      <c r="AB48" s="9" t="n"/>
      <c r="AC48" s="10" t="n"/>
      <c r="AD48" s="10" t="n"/>
      <c r="AE48" s="10" t="n"/>
      <c r="AF48" s="10" t="n"/>
      <c r="AG48" s="5" t="n"/>
    </row>
    <row r="49">
      <c r="A49" s="10" t="n"/>
      <c r="B49" s="9" t="n"/>
      <c r="C49" s="9" t="n"/>
      <c r="D49" s="6" t="n"/>
      <c r="E49" s="9" t="n"/>
      <c r="F49" s="10" t="n"/>
      <c r="G49" s="10" t="n"/>
      <c r="H49" s="9" t="n"/>
      <c r="I49" s="9" t="n"/>
      <c r="J49" s="9" t="n"/>
      <c r="K49" s="10" t="n"/>
      <c r="L49" s="10" t="n"/>
      <c r="M49" s="9" t="n"/>
      <c r="N49" s="9" t="n"/>
      <c r="O49" s="10" t="n"/>
      <c r="P49" s="9" t="n"/>
      <c r="Q49" s="9" t="n"/>
      <c r="R49" s="9" t="n"/>
      <c r="S49" s="9" t="n"/>
      <c r="T49" s="10" t="n"/>
      <c r="U49" s="10" t="n"/>
      <c r="V49" s="9" t="n"/>
      <c r="W49" s="9" t="n"/>
      <c r="X49" s="9" t="n"/>
      <c r="Y49" s="9" t="n"/>
      <c r="Z49" s="9" t="n"/>
      <c r="AA49" s="9" t="n"/>
      <c r="AB49" s="9" t="n"/>
      <c r="AC49" s="10" t="n"/>
      <c r="AD49" s="10" t="n"/>
      <c r="AE49" s="10" t="n"/>
      <c r="AF49" s="10" t="n"/>
      <c r="AG49" s="5" t="n"/>
    </row>
    <row r="50">
      <c r="A50" s="10" t="n"/>
      <c r="B50" s="9" t="n"/>
      <c r="C50" s="9" t="n"/>
      <c r="D50" s="6" t="n"/>
      <c r="E50" s="9" t="n"/>
      <c r="F50" s="10" t="n"/>
      <c r="G50" s="10" t="n"/>
      <c r="H50" s="9" t="n"/>
      <c r="I50" s="9" t="n"/>
      <c r="J50" s="9" t="n"/>
      <c r="K50" s="10" t="n"/>
      <c r="L50" s="10" t="n"/>
      <c r="M50" s="9" t="n"/>
      <c r="N50" s="9" t="n"/>
      <c r="O50" s="10" t="n"/>
      <c r="P50" s="9" t="n"/>
      <c r="Q50" s="9" t="n"/>
      <c r="R50" s="9" t="n"/>
      <c r="S50" s="9" t="n"/>
      <c r="T50" s="10" t="n"/>
      <c r="U50" s="10" t="n"/>
      <c r="V50" s="9" t="n"/>
      <c r="W50" s="9" t="n"/>
      <c r="X50" s="9" t="n"/>
      <c r="Y50" s="9" t="n"/>
      <c r="Z50" s="9" t="n"/>
      <c r="AA50" s="9" t="n"/>
      <c r="AB50" s="9" t="n"/>
      <c r="AC50" s="10" t="n"/>
      <c r="AD50" s="10" t="n"/>
      <c r="AE50" s="10" t="n"/>
      <c r="AF50" s="10" t="n"/>
      <c r="AG50" s="5" t="n"/>
    </row>
    <row r="51">
      <c r="A51" s="10" t="n"/>
      <c r="B51" s="9" t="n"/>
      <c r="C51" s="9" t="n"/>
      <c r="D51" s="6" t="n"/>
      <c r="E51" s="9" t="n"/>
      <c r="F51" s="10" t="n"/>
      <c r="G51" s="10" t="n"/>
      <c r="H51" s="9" t="n"/>
      <c r="I51" s="9" t="n"/>
      <c r="J51" s="9" t="n"/>
      <c r="K51" s="10" t="n"/>
      <c r="L51" s="10" t="n"/>
      <c r="M51" s="9" t="n"/>
      <c r="N51" s="9" t="n"/>
      <c r="O51" s="10" t="n"/>
      <c r="P51" s="9" t="n"/>
      <c r="Q51" s="9" t="n"/>
      <c r="R51" s="9" t="n"/>
      <c r="S51" s="9" t="n"/>
      <c r="T51" s="10" t="n"/>
      <c r="U51" s="10" t="n"/>
      <c r="V51" s="9" t="n"/>
      <c r="W51" s="9" t="n"/>
      <c r="X51" s="9" t="n"/>
      <c r="Y51" s="9" t="n"/>
      <c r="Z51" s="9" t="n"/>
      <c r="AA51" s="9" t="n"/>
      <c r="AB51" s="9" t="n"/>
      <c r="AC51" s="10" t="n"/>
      <c r="AD51" s="10" t="n"/>
      <c r="AE51" s="10" t="n"/>
      <c r="AF51" s="10" t="n"/>
      <c r="AG51" s="5" t="n"/>
    </row>
    <row r="52">
      <c r="A52" s="10" t="n"/>
      <c r="B52" s="9" t="n"/>
      <c r="C52" s="9" t="n"/>
      <c r="D52" s="6" t="n"/>
      <c r="E52" s="9" t="n"/>
      <c r="F52" s="10" t="n"/>
      <c r="G52" s="10" t="n"/>
      <c r="H52" s="9" t="n"/>
      <c r="I52" s="9" t="n"/>
      <c r="J52" s="9" t="n"/>
      <c r="K52" s="10" t="n"/>
      <c r="L52" s="10" t="n"/>
      <c r="M52" s="9" t="n"/>
      <c r="N52" s="9" t="n"/>
      <c r="O52" s="10" t="n"/>
      <c r="P52" s="9" t="n"/>
      <c r="Q52" s="9" t="n"/>
      <c r="R52" s="9" t="n"/>
      <c r="S52" s="9" t="n"/>
      <c r="T52" s="10" t="n"/>
      <c r="U52" s="10" t="n"/>
      <c r="V52" s="9" t="n"/>
      <c r="W52" s="9" t="n"/>
      <c r="X52" s="9" t="n"/>
      <c r="Y52" s="9" t="n"/>
      <c r="Z52" s="9" t="n"/>
      <c r="AA52" s="9" t="n"/>
      <c r="AB52" s="9" t="n"/>
      <c r="AC52" s="10" t="n"/>
      <c r="AD52" s="10" t="n"/>
      <c r="AE52" s="10" t="n"/>
      <c r="AF52" s="10" t="n"/>
      <c r="AG52" s="5" t="n"/>
    </row>
    <row r="53">
      <c r="A53" s="10" t="n"/>
      <c r="B53" s="9" t="n"/>
      <c r="C53" s="9" t="n"/>
      <c r="D53" s="6" t="n"/>
      <c r="E53" s="9" t="n"/>
      <c r="F53" s="10" t="n"/>
      <c r="G53" s="10" t="n"/>
      <c r="H53" s="9" t="n"/>
      <c r="I53" s="9" t="n"/>
      <c r="J53" s="9" t="n"/>
      <c r="K53" s="10" t="n"/>
      <c r="L53" s="10" t="n"/>
      <c r="M53" s="9" t="n"/>
      <c r="N53" s="9" t="n"/>
      <c r="O53" s="10" t="n"/>
      <c r="P53" s="9" t="n"/>
      <c r="Q53" s="9" t="n"/>
      <c r="R53" s="9" t="n"/>
      <c r="S53" s="9" t="n"/>
      <c r="T53" s="10" t="n"/>
      <c r="U53" s="10" t="n"/>
      <c r="V53" s="9" t="n"/>
      <c r="W53" s="9" t="n"/>
      <c r="X53" s="9" t="n"/>
      <c r="Y53" s="9" t="n"/>
      <c r="Z53" s="9" t="n"/>
      <c r="AA53" s="9" t="n"/>
      <c r="AB53" s="9" t="n"/>
      <c r="AC53" s="10" t="n"/>
      <c r="AD53" s="10" t="n"/>
      <c r="AE53" s="10" t="n"/>
      <c r="AF53" s="10" t="n"/>
      <c r="AG53" s="5" t="n"/>
    </row>
    <row r="54">
      <c r="A54" s="10" t="n"/>
      <c r="B54" s="9" t="n"/>
      <c r="C54" s="9" t="n"/>
      <c r="D54" s="6" t="n"/>
      <c r="E54" s="9" t="n"/>
      <c r="F54" s="10" t="n"/>
      <c r="G54" s="10" t="n"/>
      <c r="H54" s="9" t="n"/>
      <c r="I54" s="9" t="n"/>
      <c r="J54" s="9" t="n"/>
      <c r="K54" s="10" t="n"/>
      <c r="L54" s="10" t="n"/>
      <c r="M54" s="9" t="n"/>
      <c r="N54" s="9" t="n"/>
      <c r="O54" s="10" t="n"/>
      <c r="P54" s="9" t="n"/>
      <c r="Q54" s="9" t="n"/>
      <c r="R54" s="9" t="n"/>
      <c r="S54" s="9" t="n"/>
      <c r="T54" s="10" t="n"/>
      <c r="U54" s="10" t="n"/>
      <c r="V54" s="9" t="n"/>
      <c r="W54" s="9" t="n"/>
      <c r="X54" s="9" t="n"/>
      <c r="Y54" s="9" t="n"/>
      <c r="Z54" s="9" t="n"/>
      <c r="AA54" s="9" t="n"/>
      <c r="AB54" s="9" t="n"/>
      <c r="AC54" s="10" t="n"/>
      <c r="AD54" s="10" t="n"/>
      <c r="AE54" s="10" t="n"/>
      <c r="AF54" s="10" t="n"/>
      <c r="AG54" s="5" t="n"/>
    </row>
    <row r="55">
      <c r="A55" s="10" t="n"/>
      <c r="B55" s="9" t="n"/>
      <c r="C55" s="9" t="n"/>
      <c r="D55" s="6" t="n"/>
      <c r="E55" s="9" t="n"/>
      <c r="F55" s="10" t="n"/>
      <c r="G55" s="10" t="n"/>
      <c r="H55" s="9" t="n"/>
      <c r="I55" s="9" t="n"/>
      <c r="J55" s="9" t="n"/>
      <c r="K55" s="10" t="n"/>
      <c r="L55" s="10" t="n"/>
      <c r="M55" s="9" t="n"/>
      <c r="N55" s="9" t="n"/>
      <c r="O55" s="10" t="n"/>
      <c r="P55" s="9" t="n"/>
      <c r="Q55" s="9" t="n"/>
      <c r="R55" s="9" t="n"/>
      <c r="S55" s="9" t="n"/>
      <c r="T55" s="10" t="n"/>
      <c r="U55" s="10" t="n"/>
      <c r="V55" s="9" t="n"/>
      <c r="W55" s="9" t="n"/>
      <c r="X55" s="9" t="n"/>
      <c r="Y55" s="9" t="n"/>
      <c r="Z55" s="9" t="n"/>
      <c r="AA55" s="9" t="n"/>
      <c r="AB55" s="9" t="n"/>
      <c r="AC55" s="10" t="n"/>
      <c r="AD55" s="10" t="n"/>
      <c r="AE55" s="10" t="n"/>
      <c r="AF55" s="10" t="n"/>
      <c r="AG55" s="5" t="n"/>
    </row>
    <row r="56">
      <c r="A56" s="10" t="n"/>
      <c r="B56" s="9" t="n"/>
      <c r="C56" s="9" t="n"/>
      <c r="D56" s="6" t="n"/>
      <c r="E56" s="9" t="n"/>
      <c r="F56" s="10" t="n"/>
      <c r="G56" s="10" t="n"/>
      <c r="H56" s="9" t="n"/>
      <c r="I56" s="9" t="n"/>
      <c r="J56" s="9" t="n"/>
      <c r="K56" s="10" t="n"/>
      <c r="L56" s="10" t="n"/>
      <c r="M56" s="9" t="n"/>
      <c r="N56" s="9" t="n"/>
      <c r="O56" s="10" t="n"/>
      <c r="P56" s="9" t="n"/>
      <c r="Q56" s="9" t="n"/>
      <c r="R56" s="9" t="n"/>
      <c r="S56" s="9" t="n"/>
      <c r="T56" s="10" t="n"/>
      <c r="U56" s="10" t="n"/>
      <c r="V56" s="9" t="n"/>
      <c r="W56" s="9" t="n"/>
      <c r="X56" s="9" t="n"/>
      <c r="Y56" s="9" t="n"/>
      <c r="Z56" s="9" t="n"/>
      <c r="AA56" s="9" t="n"/>
      <c r="AB56" s="9" t="n"/>
      <c r="AC56" s="10" t="n"/>
      <c r="AD56" s="10" t="n"/>
      <c r="AE56" s="10" t="n"/>
      <c r="AF56" s="10" t="n"/>
      <c r="AG56" s="5" t="n"/>
    </row>
    <row r="57">
      <c r="A57" s="10" t="n"/>
      <c r="B57" s="9" t="n"/>
      <c r="C57" s="9" t="n"/>
      <c r="D57" s="6" t="n"/>
      <c r="E57" s="9" t="n"/>
      <c r="F57" s="10" t="n"/>
      <c r="G57" s="10" t="n"/>
      <c r="H57" s="9" t="n"/>
      <c r="I57" s="9" t="n"/>
      <c r="J57" s="9" t="n"/>
      <c r="K57" s="10" t="n"/>
      <c r="L57" s="10" t="n"/>
      <c r="M57" s="9" t="n"/>
      <c r="N57" s="9" t="n"/>
      <c r="O57" s="10" t="n"/>
      <c r="P57" s="9" t="n"/>
      <c r="Q57" s="9" t="n"/>
      <c r="R57" s="9" t="n"/>
      <c r="S57" s="9" t="n"/>
      <c r="T57" s="10" t="n"/>
      <c r="U57" s="10" t="n"/>
      <c r="V57" s="9" t="n"/>
      <c r="W57" s="9" t="n"/>
      <c r="X57" s="9" t="n"/>
      <c r="Y57" s="9" t="n"/>
      <c r="Z57" s="9" t="n"/>
      <c r="AA57" s="9" t="n"/>
      <c r="AB57" s="9" t="n"/>
      <c r="AC57" s="10" t="n"/>
      <c r="AD57" s="10" t="n"/>
      <c r="AE57" s="10" t="n"/>
      <c r="AF57" s="10" t="n"/>
      <c r="AG57" s="5" t="n"/>
    </row>
    <row r="58">
      <c r="A58" s="10" t="n"/>
      <c r="B58" s="9" t="n"/>
      <c r="C58" s="9" t="n"/>
      <c r="D58" s="6" t="n"/>
      <c r="E58" s="9" t="n"/>
      <c r="F58" s="10" t="n"/>
      <c r="G58" s="10" t="n"/>
      <c r="H58" s="9" t="n"/>
      <c r="I58" s="9" t="n"/>
      <c r="J58" s="9" t="n"/>
      <c r="K58" s="10" t="n"/>
      <c r="L58" s="10" t="n"/>
      <c r="M58" s="9" t="n"/>
      <c r="N58" s="9" t="n"/>
      <c r="O58" s="10" t="n"/>
      <c r="P58" s="9" t="n"/>
      <c r="Q58" s="9" t="n"/>
      <c r="R58" s="9" t="n"/>
      <c r="S58" s="9" t="n"/>
      <c r="T58" s="10" t="n"/>
      <c r="U58" s="10" t="n"/>
      <c r="V58" s="9" t="n"/>
      <c r="W58" s="9" t="n"/>
      <c r="X58" s="9" t="n"/>
      <c r="Y58" s="9" t="n"/>
      <c r="Z58" s="9" t="n"/>
      <c r="AA58" s="9" t="n"/>
      <c r="AB58" s="9" t="n"/>
      <c r="AC58" s="10" t="n"/>
      <c r="AD58" s="10" t="n"/>
      <c r="AE58" s="10" t="n"/>
      <c r="AF58" s="10" t="n"/>
      <c r="AG58" s="5" t="n"/>
    </row>
    <row r="59">
      <c r="A59" s="10" t="n"/>
      <c r="B59" s="9" t="n"/>
      <c r="C59" s="9" t="n"/>
      <c r="D59" s="6" t="n"/>
      <c r="E59" s="9" t="n"/>
      <c r="F59" s="10" t="n"/>
      <c r="G59" s="10" t="n"/>
      <c r="H59" s="9" t="n"/>
      <c r="I59" s="9" t="n"/>
      <c r="J59" s="9" t="n"/>
      <c r="K59" s="10" t="n"/>
      <c r="L59" s="10" t="n"/>
      <c r="M59" s="9" t="n"/>
      <c r="N59" s="9" t="n"/>
      <c r="O59" s="10" t="n"/>
      <c r="P59" s="9" t="n"/>
      <c r="Q59" s="9" t="n"/>
      <c r="R59" s="9" t="n"/>
      <c r="S59" s="9" t="n"/>
      <c r="T59" s="10" t="n"/>
      <c r="U59" s="10" t="n"/>
      <c r="V59" s="9" t="n"/>
      <c r="W59" s="9" t="n"/>
      <c r="X59" s="9" t="n"/>
      <c r="Y59" s="9" t="n"/>
      <c r="Z59" s="9" t="n"/>
      <c r="AA59" s="9" t="n"/>
      <c r="AB59" s="9" t="n"/>
      <c r="AC59" s="10" t="n"/>
      <c r="AD59" s="10" t="n"/>
      <c r="AE59" s="10" t="n"/>
      <c r="AF59" s="10" t="n"/>
      <c r="AG59" s="5" t="n"/>
    </row>
    <row r="60">
      <c r="A60" s="10" t="n"/>
      <c r="B60" s="9" t="n"/>
      <c r="C60" s="9" t="n"/>
      <c r="D60" s="6" t="n"/>
      <c r="E60" s="9" t="n"/>
      <c r="F60" s="10" t="n"/>
      <c r="G60" s="10" t="n"/>
      <c r="H60" s="9" t="n"/>
      <c r="I60" s="9" t="n"/>
      <c r="J60" s="9" t="n"/>
      <c r="K60" s="10" t="n"/>
      <c r="L60" s="10" t="n"/>
      <c r="M60" s="9" t="n"/>
      <c r="N60" s="9" t="n"/>
      <c r="O60" s="10" t="n"/>
      <c r="P60" s="9" t="n"/>
      <c r="Q60" s="9" t="n"/>
      <c r="R60" s="9" t="n"/>
      <c r="S60" s="9" t="n"/>
      <c r="T60" s="10" t="n"/>
      <c r="U60" s="10" t="n"/>
      <c r="V60" s="9" t="n"/>
      <c r="W60" s="9" t="n"/>
      <c r="X60" s="9" t="n"/>
      <c r="Y60" s="9" t="n"/>
      <c r="Z60" s="9" t="n"/>
      <c r="AA60" s="9" t="n"/>
      <c r="AB60" s="9" t="n"/>
      <c r="AC60" s="10" t="n"/>
      <c r="AD60" s="10" t="n"/>
      <c r="AE60" s="10" t="n"/>
      <c r="AF60" s="10" t="n"/>
      <c r="AG60" s="5" t="n"/>
    </row>
    <row r="61">
      <c r="A61" s="10" t="n"/>
      <c r="B61" s="9" t="n"/>
      <c r="C61" s="9" t="n"/>
      <c r="D61" s="6" t="n"/>
      <c r="E61" s="9" t="n"/>
      <c r="F61" s="10" t="n"/>
      <c r="G61" s="10" t="n"/>
      <c r="H61" s="9" t="n"/>
      <c r="I61" s="9" t="n"/>
      <c r="J61" s="9" t="n"/>
      <c r="K61" s="10" t="n"/>
      <c r="L61" s="10" t="n"/>
      <c r="M61" s="9" t="n"/>
      <c r="N61" s="9" t="n"/>
      <c r="O61" s="10" t="n"/>
      <c r="P61" s="9" t="n"/>
      <c r="Q61" s="9" t="n"/>
      <c r="R61" s="9" t="n"/>
      <c r="S61" s="9" t="n"/>
      <c r="T61" s="10" t="n"/>
      <c r="U61" s="10" t="n"/>
      <c r="V61" s="9" t="n"/>
      <c r="W61" s="9" t="n"/>
      <c r="X61" s="9" t="n"/>
      <c r="Y61" s="9" t="n"/>
      <c r="Z61" s="9" t="n"/>
      <c r="AA61" s="9" t="n"/>
      <c r="AB61" s="9" t="n"/>
      <c r="AC61" s="10" t="n"/>
      <c r="AD61" s="10" t="n"/>
      <c r="AE61" s="10" t="n"/>
      <c r="AF61" s="10" t="n"/>
      <c r="AG61" s="5" t="n"/>
    </row>
    <row r="62">
      <c r="A62" s="10" t="n"/>
      <c r="B62" s="9" t="n"/>
      <c r="C62" s="9" t="n"/>
      <c r="D62" s="6" t="n"/>
      <c r="E62" s="9" t="n"/>
      <c r="F62" s="10" t="n"/>
      <c r="G62" s="10" t="n"/>
      <c r="H62" s="9" t="n"/>
      <c r="I62" s="9" t="n"/>
      <c r="J62" s="9" t="n"/>
      <c r="K62" s="10" t="n"/>
      <c r="L62" s="10" t="n"/>
      <c r="M62" s="9" t="n"/>
      <c r="N62" s="9" t="n"/>
      <c r="O62" s="10" t="n"/>
      <c r="P62" s="9" t="n"/>
      <c r="Q62" s="9" t="n"/>
      <c r="R62" s="9" t="n"/>
      <c r="S62" s="9" t="n"/>
      <c r="T62" s="10" t="n"/>
      <c r="U62" s="10" t="n"/>
      <c r="V62" s="9" t="n"/>
      <c r="W62" s="9" t="n"/>
      <c r="X62" s="9" t="n"/>
      <c r="Y62" s="9" t="n"/>
      <c r="Z62" s="9" t="n"/>
      <c r="AA62" s="9" t="n"/>
      <c r="AB62" s="9" t="n"/>
      <c r="AC62" s="10" t="n"/>
      <c r="AD62" s="10" t="n"/>
      <c r="AE62" s="10" t="n"/>
      <c r="AF62" s="10" t="n"/>
      <c r="AG62" s="5" t="n"/>
    </row>
    <row r="63">
      <c r="A63" s="10" t="n"/>
      <c r="B63" s="9" t="n"/>
      <c r="C63" s="9" t="n"/>
      <c r="D63" s="6" t="n"/>
      <c r="E63" s="9" t="n"/>
      <c r="F63" s="10" t="n"/>
      <c r="G63" s="10" t="n"/>
      <c r="H63" s="9" t="n"/>
      <c r="I63" s="9" t="n"/>
      <c r="J63" s="9" t="n"/>
      <c r="K63" s="10" t="n"/>
      <c r="L63" s="10" t="n"/>
      <c r="M63" s="9" t="n"/>
      <c r="N63" s="9" t="n"/>
      <c r="O63" s="10" t="n"/>
      <c r="P63" s="9" t="n"/>
      <c r="Q63" s="9" t="n"/>
      <c r="R63" s="9" t="n"/>
      <c r="S63" s="9" t="n"/>
      <c r="T63" s="10" t="n"/>
      <c r="U63" s="10" t="n"/>
      <c r="V63" s="9" t="n"/>
      <c r="W63" s="9" t="n"/>
      <c r="X63" s="9" t="n"/>
      <c r="Y63" s="9" t="n"/>
      <c r="Z63" s="9" t="n"/>
      <c r="AA63" s="9" t="n"/>
      <c r="AB63" s="9" t="n"/>
      <c r="AC63" s="10" t="n"/>
      <c r="AD63" s="10" t="n"/>
      <c r="AE63" s="10" t="n"/>
      <c r="AF63" s="10" t="n"/>
      <c r="AG63" s="5" t="n"/>
    </row>
    <row r="64">
      <c r="A64" s="10" t="n"/>
      <c r="B64" s="9" t="n"/>
      <c r="C64" s="9" t="n"/>
      <c r="D64" s="6" t="n"/>
      <c r="E64" s="9" t="n"/>
      <c r="F64" s="10" t="n"/>
      <c r="G64" s="10" t="n"/>
      <c r="H64" s="9" t="n"/>
      <c r="I64" s="9" t="n"/>
      <c r="J64" s="9" t="n"/>
      <c r="K64" s="10" t="n"/>
      <c r="L64" s="10" t="n"/>
      <c r="M64" s="9" t="n"/>
      <c r="N64" s="9" t="n"/>
      <c r="O64" s="10" t="n"/>
      <c r="P64" s="9" t="n"/>
      <c r="Q64" s="9" t="n"/>
      <c r="R64" s="9" t="n"/>
      <c r="S64" s="9" t="n"/>
      <c r="T64" s="10" t="n"/>
      <c r="U64" s="10" t="n"/>
      <c r="V64" s="9" t="n"/>
      <c r="W64" s="9" t="n"/>
      <c r="X64" s="9" t="n"/>
      <c r="Y64" s="9" t="n"/>
      <c r="Z64" s="9" t="n"/>
      <c r="AA64" s="9" t="n"/>
      <c r="AB64" s="9" t="n"/>
      <c r="AC64" s="10" t="n"/>
      <c r="AD64" s="10" t="n"/>
      <c r="AE64" s="10" t="n"/>
      <c r="AF64" s="10" t="n"/>
      <c r="AG64" s="5" t="n"/>
    </row>
    <row r="65">
      <c r="A65" s="10" t="n"/>
      <c r="B65" s="9" t="n"/>
      <c r="C65" s="9" t="n"/>
      <c r="D65" s="6" t="n"/>
      <c r="E65" s="9" t="n"/>
      <c r="F65" s="10" t="n"/>
      <c r="G65" s="10" t="n"/>
      <c r="H65" s="9" t="n"/>
      <c r="I65" s="9" t="n"/>
      <c r="J65" s="9" t="n"/>
      <c r="K65" s="10" t="n"/>
      <c r="L65" s="10" t="n"/>
      <c r="M65" s="9" t="n"/>
      <c r="N65" s="9" t="n"/>
      <c r="O65" s="10" t="n"/>
      <c r="P65" s="9" t="n"/>
      <c r="Q65" s="9" t="n"/>
      <c r="R65" s="9" t="n"/>
      <c r="S65" s="9" t="n"/>
      <c r="T65" s="10" t="n"/>
      <c r="U65" s="10" t="n"/>
      <c r="V65" s="9" t="n"/>
      <c r="W65" s="9" t="n"/>
      <c r="X65" s="9" t="n"/>
      <c r="Y65" s="9" t="n"/>
      <c r="Z65" s="9" t="n"/>
      <c r="AA65" s="9" t="n"/>
      <c r="AB65" s="9" t="n"/>
      <c r="AC65" s="10" t="n"/>
      <c r="AD65" s="10" t="n"/>
      <c r="AE65" s="10" t="n"/>
      <c r="AF65" s="10" t="n"/>
      <c r="AG65" s="5" t="n"/>
    </row>
    <row r="66">
      <c r="A66" s="10" t="n"/>
      <c r="B66" s="9" t="n"/>
      <c r="C66" s="9" t="n"/>
      <c r="D66" s="6" t="n"/>
      <c r="E66" s="9" t="n"/>
      <c r="F66" s="10" t="n"/>
      <c r="G66" s="10" t="n"/>
      <c r="H66" s="9" t="n"/>
      <c r="I66" s="9" t="n"/>
      <c r="J66" s="9" t="n"/>
      <c r="K66" s="10" t="n"/>
      <c r="L66" s="10" t="n"/>
      <c r="M66" s="9" t="n"/>
      <c r="N66" s="9" t="n"/>
      <c r="O66" s="10" t="n"/>
      <c r="P66" s="9" t="n"/>
      <c r="Q66" s="9" t="n"/>
      <c r="R66" s="9" t="n"/>
      <c r="S66" s="9" t="n"/>
      <c r="T66" s="10" t="n"/>
      <c r="U66" s="10" t="n"/>
      <c r="V66" s="9" t="n"/>
      <c r="W66" s="9" t="n"/>
      <c r="X66" s="9" t="n"/>
      <c r="Y66" s="9" t="n"/>
      <c r="Z66" s="9" t="n"/>
      <c r="AA66" s="9" t="n"/>
      <c r="AB66" s="9" t="n"/>
      <c r="AC66" s="10" t="n"/>
      <c r="AD66" s="10" t="n"/>
      <c r="AE66" s="10" t="n"/>
      <c r="AF66" s="10" t="n"/>
      <c r="AG66" s="5" t="n"/>
    </row>
    <row r="67">
      <c r="A67" s="10" t="n"/>
      <c r="B67" s="9" t="n"/>
      <c r="C67" s="9" t="n"/>
      <c r="D67" s="6" t="n"/>
      <c r="E67" s="9" t="n"/>
      <c r="F67" s="10" t="n"/>
      <c r="G67" s="10" t="n"/>
      <c r="H67" s="9" t="n"/>
      <c r="I67" s="9" t="n"/>
      <c r="J67" s="9" t="n"/>
      <c r="K67" s="10" t="n"/>
      <c r="L67" s="10" t="n"/>
      <c r="M67" s="9" t="n"/>
      <c r="N67" s="9" t="n"/>
      <c r="O67" s="10" t="n"/>
      <c r="P67" s="9" t="n"/>
      <c r="Q67" s="9" t="n"/>
      <c r="R67" s="9" t="n"/>
      <c r="S67" s="9" t="n"/>
      <c r="T67" s="10" t="n"/>
      <c r="U67" s="10" t="n"/>
      <c r="V67" s="9" t="n"/>
      <c r="W67" s="9" t="n"/>
      <c r="X67" s="9" t="n"/>
      <c r="Y67" s="9" t="n"/>
      <c r="Z67" s="9" t="n"/>
      <c r="AA67" s="9" t="n"/>
      <c r="AB67" s="9" t="n"/>
      <c r="AC67" s="10" t="n"/>
      <c r="AD67" s="10" t="n"/>
      <c r="AE67" s="10" t="n"/>
      <c r="AF67" s="10" t="n"/>
      <c r="AG67" s="5" t="n"/>
    </row>
    <row r="68">
      <c r="A68" s="10" t="n"/>
      <c r="B68" s="9" t="n"/>
      <c r="C68" s="9" t="n"/>
      <c r="D68" s="6" t="n"/>
      <c r="E68" s="9" t="n"/>
      <c r="F68" s="10" t="n"/>
      <c r="G68" s="10" t="n"/>
      <c r="H68" s="9" t="n"/>
      <c r="I68" s="9" t="n"/>
      <c r="J68" s="9" t="n"/>
      <c r="K68" s="10" t="n"/>
      <c r="L68" s="10" t="n"/>
      <c r="M68" s="9" t="n"/>
      <c r="N68" s="9" t="n"/>
      <c r="O68" s="10" t="n"/>
      <c r="P68" s="9" t="n"/>
      <c r="Q68" s="9" t="n"/>
      <c r="R68" s="9" t="n"/>
      <c r="S68" s="9" t="n"/>
      <c r="T68" s="10" t="n"/>
      <c r="U68" s="10" t="n"/>
      <c r="V68" s="9" t="n"/>
      <c r="W68" s="9" t="n"/>
      <c r="X68" s="9" t="n"/>
      <c r="Y68" s="9" t="n"/>
      <c r="Z68" s="9" t="n"/>
      <c r="AA68" s="9" t="n"/>
      <c r="AB68" s="9" t="n"/>
      <c r="AC68" s="10" t="n"/>
      <c r="AD68" s="10" t="n"/>
      <c r="AE68" s="10" t="n"/>
      <c r="AF68" s="10" t="n"/>
      <c r="AG68" s="5" t="n"/>
    </row>
    <row r="69">
      <c r="A69" s="10" t="n"/>
      <c r="B69" s="9" t="n"/>
      <c r="C69" s="9" t="n"/>
      <c r="D69" s="6" t="n"/>
      <c r="E69" s="9" t="n"/>
      <c r="F69" s="10" t="n"/>
      <c r="G69" s="10" t="n"/>
      <c r="H69" s="9" t="n"/>
      <c r="I69" s="9" t="n"/>
      <c r="J69" s="9" t="n"/>
      <c r="K69" s="10" t="n"/>
      <c r="L69" s="10" t="n"/>
      <c r="M69" s="9" t="n"/>
      <c r="N69" s="9" t="n"/>
      <c r="O69" s="10" t="n"/>
      <c r="P69" s="9" t="n"/>
      <c r="Q69" s="9" t="n"/>
      <c r="R69" s="9" t="n"/>
      <c r="S69" s="9" t="n"/>
      <c r="T69" s="10" t="n"/>
      <c r="U69" s="10" t="n"/>
      <c r="V69" s="9" t="n"/>
      <c r="W69" s="9" t="n"/>
      <c r="X69" s="9" t="n"/>
      <c r="Y69" s="9" t="n"/>
      <c r="Z69" s="9" t="n"/>
      <c r="AA69" s="9" t="n"/>
      <c r="AB69" s="9" t="n"/>
      <c r="AC69" s="10" t="n"/>
      <c r="AD69" s="10" t="n"/>
      <c r="AE69" s="10" t="n"/>
      <c r="AF69" s="10" t="n"/>
      <c r="AG69" s="5" t="n"/>
    </row>
    <row r="70">
      <c r="A70" s="10" t="n"/>
      <c r="B70" s="9" t="n"/>
      <c r="C70" s="9" t="n"/>
      <c r="D70" s="6" t="n"/>
      <c r="E70" s="9" t="n"/>
      <c r="F70" s="10" t="n"/>
      <c r="G70" s="10" t="n"/>
      <c r="H70" s="9" t="n"/>
      <c r="I70" s="9" t="n"/>
      <c r="J70" s="9" t="n"/>
      <c r="K70" s="10" t="n"/>
      <c r="L70" s="10" t="n"/>
      <c r="M70" s="9" t="n"/>
      <c r="N70" s="9" t="n"/>
      <c r="O70" s="10" t="n"/>
      <c r="P70" s="9" t="n"/>
      <c r="Q70" s="9" t="n"/>
      <c r="R70" s="9" t="n"/>
      <c r="S70" s="9" t="n"/>
      <c r="T70" s="10" t="n"/>
      <c r="U70" s="10" t="n"/>
      <c r="V70" s="9" t="n"/>
      <c r="W70" s="9" t="n"/>
      <c r="X70" s="9" t="n"/>
      <c r="Y70" s="9" t="n"/>
      <c r="Z70" s="9" t="n"/>
      <c r="AA70" s="9" t="n"/>
      <c r="AB70" s="9" t="n"/>
      <c r="AC70" s="10" t="n"/>
      <c r="AD70" s="10" t="n"/>
      <c r="AE70" s="10" t="n"/>
      <c r="AF70" s="10" t="n"/>
      <c r="AG70" s="5" t="n"/>
    </row>
    <row r="71">
      <c r="A71" s="10" t="n"/>
      <c r="B71" s="9" t="n"/>
      <c r="C71" s="9" t="n"/>
      <c r="D71" s="6" t="n"/>
      <c r="E71" s="9" t="n"/>
      <c r="F71" s="10" t="n"/>
      <c r="G71" s="10" t="n"/>
      <c r="H71" s="9" t="n"/>
      <c r="I71" s="9" t="n"/>
      <c r="J71" s="9" t="n"/>
      <c r="K71" s="10" t="n"/>
      <c r="L71" s="10" t="n"/>
      <c r="M71" s="9" t="n"/>
      <c r="N71" s="9" t="n"/>
      <c r="O71" s="10" t="n"/>
      <c r="P71" s="9" t="n"/>
      <c r="Q71" s="9" t="n"/>
      <c r="R71" s="9" t="n"/>
      <c r="S71" s="9" t="n"/>
      <c r="T71" s="10" t="n"/>
      <c r="U71" s="10" t="n"/>
      <c r="V71" s="9" t="n"/>
      <c r="W71" s="9" t="n"/>
      <c r="X71" s="9" t="n"/>
      <c r="Y71" s="9" t="n"/>
      <c r="Z71" s="9" t="n"/>
      <c r="AA71" s="9" t="n"/>
      <c r="AB71" s="9" t="n"/>
      <c r="AC71" s="10" t="n"/>
      <c r="AD71" s="10" t="n"/>
      <c r="AE71" s="10" t="n"/>
      <c r="AF71" s="10" t="n"/>
      <c r="AG71" s="5" t="n"/>
    </row>
    <row r="72">
      <c r="A72" s="10" t="n"/>
      <c r="B72" s="9" t="n"/>
      <c r="C72" s="9" t="n"/>
      <c r="D72" s="6" t="n"/>
      <c r="E72" s="9" t="n"/>
      <c r="F72" s="10" t="n"/>
      <c r="G72" s="10" t="n"/>
      <c r="H72" s="9" t="n"/>
      <c r="I72" s="9" t="n"/>
      <c r="J72" s="9" t="n"/>
      <c r="K72" s="10" t="n"/>
      <c r="L72" s="10" t="n"/>
      <c r="M72" s="9" t="n"/>
      <c r="N72" s="9" t="n"/>
      <c r="O72" s="10" t="n"/>
      <c r="P72" s="9" t="n"/>
      <c r="Q72" s="9" t="n"/>
      <c r="R72" s="9" t="n"/>
      <c r="S72" s="9" t="n"/>
      <c r="T72" s="10" t="n"/>
      <c r="U72" s="10" t="n"/>
      <c r="V72" s="9" t="n"/>
      <c r="W72" s="9" t="n"/>
      <c r="X72" s="9" t="n"/>
      <c r="Y72" s="9" t="n"/>
      <c r="Z72" s="9" t="n"/>
      <c r="AA72" s="9" t="n"/>
      <c r="AB72" s="9" t="n"/>
      <c r="AC72" s="10" t="n"/>
      <c r="AD72" s="10" t="n"/>
      <c r="AE72" s="10" t="n"/>
      <c r="AF72" s="10" t="n"/>
      <c r="AG72" s="5" t="n"/>
    </row>
    <row r="73">
      <c r="A73" s="10" t="n"/>
      <c r="B73" s="9" t="n"/>
      <c r="C73" s="9" t="n"/>
      <c r="D73" s="6" t="n"/>
      <c r="E73" s="9" t="n"/>
      <c r="F73" s="10" t="n"/>
      <c r="G73" s="10" t="n"/>
      <c r="H73" s="9" t="n"/>
      <c r="I73" s="9" t="n"/>
      <c r="J73" s="9" t="n"/>
      <c r="K73" s="10" t="n"/>
      <c r="L73" s="10" t="n"/>
      <c r="M73" s="9" t="n"/>
      <c r="N73" s="9" t="n"/>
      <c r="O73" s="10" t="n"/>
      <c r="P73" s="9" t="n"/>
      <c r="Q73" s="9" t="n"/>
      <c r="R73" s="9" t="n"/>
      <c r="S73" s="9" t="n"/>
      <c r="T73" s="10" t="n"/>
      <c r="U73" s="10" t="n"/>
      <c r="V73" s="9" t="n"/>
      <c r="W73" s="9" t="n"/>
      <c r="X73" s="9" t="n"/>
      <c r="Y73" s="9" t="n"/>
      <c r="Z73" s="9" t="n"/>
      <c r="AA73" s="9" t="n"/>
      <c r="AB73" s="9" t="n"/>
      <c r="AC73" s="10" t="n"/>
      <c r="AD73" s="10" t="n"/>
      <c r="AE73" s="10" t="n"/>
      <c r="AF73" s="10" t="n"/>
      <c r="AG73" s="5" t="n"/>
    </row>
    <row r="74">
      <c r="A74" s="10" t="n"/>
      <c r="B74" s="9" t="n"/>
      <c r="C74" s="9" t="n"/>
      <c r="D74" s="6" t="n"/>
      <c r="E74" s="9" t="n"/>
      <c r="F74" s="10" t="n"/>
      <c r="G74" s="10" t="n"/>
      <c r="H74" s="9" t="n"/>
      <c r="I74" s="9" t="n"/>
      <c r="J74" s="9" t="n"/>
      <c r="K74" s="10" t="n"/>
      <c r="L74" s="10" t="n"/>
      <c r="M74" s="9" t="n"/>
      <c r="N74" s="9" t="n"/>
      <c r="O74" s="10" t="n"/>
      <c r="P74" s="9" t="n"/>
      <c r="Q74" s="9" t="n"/>
      <c r="R74" s="9" t="n"/>
      <c r="S74" s="9" t="n"/>
      <c r="T74" s="10" t="n"/>
      <c r="U74" s="10" t="n"/>
      <c r="V74" s="9" t="n"/>
      <c r="W74" s="9" t="n"/>
      <c r="X74" s="9" t="n"/>
      <c r="Y74" s="9" t="n"/>
      <c r="Z74" s="9" t="n"/>
      <c r="AA74" s="9" t="n"/>
      <c r="AB74" s="9" t="n"/>
      <c r="AC74" s="10" t="n"/>
      <c r="AD74" s="10" t="n"/>
      <c r="AE74" s="10" t="n"/>
      <c r="AF74" s="10" t="n"/>
      <c r="AG74" s="5" t="n"/>
    </row>
    <row r="75">
      <c r="A75" s="10" t="n"/>
      <c r="B75" s="9" t="n"/>
      <c r="C75" s="9" t="n"/>
      <c r="D75" s="6" t="n"/>
      <c r="E75" s="9" t="n"/>
      <c r="F75" s="10" t="n"/>
      <c r="G75" s="10" t="n"/>
      <c r="H75" s="9" t="n"/>
      <c r="I75" s="9" t="n"/>
      <c r="J75" s="9" t="n"/>
      <c r="K75" s="10" t="n"/>
      <c r="L75" s="10" t="n"/>
      <c r="M75" s="9" t="n"/>
      <c r="N75" s="9" t="n"/>
      <c r="O75" s="10" t="n"/>
      <c r="P75" s="9" t="n"/>
      <c r="Q75" s="9" t="n"/>
      <c r="R75" s="9" t="n"/>
      <c r="S75" s="9" t="n"/>
      <c r="T75" s="10" t="n"/>
      <c r="U75" s="10" t="n"/>
      <c r="V75" s="9" t="n"/>
      <c r="W75" s="9" t="n"/>
      <c r="X75" s="9" t="n"/>
      <c r="Y75" s="9" t="n"/>
      <c r="Z75" s="9" t="n"/>
      <c r="AA75" s="9" t="n"/>
      <c r="AB75" s="9" t="n"/>
      <c r="AC75" s="10" t="n"/>
      <c r="AD75" s="10" t="n"/>
      <c r="AE75" s="10" t="n"/>
      <c r="AF75" s="10" t="n"/>
      <c r="AG75" s="5" t="n"/>
    </row>
    <row r="76">
      <c r="A76" s="10" t="n"/>
      <c r="B76" s="9" t="n"/>
      <c r="C76" s="9" t="n"/>
      <c r="D76" s="6" t="n"/>
      <c r="E76" s="9" t="n"/>
      <c r="F76" s="10" t="n"/>
      <c r="G76" s="10" t="n"/>
      <c r="H76" s="9" t="n"/>
      <c r="I76" s="9" t="n"/>
      <c r="J76" s="9" t="n"/>
      <c r="K76" s="10" t="n"/>
      <c r="L76" s="10" t="n"/>
      <c r="M76" s="9" t="n"/>
      <c r="N76" s="9" t="n"/>
      <c r="O76" s="10" t="n"/>
      <c r="P76" s="9" t="n"/>
      <c r="Q76" s="9" t="n"/>
      <c r="R76" s="9" t="n"/>
      <c r="S76" s="9" t="n"/>
      <c r="T76" s="10" t="n"/>
      <c r="U76" s="10" t="n"/>
      <c r="V76" s="9" t="n"/>
      <c r="W76" s="9" t="n"/>
      <c r="X76" s="9" t="n"/>
      <c r="Y76" s="9" t="n"/>
      <c r="Z76" s="9" t="n"/>
      <c r="AA76" s="9" t="n"/>
      <c r="AB76" s="9" t="n"/>
      <c r="AC76" s="10" t="n"/>
      <c r="AD76" s="10" t="n"/>
      <c r="AE76" s="10" t="n"/>
      <c r="AF76" s="10" t="n"/>
      <c r="AG76" s="5" t="n"/>
    </row>
    <row r="77">
      <c r="A77" s="10" t="n"/>
      <c r="B77" s="9" t="n"/>
      <c r="C77" s="9" t="n"/>
      <c r="D77" s="6" t="n"/>
      <c r="E77" s="9" t="n"/>
      <c r="F77" s="10" t="n"/>
      <c r="G77" s="10" t="n"/>
      <c r="H77" s="9" t="n"/>
      <c r="I77" s="9" t="n"/>
      <c r="J77" s="9" t="n"/>
      <c r="K77" s="10" t="n"/>
      <c r="L77" s="10" t="n"/>
      <c r="M77" s="9" t="n"/>
      <c r="N77" s="9" t="n"/>
      <c r="O77" s="10" t="n"/>
      <c r="P77" s="9" t="n"/>
      <c r="Q77" s="9" t="n"/>
      <c r="R77" s="9" t="n"/>
      <c r="S77" s="9" t="n"/>
      <c r="T77" s="10" t="n"/>
      <c r="U77" s="10" t="n"/>
      <c r="V77" s="9" t="n"/>
      <c r="W77" s="9" t="n"/>
      <c r="X77" s="9" t="n"/>
      <c r="Y77" s="9" t="n"/>
      <c r="Z77" s="9" t="n"/>
      <c r="AA77" s="9" t="n"/>
      <c r="AB77" s="9" t="n"/>
      <c r="AC77" s="10" t="n"/>
      <c r="AD77" s="10" t="n"/>
      <c r="AE77" s="10" t="n"/>
      <c r="AF77" s="10" t="n"/>
      <c r="AG77" s="5" t="n"/>
    </row>
    <row r="78">
      <c r="A78" s="10" t="n"/>
      <c r="B78" s="9" t="n"/>
      <c r="C78" s="9" t="n"/>
      <c r="D78" s="6" t="n"/>
      <c r="E78" s="9" t="n"/>
      <c r="F78" s="10" t="n"/>
      <c r="G78" s="10" t="n"/>
      <c r="H78" s="9" t="n"/>
      <c r="I78" s="9" t="n"/>
      <c r="J78" s="9" t="n"/>
      <c r="K78" s="10" t="n"/>
      <c r="L78" s="10" t="n"/>
      <c r="M78" s="9" t="n"/>
      <c r="N78" s="9" t="n"/>
      <c r="O78" s="10" t="n"/>
      <c r="P78" s="9" t="n"/>
      <c r="Q78" s="9" t="n"/>
      <c r="R78" s="9" t="n"/>
      <c r="S78" s="9" t="n"/>
      <c r="T78" s="10" t="n"/>
      <c r="U78" s="10" t="n"/>
      <c r="V78" s="9" t="n"/>
      <c r="W78" s="9" t="n"/>
      <c r="X78" s="9" t="n"/>
      <c r="Y78" s="9" t="n"/>
      <c r="Z78" s="9" t="n"/>
      <c r="AA78" s="9" t="n"/>
      <c r="AB78" s="9" t="n"/>
      <c r="AC78" s="10" t="n"/>
      <c r="AD78" s="10" t="n"/>
      <c r="AE78" s="10" t="n"/>
      <c r="AF78" s="10" t="n"/>
      <c r="AG78" s="5" t="n"/>
    </row>
    <row r="79">
      <c r="A79" s="10" t="n"/>
      <c r="B79" s="9" t="n"/>
      <c r="C79" s="9" t="n"/>
      <c r="D79" s="6" t="n"/>
      <c r="E79" s="9" t="n"/>
      <c r="F79" s="10" t="n"/>
      <c r="G79" s="10" t="n"/>
      <c r="H79" s="9" t="n"/>
      <c r="I79" s="9" t="n"/>
      <c r="J79" s="9" t="n"/>
      <c r="K79" s="10" t="n"/>
      <c r="L79" s="10" t="n"/>
      <c r="M79" s="9" t="n"/>
      <c r="N79" s="9" t="n"/>
      <c r="O79" s="10" t="n"/>
      <c r="P79" s="9" t="n"/>
      <c r="Q79" s="9" t="n"/>
      <c r="R79" s="9" t="n"/>
      <c r="S79" s="9" t="n"/>
      <c r="T79" s="10" t="n"/>
      <c r="U79" s="10" t="n"/>
      <c r="V79" s="9" t="n"/>
      <c r="W79" s="9" t="n"/>
      <c r="X79" s="9" t="n"/>
      <c r="Y79" s="9" t="n"/>
      <c r="Z79" s="9" t="n"/>
      <c r="AA79" s="9" t="n"/>
      <c r="AB79" s="9" t="n"/>
      <c r="AC79" s="10" t="n"/>
      <c r="AD79" s="10" t="n"/>
      <c r="AE79" s="10" t="n"/>
      <c r="AF79" s="10" t="n"/>
      <c r="AG79" s="5" t="n"/>
    </row>
    <row r="80">
      <c r="A80" s="10" t="n"/>
      <c r="B80" s="9" t="n"/>
      <c r="C80" s="9" t="n"/>
      <c r="D80" s="6" t="n"/>
      <c r="E80" s="9" t="n"/>
      <c r="F80" s="10" t="n"/>
      <c r="G80" s="10" t="n"/>
      <c r="H80" s="9" t="n"/>
      <c r="I80" s="9" t="n"/>
      <c r="J80" s="9" t="n"/>
      <c r="K80" s="10" t="n"/>
      <c r="L80" s="10" t="n"/>
      <c r="M80" s="9" t="n"/>
      <c r="N80" s="9" t="n"/>
      <c r="O80" s="10" t="n"/>
      <c r="P80" s="9" t="n"/>
      <c r="Q80" s="9" t="n"/>
      <c r="R80" s="9" t="n"/>
      <c r="S80" s="9" t="n"/>
      <c r="T80" s="10" t="n"/>
      <c r="U80" s="10" t="n"/>
      <c r="V80" s="9" t="n"/>
      <c r="W80" s="9" t="n"/>
      <c r="X80" s="9" t="n"/>
      <c r="Y80" s="9" t="n"/>
      <c r="Z80" s="9" t="n"/>
      <c r="AA80" s="9" t="n"/>
      <c r="AB80" s="9" t="n"/>
      <c r="AC80" s="10" t="n"/>
      <c r="AD80" s="10" t="n"/>
      <c r="AE80" s="10" t="n"/>
      <c r="AF80" s="10" t="n"/>
      <c r="AG80" s="5" t="n"/>
    </row>
    <row r="81">
      <c r="A81" s="10" t="n"/>
      <c r="B81" s="9" t="n"/>
      <c r="C81" s="9" t="n"/>
      <c r="D81" s="6" t="n"/>
      <c r="E81" s="9" t="n"/>
      <c r="F81" s="10" t="n"/>
      <c r="G81" s="10" t="n"/>
      <c r="H81" s="9" t="n"/>
      <c r="I81" s="9" t="n"/>
      <c r="J81" s="9" t="n"/>
      <c r="K81" s="10" t="n"/>
      <c r="L81" s="10" t="n"/>
      <c r="M81" s="9" t="n"/>
      <c r="N81" s="9" t="n"/>
      <c r="O81" s="10" t="n"/>
      <c r="P81" s="9" t="n"/>
      <c r="Q81" s="9" t="n"/>
      <c r="R81" s="9" t="n"/>
      <c r="S81" s="9" t="n"/>
      <c r="T81" s="10" t="n"/>
      <c r="U81" s="10" t="n"/>
      <c r="V81" s="9" t="n"/>
      <c r="W81" s="9" t="n"/>
      <c r="X81" s="9" t="n"/>
      <c r="Y81" s="9" t="n"/>
      <c r="Z81" s="9" t="n"/>
      <c r="AA81" s="9" t="n"/>
      <c r="AB81" s="9" t="n"/>
      <c r="AC81" s="10" t="n"/>
      <c r="AD81" s="10" t="n"/>
      <c r="AE81" s="10" t="n"/>
      <c r="AF81" s="10" t="n"/>
      <c r="AG81" s="5" t="n"/>
    </row>
    <row r="82">
      <c r="A82" s="10" t="n"/>
      <c r="B82" s="9" t="n"/>
      <c r="C82" s="9" t="n"/>
      <c r="D82" s="6" t="n"/>
      <c r="E82" s="9" t="n"/>
      <c r="F82" s="10" t="n"/>
      <c r="G82" s="10" t="n"/>
      <c r="H82" s="9" t="n"/>
      <c r="I82" s="9" t="n"/>
      <c r="J82" s="9" t="n"/>
      <c r="K82" s="10" t="n"/>
      <c r="L82" s="10" t="n"/>
      <c r="M82" s="9" t="n"/>
      <c r="N82" s="9" t="n"/>
      <c r="O82" s="10" t="n"/>
      <c r="P82" s="9" t="n"/>
      <c r="Q82" s="9" t="n"/>
      <c r="R82" s="9" t="n"/>
      <c r="S82" s="9" t="n"/>
      <c r="T82" s="10" t="n"/>
      <c r="U82" s="10" t="n"/>
      <c r="V82" s="9" t="n"/>
      <c r="W82" s="9" t="n"/>
      <c r="X82" s="9" t="n"/>
      <c r="Y82" s="9" t="n"/>
      <c r="Z82" s="9" t="n"/>
      <c r="AA82" s="9" t="n"/>
      <c r="AB82" s="9" t="n"/>
      <c r="AC82" s="10" t="n"/>
      <c r="AD82" s="10" t="n"/>
      <c r="AE82" s="10" t="n"/>
      <c r="AF82" s="10" t="n"/>
      <c r="AG82" s="5" t="n"/>
    </row>
    <row r="83">
      <c r="A83" s="10" t="n"/>
      <c r="B83" s="9" t="n"/>
      <c r="C83" s="9" t="n"/>
      <c r="D83" s="6" t="n"/>
      <c r="E83" s="9" t="n"/>
      <c r="F83" s="10" t="n"/>
      <c r="G83" s="10" t="n"/>
      <c r="H83" s="9" t="n"/>
      <c r="I83" s="9" t="n"/>
      <c r="J83" s="9" t="n"/>
      <c r="K83" s="10" t="n"/>
      <c r="L83" s="10" t="n"/>
      <c r="M83" s="9" t="n"/>
      <c r="N83" s="9" t="n"/>
      <c r="O83" s="10" t="n"/>
      <c r="P83" s="9" t="n"/>
      <c r="Q83" s="9" t="n"/>
      <c r="R83" s="9" t="n"/>
      <c r="S83" s="9" t="n"/>
      <c r="T83" s="10" t="n"/>
      <c r="U83" s="10" t="n"/>
      <c r="V83" s="9" t="n"/>
      <c r="W83" s="9" t="n"/>
      <c r="X83" s="9" t="n"/>
      <c r="Y83" s="9" t="n"/>
      <c r="Z83" s="9" t="n"/>
      <c r="AA83" s="9" t="n"/>
      <c r="AB83" s="9" t="n"/>
      <c r="AC83" s="10" t="n"/>
      <c r="AD83" s="10" t="n"/>
      <c r="AE83" s="10" t="n"/>
      <c r="AF83" s="10" t="n"/>
      <c r="AG83" s="5" t="n"/>
    </row>
    <row r="84">
      <c r="A84" s="10" t="n"/>
      <c r="B84" s="9" t="n"/>
      <c r="C84" s="9" t="n"/>
      <c r="D84" s="6" t="n"/>
      <c r="E84" s="9" t="n"/>
      <c r="F84" s="10" t="n"/>
      <c r="G84" s="10" t="n"/>
      <c r="H84" s="9" t="n"/>
      <c r="I84" s="9" t="n"/>
      <c r="J84" s="9" t="n"/>
      <c r="K84" s="10" t="n"/>
      <c r="L84" s="10" t="n"/>
      <c r="M84" s="9" t="n"/>
      <c r="N84" s="9" t="n"/>
      <c r="O84" s="10" t="n"/>
      <c r="P84" s="9" t="n"/>
      <c r="Q84" s="9" t="n"/>
      <c r="R84" s="9" t="n"/>
      <c r="S84" s="9" t="n"/>
      <c r="T84" s="10" t="n"/>
      <c r="U84" s="10" t="n"/>
      <c r="V84" s="9" t="n"/>
      <c r="W84" s="9" t="n"/>
      <c r="X84" s="9" t="n"/>
      <c r="Y84" s="9" t="n"/>
      <c r="Z84" s="9" t="n"/>
      <c r="AA84" s="9" t="n"/>
      <c r="AB84" s="9" t="n"/>
      <c r="AC84" s="10" t="n"/>
      <c r="AD84" s="10" t="n"/>
      <c r="AE84" s="10" t="n"/>
      <c r="AF84" s="10" t="n"/>
      <c r="AG84" s="5" t="n"/>
    </row>
    <row r="85">
      <c r="A85" s="10" t="n"/>
      <c r="B85" s="9" t="n"/>
      <c r="C85" s="9" t="n"/>
      <c r="D85" s="6" t="n"/>
      <c r="E85" s="9" t="n"/>
      <c r="F85" s="10" t="n"/>
      <c r="G85" s="10" t="n"/>
      <c r="H85" s="9" t="n"/>
      <c r="I85" s="9" t="n"/>
      <c r="J85" s="9" t="n"/>
      <c r="K85" s="10" t="n"/>
      <c r="L85" s="10" t="n"/>
      <c r="M85" s="9" t="n"/>
      <c r="N85" s="9" t="n"/>
      <c r="O85" s="10" t="n"/>
      <c r="P85" s="9" t="n"/>
      <c r="Q85" s="9" t="n"/>
      <c r="R85" s="9" t="n"/>
      <c r="S85" s="9" t="n"/>
      <c r="T85" s="10" t="n"/>
      <c r="U85" s="10" t="n"/>
      <c r="V85" s="9" t="n"/>
      <c r="W85" s="9" t="n"/>
      <c r="X85" s="9" t="n"/>
      <c r="Y85" s="9" t="n"/>
      <c r="Z85" s="9" t="n"/>
      <c r="AA85" s="9" t="n"/>
      <c r="AB85" s="9" t="n"/>
      <c r="AC85" s="10" t="n"/>
      <c r="AD85" s="10" t="n"/>
      <c r="AE85" s="10" t="n"/>
      <c r="AF85" s="10" t="n"/>
      <c r="AG85" s="5" t="n"/>
    </row>
    <row r="86">
      <c r="A86" s="10" t="n"/>
      <c r="B86" s="9" t="n"/>
      <c r="C86" s="9" t="n"/>
      <c r="D86" s="6" t="n"/>
      <c r="E86" s="9" t="n"/>
      <c r="F86" s="10" t="n"/>
      <c r="G86" s="10" t="n"/>
      <c r="H86" s="9" t="n"/>
      <c r="I86" s="9" t="n"/>
      <c r="J86" s="9" t="n"/>
      <c r="K86" s="10" t="n"/>
      <c r="L86" s="10" t="n"/>
      <c r="M86" s="9" t="n"/>
      <c r="N86" s="9" t="n"/>
      <c r="O86" s="10" t="n"/>
      <c r="P86" s="9" t="n"/>
      <c r="Q86" s="9" t="n"/>
      <c r="R86" s="9" t="n"/>
      <c r="S86" s="9" t="n"/>
      <c r="T86" s="10" t="n"/>
      <c r="U86" s="10" t="n"/>
      <c r="V86" s="9" t="n"/>
      <c r="W86" s="9" t="n"/>
      <c r="X86" s="9" t="n"/>
      <c r="Y86" s="9" t="n"/>
      <c r="Z86" s="9" t="n"/>
      <c r="AA86" s="9" t="n"/>
      <c r="AB86" s="9" t="n"/>
      <c r="AC86" s="10" t="n"/>
      <c r="AD86" s="10" t="n"/>
      <c r="AE86" s="10" t="n"/>
      <c r="AF86" s="10" t="n"/>
      <c r="AG86" s="5" t="n"/>
    </row>
    <row r="87">
      <c r="A87" s="10" t="n"/>
      <c r="B87" s="9" t="n"/>
      <c r="C87" s="9" t="n"/>
      <c r="D87" s="6" t="n"/>
      <c r="E87" s="9" t="n"/>
      <c r="F87" s="10" t="n"/>
      <c r="G87" s="10" t="n"/>
      <c r="H87" s="9" t="n"/>
      <c r="I87" s="9" t="n"/>
      <c r="J87" s="9" t="n"/>
      <c r="K87" s="10" t="n"/>
      <c r="L87" s="10" t="n"/>
      <c r="M87" s="9" t="n"/>
      <c r="N87" s="9" t="n"/>
      <c r="O87" s="10" t="n"/>
      <c r="P87" s="9" t="n"/>
      <c r="Q87" s="9" t="n"/>
      <c r="R87" s="9" t="n"/>
      <c r="S87" s="9" t="n"/>
      <c r="T87" s="10" t="n"/>
      <c r="U87" s="10" t="n"/>
      <c r="V87" s="9" t="n"/>
      <c r="W87" s="9" t="n"/>
      <c r="X87" s="9" t="n"/>
      <c r="Y87" s="9" t="n"/>
      <c r="Z87" s="9" t="n"/>
      <c r="AA87" s="9" t="n"/>
      <c r="AB87" s="9" t="n"/>
      <c r="AC87" s="10" t="n"/>
      <c r="AD87" s="10" t="n"/>
      <c r="AE87" s="10" t="n"/>
      <c r="AF87" s="10" t="n"/>
      <c r="AG87" s="5" t="n"/>
    </row>
    <row r="88">
      <c r="A88" s="10" t="n"/>
      <c r="B88" s="9" t="n"/>
      <c r="C88" s="9" t="n"/>
      <c r="D88" s="6" t="n"/>
      <c r="E88" s="9" t="n"/>
      <c r="F88" s="10" t="n"/>
      <c r="G88" s="10" t="n"/>
      <c r="H88" s="9" t="n"/>
      <c r="I88" s="9" t="n"/>
      <c r="J88" s="9" t="n"/>
      <c r="K88" s="10" t="n"/>
      <c r="L88" s="10" t="n"/>
      <c r="M88" s="9" t="n"/>
      <c r="N88" s="9" t="n"/>
      <c r="O88" s="10" t="n"/>
      <c r="P88" s="9" t="n"/>
      <c r="Q88" s="9" t="n"/>
      <c r="R88" s="9" t="n"/>
      <c r="S88" s="9" t="n"/>
      <c r="T88" s="10" t="n"/>
      <c r="U88" s="10" t="n"/>
      <c r="V88" s="9" t="n"/>
      <c r="W88" s="9" t="n"/>
      <c r="X88" s="9" t="n"/>
      <c r="Y88" s="9" t="n"/>
      <c r="Z88" s="9" t="n"/>
      <c r="AA88" s="9" t="n"/>
      <c r="AB88" s="9" t="n"/>
      <c r="AC88" s="10" t="n"/>
      <c r="AD88" s="10" t="n"/>
      <c r="AE88" s="10" t="n"/>
      <c r="AF88" s="10" t="n"/>
      <c r="AG88" s="5" t="n"/>
    </row>
    <row r="89">
      <c r="A89" s="10" t="n"/>
      <c r="B89" s="9" t="n"/>
      <c r="C89" s="9" t="n"/>
      <c r="D89" s="6" t="n"/>
      <c r="E89" s="9" t="n"/>
      <c r="F89" s="10" t="n"/>
      <c r="G89" s="10" t="n"/>
      <c r="H89" s="9" t="n"/>
      <c r="I89" s="9" t="n"/>
      <c r="J89" s="9" t="n"/>
      <c r="K89" s="10" t="n"/>
      <c r="L89" s="10" t="n"/>
      <c r="M89" s="9" t="n"/>
      <c r="N89" s="9" t="n"/>
      <c r="O89" s="10" t="n"/>
      <c r="P89" s="9" t="n"/>
      <c r="Q89" s="9" t="n"/>
      <c r="R89" s="9" t="n"/>
      <c r="S89" s="9" t="n"/>
      <c r="T89" s="10" t="n"/>
      <c r="U89" s="10" t="n"/>
      <c r="V89" s="9" t="n"/>
      <c r="W89" s="9" t="n"/>
      <c r="X89" s="9" t="n"/>
      <c r="Y89" s="9" t="n"/>
      <c r="Z89" s="9" t="n"/>
      <c r="AA89" s="9" t="n"/>
      <c r="AB89" s="9" t="n"/>
      <c r="AC89" s="10" t="n"/>
      <c r="AD89" s="10" t="n"/>
      <c r="AE89" s="10" t="n"/>
      <c r="AF89" s="10" t="n"/>
      <c r="AG89" s="5" t="n"/>
    </row>
    <row r="90">
      <c r="A90" s="10" t="n"/>
      <c r="B90" s="9" t="n"/>
      <c r="C90" s="9" t="n"/>
      <c r="D90" s="6" t="n"/>
      <c r="E90" s="9" t="n"/>
      <c r="F90" s="10" t="n"/>
      <c r="G90" s="10" t="n"/>
      <c r="H90" s="9" t="n"/>
      <c r="I90" s="9" t="n"/>
      <c r="J90" s="9" t="n"/>
      <c r="K90" s="10" t="n"/>
      <c r="L90" s="10" t="n"/>
      <c r="M90" s="9" t="n"/>
      <c r="N90" s="9" t="n"/>
      <c r="O90" s="10" t="n"/>
      <c r="P90" s="9" t="n"/>
      <c r="Q90" s="9" t="n"/>
      <c r="R90" s="9" t="n"/>
      <c r="S90" s="9" t="n"/>
      <c r="T90" s="10" t="n"/>
      <c r="U90" s="10" t="n"/>
      <c r="V90" s="9" t="n"/>
      <c r="W90" s="9" t="n"/>
      <c r="X90" s="9" t="n"/>
      <c r="Y90" s="9" t="n"/>
      <c r="Z90" s="9" t="n"/>
      <c r="AA90" s="9" t="n"/>
      <c r="AB90" s="9" t="n"/>
      <c r="AC90" s="10" t="n"/>
      <c r="AD90" s="10" t="n"/>
      <c r="AE90" s="10" t="n"/>
      <c r="AF90" s="10" t="n"/>
      <c r="AG90" s="5" t="n"/>
    </row>
    <row r="91">
      <c r="A91" s="10" t="n"/>
      <c r="B91" s="9" t="n"/>
      <c r="C91" s="9" t="n"/>
      <c r="D91" s="6" t="n"/>
      <c r="E91" s="9" t="n"/>
      <c r="F91" s="10" t="n"/>
      <c r="G91" s="10" t="n"/>
      <c r="H91" s="9" t="n"/>
      <c r="I91" s="9" t="n"/>
      <c r="J91" s="9" t="n"/>
      <c r="K91" s="10" t="n"/>
      <c r="L91" s="10" t="n"/>
      <c r="M91" s="9" t="n"/>
      <c r="N91" s="9" t="n"/>
      <c r="O91" s="10" t="n"/>
      <c r="P91" s="9" t="n"/>
      <c r="Q91" s="9" t="n"/>
      <c r="R91" s="9" t="n"/>
      <c r="S91" s="9" t="n"/>
      <c r="T91" s="10" t="n"/>
      <c r="U91" s="10" t="n"/>
      <c r="V91" s="9" t="n"/>
      <c r="W91" s="9" t="n"/>
      <c r="X91" s="9" t="n"/>
      <c r="Y91" s="9" t="n"/>
      <c r="Z91" s="9" t="n"/>
      <c r="AA91" s="9" t="n"/>
      <c r="AB91" s="9" t="n"/>
      <c r="AC91" s="10" t="n"/>
      <c r="AD91" s="10" t="n"/>
      <c r="AE91" s="10" t="n"/>
      <c r="AF91" s="10" t="n"/>
      <c r="AG91" s="5" t="n"/>
    </row>
    <row r="92">
      <c r="A92" s="10" t="n"/>
      <c r="B92" s="9" t="n"/>
      <c r="C92" s="9" t="n"/>
      <c r="D92" s="6" t="n"/>
      <c r="E92" s="9" t="n"/>
      <c r="F92" s="10" t="n"/>
      <c r="G92" s="10" t="n"/>
      <c r="H92" s="9" t="n"/>
      <c r="I92" s="9" t="n"/>
      <c r="J92" s="9" t="n"/>
      <c r="K92" s="10" t="n"/>
      <c r="L92" s="10" t="n"/>
      <c r="M92" s="9" t="n"/>
      <c r="N92" s="9" t="n"/>
      <c r="O92" s="10" t="n"/>
      <c r="P92" s="9" t="n"/>
      <c r="Q92" s="9" t="n"/>
      <c r="R92" s="9" t="n"/>
      <c r="S92" s="9" t="n"/>
      <c r="T92" s="10" t="n"/>
      <c r="U92" s="10" t="n"/>
      <c r="V92" s="9" t="n"/>
      <c r="W92" s="9" t="n"/>
      <c r="X92" s="9" t="n"/>
      <c r="Y92" s="9" t="n"/>
      <c r="Z92" s="9" t="n"/>
      <c r="AA92" s="9" t="n"/>
      <c r="AB92" s="9" t="n"/>
      <c r="AC92" s="10" t="n"/>
      <c r="AD92" s="10" t="n"/>
      <c r="AE92" s="10" t="n"/>
      <c r="AF92" s="10" t="n"/>
      <c r="AG92" s="5" t="n"/>
    </row>
    <row r="93">
      <c r="A93" s="10" t="n"/>
      <c r="B93" s="9" t="n"/>
      <c r="C93" s="9" t="n"/>
      <c r="D93" s="6" t="n"/>
      <c r="E93" s="9" t="n"/>
      <c r="F93" s="10" t="n"/>
      <c r="G93" s="10" t="n"/>
      <c r="H93" s="9" t="n"/>
      <c r="I93" s="9" t="n"/>
      <c r="J93" s="9" t="n"/>
      <c r="K93" s="10" t="n"/>
      <c r="L93" s="10" t="n"/>
      <c r="M93" s="9" t="n"/>
      <c r="N93" s="9" t="n"/>
      <c r="O93" s="10" t="n"/>
      <c r="P93" s="9" t="n"/>
      <c r="Q93" s="9" t="n"/>
      <c r="R93" s="9" t="n"/>
      <c r="S93" s="9" t="n"/>
      <c r="T93" s="10" t="n"/>
      <c r="U93" s="10" t="n"/>
      <c r="V93" s="9" t="n"/>
      <c r="W93" s="9" t="n"/>
      <c r="X93" s="9" t="n"/>
      <c r="Y93" s="9" t="n"/>
      <c r="Z93" s="9" t="n"/>
      <c r="AA93" s="9" t="n"/>
      <c r="AB93" s="9" t="n"/>
      <c r="AC93" s="10" t="n"/>
      <c r="AD93" s="10" t="n"/>
      <c r="AE93" s="10" t="n"/>
      <c r="AF93" s="10" t="n"/>
      <c r="AG93" s="5" t="n"/>
    </row>
    <row r="94">
      <c r="A94" s="10" t="n"/>
      <c r="B94" s="9" t="n"/>
      <c r="C94" s="9" t="n"/>
      <c r="D94" s="6" t="n"/>
      <c r="E94" s="9" t="n"/>
      <c r="F94" s="10" t="n"/>
      <c r="G94" s="10" t="n"/>
      <c r="H94" s="9" t="n"/>
      <c r="I94" s="9" t="n"/>
      <c r="J94" s="9" t="n"/>
      <c r="K94" s="10" t="n"/>
      <c r="L94" s="10" t="n"/>
      <c r="M94" s="9" t="n"/>
      <c r="N94" s="9" t="n"/>
      <c r="O94" s="10" t="n"/>
      <c r="P94" s="9" t="n"/>
      <c r="Q94" s="9" t="n"/>
      <c r="R94" s="9" t="n"/>
      <c r="S94" s="9" t="n"/>
      <c r="T94" s="10" t="n"/>
      <c r="U94" s="10" t="n"/>
      <c r="V94" s="9" t="n"/>
      <c r="W94" s="9" t="n"/>
      <c r="X94" s="9" t="n"/>
      <c r="Y94" s="9" t="n"/>
      <c r="Z94" s="9" t="n"/>
      <c r="AA94" s="9" t="n"/>
      <c r="AB94" s="9" t="n"/>
      <c r="AC94" s="10" t="n"/>
      <c r="AD94" s="10" t="n"/>
      <c r="AE94" s="10" t="n"/>
      <c r="AF94" s="10" t="n"/>
      <c r="AG94" s="5" t="n"/>
    </row>
    <row r="95">
      <c r="A95" s="10" t="n"/>
      <c r="B95" s="9" t="n"/>
      <c r="C95" s="9" t="n"/>
      <c r="D95" s="6" t="n"/>
      <c r="E95" s="9" t="n"/>
      <c r="F95" s="10" t="n"/>
      <c r="G95" s="10" t="n"/>
      <c r="H95" s="9" t="n"/>
      <c r="I95" s="9" t="n"/>
      <c r="J95" s="9" t="n"/>
      <c r="K95" s="10" t="n"/>
      <c r="L95" s="10" t="n"/>
      <c r="M95" s="9" t="n"/>
      <c r="N95" s="9" t="n"/>
      <c r="O95" s="10" t="n"/>
      <c r="P95" s="9" t="n"/>
      <c r="Q95" s="9" t="n"/>
      <c r="R95" s="9" t="n"/>
      <c r="S95" s="9" t="n"/>
      <c r="T95" s="10" t="n"/>
      <c r="U95" s="10" t="n"/>
      <c r="V95" s="9" t="n"/>
      <c r="W95" s="9" t="n"/>
      <c r="X95" s="9" t="n"/>
      <c r="Y95" s="9" t="n"/>
      <c r="Z95" s="9" t="n"/>
      <c r="AA95" s="9" t="n"/>
      <c r="AB95" s="9" t="n"/>
      <c r="AC95" s="10" t="n"/>
      <c r="AD95" s="10" t="n"/>
      <c r="AE95" s="10" t="n"/>
      <c r="AF95" s="10" t="n"/>
      <c r="AG95" s="5" t="n"/>
    </row>
    <row r="96">
      <c r="A96" s="10" t="n"/>
      <c r="B96" s="9" t="n"/>
      <c r="C96" s="9" t="n"/>
      <c r="D96" s="6" t="n"/>
      <c r="E96" s="9" t="n"/>
      <c r="F96" s="10" t="n"/>
      <c r="G96" s="10" t="n"/>
      <c r="H96" s="9" t="n"/>
      <c r="I96" s="9" t="n"/>
      <c r="J96" s="9" t="n"/>
      <c r="K96" s="10" t="n"/>
      <c r="L96" s="10" t="n"/>
      <c r="M96" s="9" t="n"/>
      <c r="N96" s="9" t="n"/>
      <c r="O96" s="10" t="n"/>
      <c r="P96" s="9" t="n"/>
      <c r="Q96" s="9" t="n"/>
      <c r="R96" s="9" t="n"/>
      <c r="S96" s="9" t="n"/>
      <c r="T96" s="10" t="n"/>
      <c r="U96" s="10" t="n"/>
      <c r="V96" s="9" t="n"/>
      <c r="W96" s="9" t="n"/>
      <c r="X96" s="9" t="n"/>
      <c r="Y96" s="9" t="n"/>
      <c r="Z96" s="9" t="n"/>
      <c r="AA96" s="9" t="n"/>
      <c r="AB96" s="9" t="n"/>
      <c r="AC96" s="10" t="n"/>
      <c r="AD96" s="10" t="n"/>
      <c r="AE96" s="10" t="n"/>
      <c r="AF96" s="10" t="n"/>
      <c r="AG96" s="5" t="n"/>
    </row>
    <row r="97">
      <c r="A97" s="10" t="n"/>
      <c r="B97" s="9" t="n"/>
      <c r="C97" s="9" t="n"/>
      <c r="D97" s="6" t="n"/>
      <c r="E97" s="9" t="n"/>
      <c r="F97" s="10" t="n"/>
      <c r="G97" s="10" t="n"/>
      <c r="H97" s="9" t="n"/>
      <c r="I97" s="9" t="n"/>
      <c r="J97" s="9" t="n"/>
      <c r="K97" s="10" t="n"/>
      <c r="L97" s="10" t="n"/>
      <c r="M97" s="9" t="n"/>
      <c r="N97" s="9" t="n"/>
      <c r="O97" s="10" t="n"/>
      <c r="P97" s="9" t="n"/>
      <c r="Q97" s="9" t="n"/>
      <c r="R97" s="9" t="n"/>
      <c r="S97" s="9" t="n"/>
      <c r="T97" s="10" t="n"/>
      <c r="U97" s="10" t="n"/>
      <c r="V97" s="9" t="n"/>
      <c r="W97" s="9" t="n"/>
      <c r="X97" s="9" t="n"/>
      <c r="Y97" s="9" t="n"/>
      <c r="Z97" s="9" t="n"/>
      <c r="AA97" s="9" t="n"/>
      <c r="AB97" s="9" t="n"/>
      <c r="AC97" s="10" t="n"/>
      <c r="AD97" s="10" t="n"/>
      <c r="AE97" s="10" t="n"/>
      <c r="AF97" s="10" t="n"/>
      <c r="AG97" s="5" t="n"/>
    </row>
    <row r="98">
      <c r="A98" s="10" t="n"/>
      <c r="B98" s="9" t="n"/>
      <c r="C98" s="9" t="n"/>
      <c r="D98" s="6" t="n"/>
      <c r="E98" s="9" t="n"/>
      <c r="F98" s="10" t="n"/>
      <c r="G98" s="10" t="n"/>
      <c r="H98" s="9" t="n"/>
      <c r="I98" s="9" t="n"/>
      <c r="J98" s="9" t="n"/>
      <c r="K98" s="10" t="n"/>
      <c r="L98" s="10" t="n"/>
      <c r="M98" s="9" t="n"/>
      <c r="N98" s="9" t="n"/>
      <c r="O98" s="10" t="n"/>
      <c r="P98" s="9" t="n"/>
      <c r="Q98" s="9" t="n"/>
      <c r="R98" s="9" t="n"/>
      <c r="S98" s="9" t="n"/>
      <c r="T98" s="10" t="n"/>
      <c r="U98" s="10" t="n"/>
      <c r="V98" s="9" t="n"/>
      <c r="W98" s="9" t="n"/>
      <c r="X98" s="9" t="n"/>
      <c r="Y98" s="9" t="n"/>
      <c r="Z98" s="9" t="n"/>
      <c r="AA98" s="9" t="n"/>
      <c r="AB98" s="9" t="n"/>
      <c r="AC98" s="10" t="n"/>
      <c r="AD98" s="10" t="n"/>
      <c r="AE98" s="10" t="n"/>
      <c r="AF98" s="10" t="n"/>
      <c r="AG98" s="5" t="n"/>
    </row>
    <row r="99">
      <c r="A99" s="10" t="n"/>
      <c r="B99" s="9" t="n"/>
      <c r="C99" s="9" t="n"/>
      <c r="D99" s="6" t="n"/>
      <c r="E99" s="9" t="n"/>
      <c r="F99" s="10" t="n"/>
      <c r="G99" s="10" t="n"/>
      <c r="H99" s="9" t="n"/>
      <c r="I99" s="9" t="n"/>
      <c r="J99" s="9" t="n"/>
      <c r="K99" s="10" t="n"/>
      <c r="L99" s="10" t="n"/>
      <c r="M99" s="9" t="n"/>
      <c r="N99" s="9" t="n"/>
      <c r="O99" s="10" t="n"/>
      <c r="P99" s="9" t="n"/>
      <c r="Q99" s="9" t="n"/>
      <c r="R99" s="9" t="n"/>
      <c r="S99" s="9" t="n"/>
      <c r="T99" s="10" t="n"/>
      <c r="U99" s="10" t="n"/>
      <c r="V99" s="9" t="n"/>
      <c r="W99" s="9" t="n"/>
      <c r="X99" s="9" t="n"/>
      <c r="Y99" s="9" t="n"/>
      <c r="Z99" s="9" t="n"/>
      <c r="AA99" s="9" t="n"/>
      <c r="AB99" s="9" t="n"/>
      <c r="AC99" s="10" t="n"/>
      <c r="AD99" s="10" t="n"/>
      <c r="AE99" s="10" t="n"/>
      <c r="AF99" s="10" t="n"/>
      <c r="AG99" s="5" t="n"/>
    </row>
    <row r="100">
      <c r="A100" s="10" t="n"/>
      <c r="B100" s="9" t="n"/>
      <c r="C100" s="9" t="n"/>
      <c r="D100" s="6" t="n"/>
      <c r="E100" s="9" t="n"/>
      <c r="F100" s="10" t="n"/>
      <c r="G100" s="10" t="n"/>
      <c r="H100" s="9" t="n"/>
      <c r="I100" s="9" t="n"/>
      <c r="J100" s="9" t="n"/>
      <c r="K100" s="10" t="n"/>
      <c r="L100" s="10" t="n"/>
      <c r="M100" s="9" t="n"/>
      <c r="N100" s="9" t="n"/>
      <c r="O100" s="10" t="n"/>
      <c r="P100" s="9" t="n"/>
      <c r="Q100" s="9" t="n"/>
      <c r="R100" s="9" t="n"/>
      <c r="S100" s="9" t="n"/>
      <c r="T100" s="10" t="n"/>
      <c r="U100" s="10" t="n"/>
      <c r="V100" s="9" t="n"/>
      <c r="W100" s="9" t="n"/>
      <c r="X100" s="9" t="n"/>
      <c r="Y100" s="9" t="n"/>
      <c r="Z100" s="9" t="n"/>
      <c r="AA100" s="9" t="n"/>
      <c r="AB100" s="9" t="n"/>
      <c r="AC100" s="10" t="n"/>
      <c r="AD100" s="10" t="n"/>
      <c r="AE100" s="10" t="n"/>
      <c r="AF100" s="10" t="n"/>
      <c r="AG100" s="5" t="n"/>
    </row>
    <row r="101">
      <c r="A101" s="10" t="n"/>
      <c r="B101" s="9" t="n"/>
      <c r="C101" s="9" t="n"/>
      <c r="D101" s="6" t="n"/>
      <c r="E101" s="9" t="n"/>
      <c r="F101" s="10" t="n"/>
      <c r="G101" s="10" t="n"/>
      <c r="H101" s="9" t="n"/>
      <c r="I101" s="9" t="n"/>
      <c r="J101" s="9" t="n"/>
      <c r="K101" s="10" t="n"/>
      <c r="L101" s="10" t="n"/>
      <c r="M101" s="9" t="n"/>
      <c r="N101" s="9" t="n"/>
      <c r="O101" s="10" t="n"/>
      <c r="P101" s="9" t="n"/>
      <c r="Q101" s="9" t="n"/>
      <c r="R101" s="9" t="n"/>
      <c r="S101" s="9" t="n"/>
      <c r="T101" s="10" t="n"/>
      <c r="U101" s="10" t="n"/>
      <c r="V101" s="9" t="n"/>
      <c r="W101" s="9" t="n"/>
      <c r="X101" s="9" t="n"/>
      <c r="Y101" s="9" t="n"/>
      <c r="Z101" s="9" t="n"/>
      <c r="AA101" s="9" t="n"/>
      <c r="AB101" s="9" t="n"/>
      <c r="AC101" s="10" t="n"/>
      <c r="AD101" s="10" t="n"/>
      <c r="AE101" s="10" t="n"/>
      <c r="AF101" s="10" t="n"/>
      <c r="AG101" s="5" t="n"/>
    </row>
    <row r="102">
      <c r="A102" s="10" t="n"/>
      <c r="B102" s="9" t="n"/>
      <c r="C102" s="9" t="n"/>
      <c r="D102" s="6" t="n"/>
      <c r="E102" s="9" t="n"/>
      <c r="F102" s="10" t="n"/>
      <c r="G102" s="10" t="n"/>
      <c r="H102" s="9" t="n"/>
      <c r="I102" s="9" t="n"/>
      <c r="J102" s="9" t="n"/>
      <c r="K102" s="10" t="n"/>
      <c r="L102" s="10" t="n"/>
      <c r="M102" s="9" t="n"/>
      <c r="N102" s="9" t="n"/>
      <c r="O102" s="10" t="n"/>
      <c r="P102" s="9" t="n"/>
      <c r="Q102" s="9" t="n"/>
      <c r="R102" s="9" t="n"/>
      <c r="S102" s="9" t="n"/>
      <c r="T102" s="10" t="n"/>
      <c r="U102" s="10" t="n"/>
      <c r="V102" s="9" t="n"/>
      <c r="W102" s="9" t="n"/>
      <c r="X102" s="9" t="n"/>
      <c r="Y102" s="9" t="n"/>
      <c r="Z102" s="9" t="n"/>
      <c r="AA102" s="9" t="n"/>
      <c r="AB102" s="9" t="n"/>
      <c r="AC102" s="10" t="n"/>
      <c r="AD102" s="10" t="n"/>
      <c r="AE102" s="10" t="n"/>
      <c r="AF102" s="10" t="n"/>
      <c r="AG102" s="5" t="n"/>
    </row>
    <row r="103">
      <c r="A103" s="10" t="n"/>
      <c r="B103" s="9" t="n"/>
      <c r="C103" s="9" t="n"/>
      <c r="D103" s="6" t="n"/>
      <c r="E103" s="9" t="n"/>
      <c r="F103" s="10" t="n"/>
      <c r="G103" s="10" t="n"/>
      <c r="H103" s="9" t="n"/>
      <c r="I103" s="9" t="n"/>
      <c r="J103" s="9" t="n"/>
      <c r="K103" s="10" t="n"/>
      <c r="L103" s="10" t="n"/>
      <c r="M103" s="9" t="n"/>
      <c r="N103" s="9" t="n"/>
      <c r="O103" s="10" t="n"/>
      <c r="P103" s="9" t="n"/>
      <c r="Q103" s="9" t="n"/>
      <c r="R103" s="9" t="n"/>
      <c r="S103" s="9" t="n"/>
      <c r="T103" s="10" t="n"/>
      <c r="U103" s="10" t="n"/>
      <c r="V103" s="9" t="n"/>
      <c r="W103" s="9" t="n"/>
      <c r="X103" s="9" t="n"/>
      <c r="Y103" s="9" t="n"/>
      <c r="Z103" s="9" t="n"/>
      <c r="AA103" s="9" t="n"/>
      <c r="AB103" s="9" t="n"/>
      <c r="AC103" s="10" t="n"/>
      <c r="AD103" s="10" t="n"/>
      <c r="AE103" s="10" t="n"/>
      <c r="AF103" s="10" t="n"/>
      <c r="AG103" s="5" t="n"/>
    </row>
    <row r="104">
      <c r="A104" s="10" t="n"/>
      <c r="B104" s="9" t="n"/>
      <c r="C104" s="9" t="n"/>
      <c r="D104" s="6" t="n"/>
      <c r="E104" s="9" t="n"/>
      <c r="F104" s="10" t="n"/>
      <c r="G104" s="10" t="n"/>
      <c r="H104" s="9" t="n"/>
      <c r="I104" s="9" t="n"/>
      <c r="J104" s="9" t="n"/>
      <c r="K104" s="10" t="n"/>
      <c r="L104" s="10" t="n"/>
      <c r="M104" s="9" t="n"/>
      <c r="N104" s="9" t="n"/>
      <c r="O104" s="10" t="n"/>
      <c r="P104" s="9" t="n"/>
      <c r="Q104" s="9" t="n"/>
      <c r="R104" s="9" t="n"/>
      <c r="S104" s="9" t="n"/>
      <c r="T104" s="10" t="n"/>
      <c r="U104" s="10" t="n"/>
      <c r="V104" s="9" t="n"/>
      <c r="W104" s="9" t="n"/>
      <c r="X104" s="9" t="n"/>
      <c r="Y104" s="9" t="n"/>
      <c r="Z104" s="9" t="n"/>
      <c r="AA104" s="9" t="n"/>
      <c r="AB104" s="9" t="n"/>
      <c r="AC104" s="10" t="n"/>
      <c r="AD104" s="10" t="n"/>
      <c r="AE104" s="10" t="n"/>
      <c r="AF104" s="10" t="n"/>
      <c r="AG104" s="5" t="n"/>
    </row>
    <row r="105">
      <c r="A105" s="10" t="n"/>
      <c r="B105" s="9" t="n"/>
      <c r="C105" s="9" t="n"/>
      <c r="D105" s="6" t="n"/>
      <c r="E105" s="9" t="n"/>
      <c r="F105" s="10" t="n"/>
      <c r="G105" s="10" t="n"/>
      <c r="H105" s="9" t="n"/>
      <c r="I105" s="9" t="n"/>
      <c r="J105" s="9" t="n"/>
      <c r="K105" s="10" t="n"/>
      <c r="L105" s="10" t="n"/>
      <c r="M105" s="9" t="n"/>
      <c r="N105" s="9" t="n"/>
      <c r="O105" s="10" t="n"/>
      <c r="P105" s="9" t="n"/>
      <c r="Q105" s="9" t="n"/>
      <c r="R105" s="9" t="n"/>
      <c r="S105" s="9" t="n"/>
      <c r="T105" s="10" t="n"/>
      <c r="U105" s="10" t="n"/>
      <c r="V105" s="9" t="n"/>
      <c r="W105" s="9" t="n"/>
      <c r="X105" s="9" t="n"/>
      <c r="Y105" s="9" t="n"/>
      <c r="Z105" s="9" t="n"/>
      <c r="AA105" s="9" t="n"/>
      <c r="AB105" s="9" t="n"/>
      <c r="AC105" s="10" t="n"/>
      <c r="AD105" s="10" t="n"/>
      <c r="AE105" s="10" t="n"/>
      <c r="AF105" s="10" t="n"/>
      <c r="AG105" s="5" t="n"/>
    </row>
    <row r="106">
      <c r="A106" s="10" t="n"/>
      <c r="B106" s="9" t="n"/>
      <c r="C106" s="9" t="n"/>
      <c r="D106" s="6" t="n"/>
      <c r="E106" s="9" t="n"/>
      <c r="F106" s="10" t="n"/>
      <c r="G106" s="10" t="n"/>
      <c r="H106" s="9" t="n"/>
      <c r="I106" s="9" t="n"/>
      <c r="J106" s="9" t="n"/>
      <c r="K106" s="10" t="n"/>
      <c r="L106" s="10" t="n"/>
      <c r="M106" s="9" t="n"/>
      <c r="N106" s="9" t="n"/>
      <c r="O106" s="10" t="n"/>
      <c r="P106" s="9" t="n"/>
      <c r="Q106" s="9" t="n"/>
      <c r="R106" s="9" t="n"/>
      <c r="S106" s="9" t="n"/>
      <c r="T106" s="10" t="n"/>
      <c r="U106" s="10" t="n"/>
      <c r="V106" s="9" t="n"/>
      <c r="W106" s="9" t="n"/>
      <c r="X106" s="9" t="n"/>
      <c r="Y106" s="9" t="n"/>
      <c r="Z106" s="9" t="n"/>
      <c r="AA106" s="9" t="n"/>
      <c r="AB106" s="9" t="n"/>
      <c r="AC106" s="10" t="n"/>
      <c r="AD106" s="10" t="n"/>
      <c r="AE106" s="10" t="n"/>
      <c r="AF106" s="10" t="n"/>
      <c r="AG106" s="5" t="n"/>
    </row>
    <row r="107">
      <c r="A107" s="10" t="n"/>
      <c r="B107" s="9" t="n"/>
      <c r="C107" s="9" t="n"/>
      <c r="D107" s="6" t="n"/>
      <c r="E107" s="9" t="n"/>
      <c r="F107" s="10" t="n"/>
      <c r="G107" s="10" t="n"/>
      <c r="H107" s="9" t="n"/>
      <c r="I107" s="9" t="n"/>
      <c r="J107" s="9" t="n"/>
      <c r="K107" s="10" t="n"/>
      <c r="L107" s="10" t="n"/>
      <c r="M107" s="9" t="n"/>
      <c r="N107" s="9" t="n"/>
      <c r="O107" s="10" t="n"/>
      <c r="P107" s="9" t="n"/>
      <c r="Q107" s="9" t="n"/>
      <c r="R107" s="9" t="n"/>
      <c r="S107" s="9" t="n"/>
      <c r="T107" s="10" t="n"/>
      <c r="U107" s="10" t="n"/>
      <c r="V107" s="9" t="n"/>
      <c r="W107" s="9" t="n"/>
      <c r="X107" s="9" t="n"/>
      <c r="Y107" s="9" t="n"/>
      <c r="Z107" s="9" t="n"/>
      <c r="AA107" s="9" t="n"/>
      <c r="AB107" s="9" t="n"/>
      <c r="AC107" s="10" t="n"/>
      <c r="AD107" s="10" t="n"/>
      <c r="AE107" s="10" t="n"/>
      <c r="AF107" s="10" t="n"/>
      <c r="AG107" s="5" t="n"/>
    </row>
    <row r="108">
      <c r="A108" s="10" t="n"/>
      <c r="B108" s="9" t="n"/>
      <c r="C108" s="9" t="n"/>
      <c r="D108" s="6" t="n"/>
      <c r="E108" s="9" t="n"/>
      <c r="F108" s="10" t="n"/>
      <c r="G108" s="10" t="n"/>
      <c r="H108" s="9" t="n"/>
      <c r="I108" s="9" t="n"/>
      <c r="J108" s="9" t="n"/>
      <c r="K108" s="10" t="n"/>
      <c r="L108" s="10" t="n"/>
      <c r="M108" s="9" t="n"/>
      <c r="N108" s="9" t="n"/>
      <c r="O108" s="10" t="n"/>
      <c r="P108" s="9" t="n"/>
      <c r="Q108" s="9" t="n"/>
      <c r="R108" s="9" t="n"/>
      <c r="S108" s="9" t="n"/>
      <c r="T108" s="10" t="n"/>
      <c r="U108" s="10" t="n"/>
      <c r="V108" s="9" t="n"/>
      <c r="W108" s="9" t="n"/>
      <c r="X108" s="9" t="n"/>
      <c r="Y108" s="9" t="n"/>
      <c r="Z108" s="9" t="n"/>
      <c r="AA108" s="9" t="n"/>
      <c r="AB108" s="9" t="n"/>
      <c r="AC108" s="10" t="n"/>
      <c r="AD108" s="10" t="n"/>
      <c r="AE108" s="10" t="n"/>
      <c r="AF108" s="10" t="n"/>
      <c r="AG108" s="5" t="n"/>
    </row>
    <row r="109">
      <c r="A109" s="10" t="n"/>
      <c r="B109" s="9" t="n"/>
      <c r="C109" s="9" t="n"/>
      <c r="D109" s="6" t="n"/>
      <c r="E109" s="9" t="n"/>
      <c r="F109" s="10" t="n"/>
      <c r="G109" s="10" t="n"/>
      <c r="H109" s="9" t="n"/>
      <c r="I109" s="9" t="n"/>
      <c r="J109" s="9" t="n"/>
      <c r="K109" s="10" t="n"/>
      <c r="L109" s="10" t="n"/>
      <c r="M109" s="9" t="n"/>
      <c r="N109" s="9" t="n"/>
      <c r="O109" s="10" t="n"/>
      <c r="P109" s="9" t="n"/>
      <c r="Q109" s="9" t="n"/>
      <c r="R109" s="9" t="n"/>
      <c r="S109" s="9" t="n"/>
      <c r="T109" s="10" t="n"/>
      <c r="U109" s="10" t="n"/>
      <c r="V109" s="9" t="n"/>
      <c r="W109" s="9" t="n"/>
      <c r="X109" s="9" t="n"/>
      <c r="Y109" s="9" t="n"/>
      <c r="Z109" s="9" t="n"/>
      <c r="AA109" s="9" t="n"/>
      <c r="AB109" s="9" t="n"/>
      <c r="AC109" s="10" t="n"/>
      <c r="AD109" s="10" t="n"/>
      <c r="AE109" s="10" t="n"/>
      <c r="AF109" s="10" t="n"/>
      <c r="AG109" s="5" t="n"/>
    </row>
    <row r="110">
      <c r="A110" s="10" t="n"/>
      <c r="B110" s="9" t="n"/>
      <c r="C110" s="9" t="n"/>
      <c r="D110" s="6" t="n"/>
      <c r="E110" s="9" t="n"/>
      <c r="F110" s="10" t="n"/>
      <c r="G110" s="10" t="n"/>
      <c r="H110" s="9" t="n"/>
      <c r="I110" s="9" t="n"/>
      <c r="J110" s="9" t="n"/>
      <c r="K110" s="10" t="n"/>
      <c r="L110" s="10" t="n"/>
      <c r="M110" s="9" t="n"/>
      <c r="N110" s="9" t="n"/>
      <c r="O110" s="10" t="n"/>
      <c r="P110" s="9" t="n"/>
      <c r="Q110" s="9" t="n"/>
      <c r="R110" s="9" t="n"/>
      <c r="S110" s="9" t="n"/>
      <c r="T110" s="10" t="n"/>
      <c r="U110" s="10" t="n"/>
      <c r="V110" s="9" t="n"/>
      <c r="W110" s="9" t="n"/>
      <c r="X110" s="9" t="n"/>
      <c r="Y110" s="9" t="n"/>
      <c r="Z110" s="9" t="n"/>
      <c r="AA110" s="9" t="n"/>
      <c r="AB110" s="9" t="n"/>
      <c r="AC110" s="10" t="n"/>
      <c r="AD110" s="10" t="n"/>
      <c r="AE110" s="10" t="n"/>
      <c r="AF110" s="10" t="n"/>
      <c r="AG110" s="5" t="n"/>
    </row>
    <row r="111">
      <c r="A111" s="10" t="n"/>
      <c r="B111" s="9" t="n"/>
      <c r="C111" s="9" t="n"/>
      <c r="D111" s="6" t="n"/>
      <c r="E111" s="9" t="n"/>
      <c r="F111" s="10" t="n"/>
      <c r="G111" s="10" t="n"/>
      <c r="H111" s="9" t="n"/>
      <c r="I111" s="9" t="n"/>
      <c r="J111" s="9" t="n"/>
      <c r="K111" s="10" t="n"/>
      <c r="L111" s="10" t="n"/>
      <c r="M111" s="9" t="n"/>
      <c r="N111" s="9" t="n"/>
      <c r="O111" s="10" t="n"/>
      <c r="P111" s="9" t="n"/>
      <c r="Q111" s="9" t="n"/>
      <c r="R111" s="9" t="n"/>
      <c r="S111" s="9" t="n"/>
      <c r="T111" s="10" t="n"/>
      <c r="U111" s="10" t="n"/>
      <c r="V111" s="9" t="n"/>
      <c r="W111" s="9" t="n"/>
      <c r="X111" s="9" t="n"/>
      <c r="Y111" s="9" t="n"/>
      <c r="Z111" s="9" t="n"/>
      <c r="AA111" s="9" t="n"/>
      <c r="AB111" s="9" t="n"/>
      <c r="AC111" s="10" t="n"/>
      <c r="AD111" s="10" t="n"/>
      <c r="AE111" s="10" t="n"/>
      <c r="AF111" s="10" t="n"/>
      <c r="AG111" s="5" t="n"/>
    </row>
    <row r="112">
      <c r="A112" s="10" t="n"/>
      <c r="B112" s="9" t="n"/>
      <c r="C112" s="9" t="n"/>
      <c r="D112" s="6" t="n"/>
      <c r="E112" s="9" t="n"/>
      <c r="F112" s="10" t="n"/>
      <c r="G112" s="10" t="n"/>
      <c r="H112" s="9" t="n"/>
      <c r="I112" s="9" t="n"/>
      <c r="J112" s="9" t="n"/>
      <c r="K112" s="10" t="n"/>
      <c r="L112" s="10" t="n"/>
      <c r="M112" s="9" t="n"/>
      <c r="N112" s="9" t="n"/>
      <c r="O112" s="10" t="n"/>
      <c r="P112" s="9" t="n"/>
      <c r="Q112" s="9" t="n"/>
      <c r="R112" s="9" t="n"/>
      <c r="S112" s="9" t="n"/>
      <c r="T112" s="10" t="n"/>
      <c r="U112" s="10" t="n"/>
      <c r="V112" s="9" t="n"/>
      <c r="W112" s="9" t="n"/>
      <c r="X112" s="9" t="n"/>
      <c r="Y112" s="9" t="n"/>
      <c r="Z112" s="9" t="n"/>
      <c r="AA112" s="9" t="n"/>
      <c r="AB112" s="9" t="n"/>
      <c r="AC112" s="10" t="n"/>
      <c r="AD112" s="10" t="n"/>
      <c r="AE112" s="10" t="n"/>
      <c r="AF112" s="10" t="n"/>
      <c r="AG112" s="5" t="n"/>
    </row>
    <row r="113">
      <c r="A113" s="10" t="n"/>
      <c r="B113" s="9" t="n"/>
      <c r="C113" s="9" t="n"/>
      <c r="D113" s="6" t="n"/>
      <c r="E113" s="9" t="n"/>
      <c r="F113" s="10" t="n"/>
      <c r="G113" s="10" t="n"/>
      <c r="H113" s="9" t="n"/>
      <c r="I113" s="9" t="n"/>
      <c r="J113" s="9" t="n"/>
      <c r="K113" s="10" t="n"/>
      <c r="L113" s="10" t="n"/>
      <c r="M113" s="9" t="n"/>
      <c r="N113" s="9" t="n"/>
      <c r="O113" s="10" t="n"/>
      <c r="P113" s="9" t="n"/>
      <c r="Q113" s="9" t="n"/>
      <c r="R113" s="9" t="n"/>
      <c r="S113" s="9" t="n"/>
      <c r="T113" s="10" t="n"/>
      <c r="U113" s="10" t="n"/>
      <c r="V113" s="9" t="n"/>
      <c r="W113" s="9" t="n"/>
      <c r="X113" s="9" t="n"/>
      <c r="Y113" s="9" t="n"/>
      <c r="Z113" s="9" t="n"/>
      <c r="AA113" s="9" t="n"/>
      <c r="AB113" s="9" t="n"/>
      <c r="AC113" s="10" t="n"/>
      <c r="AD113" s="10" t="n"/>
      <c r="AE113" s="10" t="n"/>
      <c r="AF113" s="10" t="n"/>
      <c r="AG113" s="5" t="n"/>
    </row>
    <row r="114">
      <c r="A114" s="10" t="n"/>
      <c r="B114" s="9" t="n"/>
      <c r="C114" s="9" t="n"/>
      <c r="D114" s="6" t="n"/>
      <c r="E114" s="9" t="n"/>
      <c r="F114" s="10" t="n"/>
      <c r="G114" s="10" t="n"/>
      <c r="H114" s="9" t="n"/>
      <c r="I114" s="9" t="n"/>
      <c r="J114" s="9" t="n"/>
      <c r="K114" s="10" t="n"/>
      <c r="L114" s="10" t="n"/>
      <c r="M114" s="9" t="n"/>
      <c r="N114" s="9" t="n"/>
      <c r="O114" s="10" t="n"/>
      <c r="P114" s="9" t="n"/>
      <c r="Q114" s="9" t="n"/>
      <c r="R114" s="9" t="n"/>
      <c r="S114" s="9" t="n"/>
      <c r="T114" s="10" t="n"/>
      <c r="U114" s="10" t="n"/>
      <c r="V114" s="9" t="n"/>
      <c r="W114" s="9" t="n"/>
      <c r="X114" s="9" t="n"/>
      <c r="Y114" s="9" t="n"/>
      <c r="Z114" s="9" t="n"/>
      <c r="AA114" s="9" t="n"/>
      <c r="AB114" s="9" t="n"/>
      <c r="AC114" s="10" t="n"/>
      <c r="AD114" s="10" t="n"/>
      <c r="AE114" s="10" t="n"/>
      <c r="AF114" s="10" t="n"/>
      <c r="AG114" s="5" t="n"/>
    </row>
    <row r="115">
      <c r="A115" s="10" t="n"/>
      <c r="B115" s="9" t="n"/>
      <c r="C115" s="9" t="n"/>
      <c r="D115" s="6" t="n"/>
      <c r="E115" s="9" t="n"/>
      <c r="F115" s="10" t="n"/>
      <c r="G115" s="10" t="n"/>
      <c r="H115" s="9" t="n"/>
      <c r="I115" s="9" t="n"/>
      <c r="J115" s="9" t="n"/>
      <c r="K115" s="10" t="n"/>
      <c r="L115" s="10" t="n"/>
      <c r="M115" s="9" t="n"/>
      <c r="N115" s="9" t="n"/>
      <c r="O115" s="10" t="n"/>
      <c r="P115" s="9" t="n"/>
      <c r="Q115" s="9" t="n"/>
      <c r="R115" s="9" t="n"/>
      <c r="S115" s="9" t="n"/>
      <c r="T115" s="10" t="n"/>
      <c r="U115" s="10" t="n"/>
      <c r="V115" s="9" t="n"/>
      <c r="W115" s="9" t="n"/>
      <c r="X115" s="9" t="n"/>
      <c r="Y115" s="9" t="n"/>
      <c r="Z115" s="9" t="n"/>
      <c r="AA115" s="9" t="n"/>
      <c r="AB115" s="9" t="n"/>
      <c r="AC115" s="10" t="n"/>
      <c r="AD115" s="10" t="n"/>
      <c r="AE115" s="10" t="n"/>
      <c r="AF115" s="10" t="n"/>
      <c r="AG115" s="5" t="n"/>
    </row>
    <row r="116">
      <c r="A116" s="10" t="n"/>
      <c r="B116" s="9" t="n"/>
      <c r="C116" s="9" t="n"/>
      <c r="D116" s="6" t="n"/>
      <c r="E116" s="9" t="n"/>
      <c r="F116" s="10" t="n"/>
      <c r="G116" s="10" t="n"/>
      <c r="H116" s="9" t="n"/>
      <c r="I116" s="9" t="n"/>
      <c r="J116" s="9" t="n"/>
      <c r="K116" s="10" t="n"/>
      <c r="L116" s="10" t="n"/>
      <c r="M116" s="9" t="n"/>
      <c r="N116" s="9" t="n"/>
      <c r="O116" s="10" t="n"/>
      <c r="P116" s="9" t="n"/>
      <c r="Q116" s="9" t="n"/>
      <c r="R116" s="9" t="n"/>
      <c r="S116" s="9" t="n"/>
      <c r="T116" s="10" t="n"/>
      <c r="U116" s="10" t="n"/>
      <c r="V116" s="9" t="n"/>
      <c r="W116" s="9" t="n"/>
      <c r="X116" s="9" t="n"/>
      <c r="Y116" s="9" t="n"/>
      <c r="Z116" s="9" t="n"/>
      <c r="AA116" s="9" t="n"/>
      <c r="AB116" s="9" t="n"/>
      <c r="AC116" s="10" t="n"/>
      <c r="AD116" s="10" t="n"/>
      <c r="AE116" s="10" t="n"/>
      <c r="AF116" s="10" t="n"/>
      <c r="AG116" s="5" t="n"/>
    </row>
    <row r="117">
      <c r="A117" s="10" t="n"/>
      <c r="B117" s="9" t="n"/>
      <c r="C117" s="9" t="n"/>
      <c r="D117" s="6" t="n"/>
      <c r="E117" s="9" t="n"/>
      <c r="F117" s="10" t="n"/>
      <c r="G117" s="10" t="n"/>
      <c r="H117" s="9" t="n"/>
      <c r="I117" s="9" t="n"/>
      <c r="J117" s="9" t="n"/>
      <c r="K117" s="10" t="n"/>
      <c r="L117" s="10" t="n"/>
      <c r="M117" s="9" t="n"/>
      <c r="N117" s="9" t="n"/>
      <c r="O117" s="10" t="n"/>
      <c r="P117" s="9" t="n"/>
      <c r="Q117" s="9" t="n"/>
      <c r="R117" s="9" t="n"/>
      <c r="S117" s="9" t="n"/>
      <c r="T117" s="10" t="n"/>
      <c r="U117" s="10" t="n"/>
      <c r="V117" s="9" t="n"/>
      <c r="W117" s="9" t="n"/>
      <c r="X117" s="9" t="n"/>
      <c r="Y117" s="9" t="n"/>
      <c r="Z117" s="9" t="n"/>
      <c r="AA117" s="9" t="n"/>
      <c r="AB117" s="9" t="n"/>
      <c r="AC117" s="10" t="n"/>
      <c r="AD117" s="10" t="n"/>
      <c r="AE117" s="10" t="n"/>
      <c r="AF117" s="10" t="n"/>
      <c r="AG117" s="5" t="n"/>
    </row>
    <row r="118">
      <c r="A118" s="10" t="n"/>
      <c r="B118" s="9" t="n"/>
      <c r="C118" s="9" t="n"/>
      <c r="D118" s="6" t="n"/>
      <c r="E118" s="9" t="n"/>
      <c r="F118" s="10" t="n"/>
      <c r="G118" s="10" t="n"/>
      <c r="H118" s="9" t="n"/>
      <c r="I118" s="9" t="n"/>
      <c r="J118" s="9" t="n"/>
      <c r="K118" s="10" t="n"/>
      <c r="L118" s="10" t="n"/>
      <c r="M118" s="9" t="n"/>
      <c r="N118" s="9" t="n"/>
      <c r="O118" s="10" t="n"/>
      <c r="P118" s="9" t="n"/>
      <c r="Q118" s="9" t="n"/>
      <c r="R118" s="9" t="n"/>
      <c r="S118" s="9" t="n"/>
      <c r="T118" s="10" t="n"/>
      <c r="U118" s="10" t="n"/>
      <c r="V118" s="9" t="n"/>
      <c r="W118" s="9" t="n"/>
      <c r="X118" s="9" t="n"/>
      <c r="Y118" s="9" t="n"/>
      <c r="Z118" s="9" t="n"/>
      <c r="AA118" s="9" t="n"/>
      <c r="AB118" s="9" t="n"/>
      <c r="AC118" s="10" t="n"/>
      <c r="AD118" s="10" t="n"/>
      <c r="AE118" s="10" t="n"/>
      <c r="AF118" s="10" t="n"/>
      <c r="AG118" s="5" t="n"/>
    </row>
    <row r="119">
      <c r="A119" s="10" t="n"/>
      <c r="B119" s="9" t="n"/>
      <c r="C119" s="9" t="n"/>
      <c r="D119" s="6" t="n"/>
      <c r="E119" s="9" t="n"/>
      <c r="F119" s="10" t="n"/>
      <c r="G119" s="10" t="n"/>
      <c r="H119" s="9" t="n"/>
      <c r="I119" s="9" t="n"/>
      <c r="J119" s="9" t="n"/>
      <c r="K119" s="10" t="n"/>
      <c r="L119" s="10" t="n"/>
      <c r="M119" s="9" t="n"/>
      <c r="N119" s="9" t="n"/>
      <c r="O119" s="10" t="n"/>
      <c r="P119" s="9" t="n"/>
      <c r="Q119" s="9" t="n"/>
      <c r="R119" s="9" t="n"/>
      <c r="S119" s="9" t="n"/>
      <c r="T119" s="10" t="n"/>
      <c r="U119" s="10" t="n"/>
      <c r="V119" s="9" t="n"/>
      <c r="W119" s="9" t="n"/>
      <c r="X119" s="9" t="n"/>
      <c r="Y119" s="9" t="n"/>
      <c r="Z119" s="9" t="n"/>
      <c r="AA119" s="9" t="n"/>
      <c r="AB119" s="9" t="n"/>
      <c r="AC119" s="10" t="n"/>
      <c r="AD119" s="10" t="n"/>
      <c r="AE119" s="10" t="n"/>
      <c r="AF119" s="10" t="n"/>
      <c r="AG119" s="5" t="n"/>
    </row>
    <row r="120">
      <c r="A120" s="10" t="n"/>
      <c r="B120" s="9" t="n"/>
      <c r="C120" s="9" t="n"/>
      <c r="D120" s="6" t="n"/>
      <c r="E120" s="9" t="n"/>
      <c r="F120" s="10" t="n"/>
      <c r="G120" s="10" t="n"/>
      <c r="H120" s="9" t="n"/>
      <c r="I120" s="9" t="n"/>
      <c r="J120" s="9" t="n"/>
      <c r="K120" s="10" t="n"/>
      <c r="L120" s="10" t="n"/>
      <c r="M120" s="9" t="n"/>
      <c r="N120" s="9" t="n"/>
      <c r="O120" s="10" t="n"/>
      <c r="P120" s="9" t="n"/>
      <c r="Q120" s="9" t="n"/>
      <c r="R120" s="9" t="n"/>
      <c r="S120" s="9" t="n"/>
      <c r="T120" s="10" t="n"/>
      <c r="U120" s="10" t="n"/>
      <c r="V120" s="9" t="n"/>
      <c r="W120" s="9" t="n"/>
      <c r="X120" s="9" t="n"/>
      <c r="Y120" s="9" t="n"/>
      <c r="Z120" s="9" t="n"/>
      <c r="AA120" s="9" t="n"/>
      <c r="AB120" s="9" t="n"/>
      <c r="AC120" s="10" t="n"/>
      <c r="AD120" s="10" t="n"/>
      <c r="AE120" s="10" t="n"/>
      <c r="AF120" s="10" t="n"/>
      <c r="AG120" s="5" t="n"/>
    </row>
    <row r="121">
      <c r="A121" s="10" t="n"/>
      <c r="B121" s="9" t="n"/>
      <c r="C121" s="9" t="n"/>
      <c r="D121" s="6" t="n"/>
      <c r="E121" s="9" t="n"/>
      <c r="F121" s="10" t="n"/>
      <c r="G121" s="10" t="n"/>
      <c r="H121" s="9" t="n"/>
      <c r="I121" s="9" t="n"/>
      <c r="J121" s="9" t="n"/>
      <c r="K121" s="10" t="n"/>
      <c r="L121" s="10" t="n"/>
      <c r="M121" s="9" t="n"/>
      <c r="N121" s="9" t="n"/>
      <c r="O121" s="10" t="n"/>
      <c r="P121" s="9" t="n"/>
      <c r="Q121" s="9" t="n"/>
      <c r="R121" s="9" t="n"/>
      <c r="S121" s="9" t="n"/>
      <c r="T121" s="10" t="n"/>
      <c r="U121" s="10" t="n"/>
      <c r="V121" s="9" t="n"/>
      <c r="W121" s="9" t="n"/>
      <c r="X121" s="9" t="n"/>
      <c r="Y121" s="9" t="n"/>
      <c r="Z121" s="9" t="n"/>
      <c r="AA121" s="9" t="n"/>
      <c r="AB121" s="9" t="n"/>
      <c r="AC121" s="10" t="n"/>
      <c r="AD121" s="10" t="n"/>
      <c r="AE121" s="10" t="n"/>
      <c r="AF121" s="10" t="n"/>
      <c r="AG121" s="5" t="n"/>
    </row>
    <row r="122">
      <c r="A122" s="10" t="n"/>
      <c r="B122" s="9" t="n"/>
      <c r="C122" s="9" t="n"/>
      <c r="D122" s="6" t="n"/>
      <c r="E122" s="9" t="n"/>
      <c r="F122" s="10" t="n"/>
      <c r="G122" s="10" t="n"/>
      <c r="H122" s="9" t="n"/>
      <c r="I122" s="9" t="n"/>
      <c r="J122" s="9" t="n"/>
      <c r="K122" s="10" t="n"/>
      <c r="L122" s="10" t="n"/>
      <c r="M122" s="9" t="n"/>
      <c r="N122" s="9" t="n"/>
      <c r="O122" s="10" t="n"/>
      <c r="P122" s="9" t="n"/>
      <c r="Q122" s="9" t="n"/>
      <c r="R122" s="9" t="n"/>
      <c r="S122" s="9" t="n"/>
      <c r="T122" s="10" t="n"/>
      <c r="U122" s="10" t="n"/>
      <c r="V122" s="9" t="n"/>
      <c r="W122" s="9" t="n"/>
      <c r="X122" s="9" t="n"/>
      <c r="Y122" s="9" t="n"/>
      <c r="Z122" s="9" t="n"/>
      <c r="AA122" s="9" t="n"/>
      <c r="AB122" s="9" t="n"/>
      <c r="AC122" s="10" t="n"/>
      <c r="AD122" s="10" t="n"/>
      <c r="AE122" s="10" t="n"/>
      <c r="AF122" s="10" t="n"/>
      <c r="AG122" s="5" t="n"/>
    </row>
    <row r="123">
      <c r="A123" s="10" t="n"/>
      <c r="B123" s="9" t="n"/>
      <c r="C123" s="9" t="n"/>
      <c r="D123" s="6" t="n"/>
      <c r="E123" s="9" t="n"/>
      <c r="F123" s="10" t="n"/>
      <c r="G123" s="10" t="n"/>
      <c r="H123" s="9" t="n"/>
      <c r="I123" s="9" t="n"/>
      <c r="J123" s="9" t="n"/>
      <c r="K123" s="10" t="n"/>
      <c r="L123" s="10" t="n"/>
      <c r="M123" s="9" t="n"/>
      <c r="N123" s="9" t="n"/>
      <c r="O123" s="10" t="n"/>
      <c r="P123" s="9" t="n"/>
      <c r="Q123" s="9" t="n"/>
      <c r="R123" s="9" t="n"/>
      <c r="S123" s="9" t="n"/>
      <c r="T123" s="10" t="n"/>
      <c r="U123" s="10" t="n"/>
      <c r="V123" s="9" t="n"/>
      <c r="W123" s="9" t="n"/>
      <c r="X123" s="9" t="n"/>
      <c r="Y123" s="9" t="n"/>
      <c r="Z123" s="9" t="n"/>
      <c r="AA123" s="9" t="n"/>
      <c r="AB123" s="9" t="n"/>
      <c r="AC123" s="10" t="n"/>
      <c r="AD123" s="10" t="n"/>
      <c r="AE123" s="10" t="n"/>
      <c r="AF123" s="10" t="n"/>
      <c r="AG123" s="5" t="n"/>
    </row>
    <row r="124">
      <c r="A124" s="10" t="n"/>
      <c r="B124" s="9" t="n"/>
      <c r="C124" s="9" t="n"/>
      <c r="D124" s="6" t="n"/>
      <c r="E124" s="9" t="n"/>
      <c r="F124" s="10" t="n"/>
      <c r="G124" s="10" t="n"/>
      <c r="H124" s="9" t="n"/>
      <c r="I124" s="9" t="n"/>
      <c r="J124" s="9" t="n"/>
      <c r="K124" s="10" t="n"/>
      <c r="L124" s="10" t="n"/>
      <c r="M124" s="9" t="n"/>
      <c r="N124" s="9" t="n"/>
      <c r="O124" s="10" t="n"/>
      <c r="P124" s="9" t="n"/>
      <c r="Q124" s="9" t="n"/>
      <c r="R124" s="9" t="n"/>
      <c r="S124" s="9" t="n"/>
      <c r="T124" s="10" t="n"/>
      <c r="U124" s="10" t="n"/>
      <c r="V124" s="9" t="n"/>
      <c r="W124" s="9" t="n"/>
      <c r="X124" s="9" t="n"/>
      <c r="Y124" s="9" t="n"/>
      <c r="Z124" s="9" t="n"/>
      <c r="AA124" s="9" t="n"/>
      <c r="AB124" s="9" t="n"/>
      <c r="AC124" s="10" t="n"/>
      <c r="AD124" s="10" t="n"/>
      <c r="AE124" s="10" t="n"/>
      <c r="AF124" s="10" t="n"/>
      <c r="AG124" s="5" t="n"/>
    </row>
    <row r="125">
      <c r="A125" s="10" t="n"/>
      <c r="B125" s="9" t="n"/>
      <c r="C125" s="9" t="n"/>
      <c r="D125" s="6" t="n"/>
      <c r="E125" s="9" t="n"/>
      <c r="F125" s="10" t="n"/>
      <c r="G125" s="10" t="n"/>
      <c r="H125" s="9" t="n"/>
      <c r="I125" s="9" t="n"/>
      <c r="J125" s="9" t="n"/>
      <c r="K125" s="10" t="n"/>
      <c r="L125" s="10" t="n"/>
      <c r="M125" s="9" t="n"/>
      <c r="N125" s="9" t="n"/>
      <c r="O125" s="10" t="n"/>
      <c r="P125" s="9" t="n"/>
      <c r="Q125" s="9" t="n"/>
      <c r="R125" s="9" t="n"/>
      <c r="S125" s="9" t="n"/>
      <c r="T125" s="10" t="n"/>
      <c r="U125" s="10" t="n"/>
      <c r="V125" s="9" t="n"/>
      <c r="W125" s="9" t="n"/>
      <c r="X125" s="9" t="n"/>
      <c r="Y125" s="9" t="n"/>
      <c r="Z125" s="9" t="n"/>
      <c r="AA125" s="9" t="n"/>
      <c r="AB125" s="9" t="n"/>
      <c r="AC125" s="10" t="n"/>
      <c r="AD125" s="10" t="n"/>
      <c r="AE125" s="10" t="n"/>
      <c r="AF125" s="10" t="n"/>
      <c r="AG125" s="5" t="n"/>
    </row>
    <row r="126">
      <c r="A126" s="10" t="n"/>
      <c r="B126" s="9" t="n"/>
      <c r="C126" s="9" t="n"/>
      <c r="D126" s="6" t="n"/>
      <c r="E126" s="9" t="n"/>
      <c r="F126" s="10" t="n"/>
      <c r="G126" s="10" t="n"/>
      <c r="H126" s="9" t="n"/>
      <c r="I126" s="9" t="n"/>
      <c r="J126" s="9" t="n"/>
      <c r="K126" s="10" t="n"/>
      <c r="L126" s="10" t="n"/>
      <c r="M126" s="9" t="n"/>
      <c r="N126" s="9" t="n"/>
      <c r="O126" s="10" t="n"/>
      <c r="P126" s="9" t="n"/>
      <c r="Q126" s="9" t="n"/>
      <c r="R126" s="9" t="n"/>
      <c r="S126" s="9" t="n"/>
      <c r="T126" s="10" t="n"/>
      <c r="U126" s="10" t="n"/>
      <c r="V126" s="9" t="n"/>
      <c r="W126" s="9" t="n"/>
      <c r="X126" s="9" t="n"/>
      <c r="Y126" s="9" t="n"/>
      <c r="Z126" s="9" t="n"/>
      <c r="AA126" s="9" t="n"/>
      <c r="AB126" s="9" t="n"/>
      <c r="AC126" s="10" t="n"/>
      <c r="AD126" s="10" t="n"/>
      <c r="AE126" s="10" t="n"/>
      <c r="AF126" s="10" t="n"/>
      <c r="AG126" s="5" t="n"/>
    </row>
    <row r="127">
      <c r="A127" s="10" t="n"/>
      <c r="B127" s="9" t="n"/>
      <c r="C127" s="9" t="n"/>
      <c r="D127" s="6" t="n"/>
      <c r="E127" s="9" t="n"/>
      <c r="F127" s="10" t="n"/>
      <c r="G127" s="10" t="n"/>
      <c r="H127" s="9" t="n"/>
      <c r="I127" s="9" t="n"/>
      <c r="J127" s="9" t="n"/>
      <c r="K127" s="10" t="n"/>
      <c r="L127" s="10" t="n"/>
      <c r="M127" s="9" t="n"/>
      <c r="N127" s="9" t="n"/>
      <c r="O127" s="10" t="n"/>
      <c r="P127" s="9" t="n"/>
      <c r="Q127" s="9" t="n"/>
      <c r="R127" s="9" t="n"/>
      <c r="S127" s="9" t="n"/>
      <c r="T127" s="10" t="n"/>
      <c r="U127" s="10" t="n"/>
      <c r="V127" s="9" t="n"/>
      <c r="W127" s="9" t="n"/>
      <c r="X127" s="9" t="n"/>
      <c r="Y127" s="9" t="n"/>
      <c r="Z127" s="9" t="n"/>
      <c r="AA127" s="9" t="n"/>
      <c r="AB127" s="9" t="n"/>
      <c r="AC127" s="10" t="n"/>
      <c r="AD127" s="10" t="n"/>
      <c r="AE127" s="10" t="n"/>
      <c r="AF127" s="10" t="n"/>
      <c r="AG127" s="5" t="n"/>
    </row>
    <row r="128">
      <c r="A128" s="10" t="n"/>
      <c r="B128" s="9" t="n"/>
      <c r="C128" s="9" t="n"/>
      <c r="D128" s="6" t="n"/>
      <c r="E128" s="9" t="n"/>
      <c r="F128" s="10" t="n"/>
      <c r="G128" s="10" t="n"/>
      <c r="H128" s="9" t="n"/>
      <c r="I128" s="9" t="n"/>
      <c r="J128" s="9" t="n"/>
      <c r="K128" s="10" t="n"/>
      <c r="L128" s="10" t="n"/>
      <c r="M128" s="9" t="n"/>
      <c r="N128" s="9" t="n"/>
      <c r="O128" s="10" t="n"/>
      <c r="P128" s="9" t="n"/>
      <c r="Q128" s="9" t="n"/>
      <c r="R128" s="9" t="n"/>
      <c r="S128" s="9" t="n"/>
      <c r="T128" s="10" t="n"/>
      <c r="U128" s="10" t="n"/>
      <c r="V128" s="9" t="n"/>
      <c r="W128" s="9" t="n"/>
      <c r="X128" s="9" t="n"/>
      <c r="Y128" s="9" t="n"/>
      <c r="Z128" s="9" t="n"/>
      <c r="AA128" s="9" t="n"/>
      <c r="AB128" s="9" t="n"/>
      <c r="AC128" s="10" t="n"/>
      <c r="AD128" s="10" t="n"/>
      <c r="AE128" s="10" t="n"/>
      <c r="AF128" s="10" t="n"/>
      <c r="AG128" s="5" t="n"/>
    </row>
    <row r="129">
      <c r="A129" s="10" t="n"/>
      <c r="B129" s="9" t="n"/>
      <c r="C129" s="9" t="n"/>
      <c r="D129" s="6" t="n"/>
      <c r="E129" s="9" t="n"/>
      <c r="F129" s="10" t="n"/>
      <c r="G129" s="10" t="n"/>
      <c r="H129" s="9" t="n"/>
      <c r="I129" s="9" t="n"/>
      <c r="J129" s="9" t="n"/>
      <c r="K129" s="10" t="n"/>
      <c r="L129" s="10" t="n"/>
      <c r="M129" s="9" t="n"/>
      <c r="N129" s="9" t="n"/>
      <c r="O129" s="10" t="n"/>
      <c r="P129" s="9" t="n"/>
      <c r="Q129" s="9" t="n"/>
      <c r="R129" s="9" t="n"/>
      <c r="S129" s="9" t="n"/>
      <c r="T129" s="10" t="n"/>
      <c r="U129" s="10" t="n"/>
      <c r="V129" s="9" t="n"/>
      <c r="W129" s="9" t="n"/>
      <c r="X129" s="9" t="n"/>
      <c r="Y129" s="9" t="n"/>
      <c r="Z129" s="9" t="n"/>
      <c r="AA129" s="9" t="n"/>
      <c r="AB129" s="9" t="n"/>
      <c r="AC129" s="10" t="n"/>
      <c r="AD129" s="10" t="n"/>
      <c r="AE129" s="10" t="n"/>
      <c r="AF129" s="10" t="n"/>
      <c r="AG129" s="5" t="n"/>
    </row>
    <row r="130">
      <c r="A130" s="10" t="n"/>
      <c r="B130" s="9" t="n"/>
      <c r="C130" s="9" t="n"/>
      <c r="D130" s="6" t="n"/>
      <c r="E130" s="9" t="n"/>
      <c r="F130" s="10" t="n"/>
      <c r="G130" s="10" t="n"/>
      <c r="H130" s="9" t="n"/>
      <c r="I130" s="9" t="n"/>
      <c r="J130" s="9" t="n"/>
      <c r="K130" s="10" t="n"/>
      <c r="L130" s="10" t="n"/>
      <c r="M130" s="9" t="n"/>
      <c r="N130" s="9" t="n"/>
      <c r="O130" s="10" t="n"/>
      <c r="P130" s="9" t="n"/>
      <c r="Q130" s="9" t="n"/>
      <c r="R130" s="9" t="n"/>
      <c r="S130" s="9" t="n"/>
      <c r="T130" s="10" t="n"/>
      <c r="U130" s="10" t="n"/>
      <c r="V130" s="9" t="n"/>
      <c r="W130" s="9" t="n"/>
      <c r="X130" s="9" t="n"/>
      <c r="Y130" s="9" t="n"/>
      <c r="Z130" s="9" t="n"/>
      <c r="AA130" s="9" t="n"/>
      <c r="AB130" s="9" t="n"/>
      <c r="AC130" s="10" t="n"/>
      <c r="AD130" s="10" t="n"/>
      <c r="AE130" s="10" t="n"/>
      <c r="AF130" s="10" t="n"/>
      <c r="AG130" s="5" t="n"/>
    </row>
    <row r="131">
      <c r="A131" s="10" t="n"/>
      <c r="B131" s="9" t="n"/>
      <c r="C131" s="9" t="n"/>
      <c r="D131" s="6" t="n"/>
      <c r="E131" s="9" t="n"/>
      <c r="F131" s="10" t="n"/>
      <c r="G131" s="10" t="n"/>
      <c r="H131" s="9" t="n"/>
      <c r="I131" s="9" t="n"/>
      <c r="J131" s="9" t="n"/>
      <c r="K131" s="10" t="n"/>
      <c r="L131" s="10" t="n"/>
      <c r="M131" s="9" t="n"/>
      <c r="N131" s="9" t="n"/>
      <c r="O131" s="10" t="n"/>
      <c r="P131" s="9" t="n"/>
      <c r="Q131" s="9" t="n"/>
      <c r="R131" s="9" t="n"/>
      <c r="S131" s="9" t="n"/>
      <c r="T131" s="10" t="n"/>
      <c r="U131" s="10" t="n"/>
      <c r="V131" s="9" t="n"/>
      <c r="W131" s="9" t="n"/>
      <c r="X131" s="9" t="n"/>
      <c r="Y131" s="9" t="n"/>
      <c r="Z131" s="9" t="n"/>
      <c r="AA131" s="9" t="n"/>
      <c r="AB131" s="9" t="n"/>
      <c r="AC131" s="10" t="n"/>
      <c r="AD131" s="10" t="n"/>
      <c r="AE131" s="10" t="n"/>
      <c r="AF131" s="10" t="n"/>
      <c r="AG131" s="5" t="n"/>
    </row>
    <row r="132">
      <c r="A132" s="10" t="n"/>
      <c r="B132" s="9" t="n"/>
      <c r="C132" s="9" t="n"/>
      <c r="D132" s="6" t="n"/>
      <c r="E132" s="9" t="n"/>
      <c r="F132" s="10" t="n"/>
      <c r="G132" s="10" t="n"/>
      <c r="H132" s="9" t="n"/>
      <c r="I132" s="9" t="n"/>
      <c r="J132" s="9" t="n"/>
      <c r="K132" s="10" t="n"/>
      <c r="L132" s="10" t="n"/>
      <c r="M132" s="9" t="n"/>
      <c r="N132" s="9" t="n"/>
      <c r="O132" s="10" t="n"/>
      <c r="P132" s="9" t="n"/>
      <c r="Q132" s="9" t="n"/>
      <c r="R132" s="9" t="n"/>
      <c r="S132" s="9" t="n"/>
      <c r="T132" s="10" t="n"/>
      <c r="U132" s="10" t="n"/>
      <c r="V132" s="9" t="n"/>
      <c r="W132" s="9" t="n"/>
      <c r="X132" s="9" t="n"/>
      <c r="Y132" s="9" t="n"/>
      <c r="Z132" s="9" t="n"/>
      <c r="AA132" s="9" t="n"/>
      <c r="AB132" s="9" t="n"/>
      <c r="AC132" s="10" t="n"/>
      <c r="AD132" s="10" t="n"/>
      <c r="AE132" s="10" t="n"/>
      <c r="AF132" s="10" t="n"/>
      <c r="AG132" s="5" t="n"/>
    </row>
    <row r="133">
      <c r="A133" s="10" t="n"/>
      <c r="B133" s="9" t="n"/>
      <c r="C133" s="9" t="n"/>
      <c r="D133" s="6" t="n"/>
      <c r="E133" s="9" t="n"/>
      <c r="F133" s="10" t="n"/>
      <c r="G133" s="10" t="n"/>
      <c r="H133" s="9" t="n"/>
      <c r="I133" s="9" t="n"/>
      <c r="J133" s="9" t="n"/>
      <c r="K133" s="10" t="n"/>
      <c r="L133" s="10" t="n"/>
      <c r="M133" s="9" t="n"/>
      <c r="N133" s="9" t="n"/>
      <c r="O133" s="10" t="n"/>
      <c r="P133" s="9" t="n"/>
      <c r="Q133" s="9" t="n"/>
      <c r="R133" s="9" t="n"/>
      <c r="S133" s="9" t="n"/>
      <c r="T133" s="10" t="n"/>
      <c r="U133" s="10" t="n"/>
      <c r="V133" s="9" t="n"/>
      <c r="W133" s="9" t="n"/>
      <c r="X133" s="9" t="n"/>
      <c r="Y133" s="9" t="n"/>
      <c r="Z133" s="9" t="n"/>
      <c r="AA133" s="9" t="n"/>
      <c r="AB133" s="9" t="n"/>
      <c r="AC133" s="10" t="n"/>
      <c r="AD133" s="10" t="n"/>
      <c r="AE133" s="10" t="n"/>
      <c r="AF133" s="10" t="n"/>
      <c r="AG133" s="5" t="n"/>
    </row>
    <row r="134">
      <c r="A134" s="10" t="n"/>
      <c r="B134" s="9" t="n"/>
      <c r="C134" s="9" t="n"/>
      <c r="D134" s="6" t="n"/>
      <c r="E134" s="9" t="n"/>
      <c r="F134" s="10" t="n"/>
      <c r="G134" s="10" t="n"/>
      <c r="H134" s="9" t="n"/>
      <c r="I134" s="9" t="n"/>
      <c r="J134" s="9" t="n"/>
      <c r="K134" s="10" t="n"/>
      <c r="L134" s="10" t="n"/>
      <c r="M134" s="9" t="n"/>
      <c r="N134" s="9" t="n"/>
      <c r="O134" s="10" t="n"/>
      <c r="P134" s="9" t="n"/>
      <c r="Q134" s="9" t="n"/>
      <c r="R134" s="9" t="n"/>
      <c r="S134" s="9" t="n"/>
      <c r="T134" s="10" t="n"/>
      <c r="U134" s="10" t="n"/>
      <c r="V134" s="9" t="n"/>
      <c r="W134" s="9" t="n"/>
      <c r="X134" s="9" t="n"/>
      <c r="Y134" s="9" t="n"/>
      <c r="Z134" s="9" t="n"/>
      <c r="AA134" s="9" t="n"/>
      <c r="AB134" s="9" t="n"/>
      <c r="AC134" s="10" t="n"/>
      <c r="AD134" s="10" t="n"/>
      <c r="AE134" s="10" t="n"/>
      <c r="AF134" s="10" t="n"/>
      <c r="AG134" s="5" t="n"/>
    </row>
    <row r="135">
      <c r="A135" s="10" t="n"/>
      <c r="B135" s="9" t="n"/>
      <c r="C135" s="9" t="n"/>
      <c r="D135" s="6" t="n"/>
      <c r="E135" s="9" t="n"/>
      <c r="F135" s="10" t="n"/>
      <c r="G135" s="10" t="n"/>
      <c r="H135" s="9" t="n"/>
      <c r="I135" s="9" t="n"/>
      <c r="J135" s="9" t="n"/>
      <c r="K135" s="10" t="n"/>
      <c r="L135" s="10" t="n"/>
      <c r="M135" s="9" t="n"/>
      <c r="N135" s="9" t="n"/>
      <c r="O135" s="10" t="n"/>
      <c r="P135" s="9" t="n"/>
      <c r="Q135" s="9" t="n"/>
      <c r="R135" s="9" t="n"/>
      <c r="S135" s="9" t="n"/>
      <c r="T135" s="10" t="n"/>
      <c r="U135" s="10" t="n"/>
      <c r="V135" s="9" t="n"/>
      <c r="W135" s="9" t="n"/>
      <c r="X135" s="9" t="n"/>
      <c r="Y135" s="9" t="n"/>
      <c r="Z135" s="9" t="n"/>
      <c r="AA135" s="9" t="n"/>
      <c r="AB135" s="9" t="n"/>
      <c r="AC135" s="10" t="n"/>
      <c r="AD135" s="10" t="n"/>
      <c r="AE135" s="10" t="n"/>
      <c r="AF135" s="10" t="n"/>
      <c r="AG135" s="5" t="n"/>
    </row>
    <row r="136">
      <c r="A136" s="10" t="n"/>
      <c r="B136" s="9" t="n"/>
      <c r="C136" s="9" t="n"/>
      <c r="D136" s="6" t="n"/>
      <c r="E136" s="9" t="n"/>
      <c r="F136" s="10" t="n"/>
      <c r="G136" s="10" t="n"/>
      <c r="H136" s="9" t="n"/>
      <c r="I136" s="9" t="n"/>
      <c r="J136" s="9" t="n"/>
      <c r="K136" s="10" t="n"/>
      <c r="L136" s="10" t="n"/>
      <c r="M136" s="9" t="n"/>
      <c r="N136" s="9" t="n"/>
      <c r="O136" s="10" t="n"/>
      <c r="P136" s="9" t="n"/>
      <c r="Q136" s="9" t="n"/>
      <c r="R136" s="9" t="n"/>
      <c r="S136" s="9" t="n"/>
      <c r="T136" s="10" t="n"/>
      <c r="U136" s="10" t="n"/>
      <c r="V136" s="9" t="n"/>
      <c r="W136" s="9" t="n"/>
      <c r="X136" s="9" t="n"/>
      <c r="Y136" s="9" t="n"/>
      <c r="Z136" s="9" t="n"/>
      <c r="AA136" s="9" t="n"/>
      <c r="AB136" s="9" t="n"/>
      <c r="AC136" s="10" t="n"/>
      <c r="AD136" s="10" t="n"/>
      <c r="AE136" s="10" t="n"/>
      <c r="AF136" s="10" t="n"/>
      <c r="AG136" s="5" t="n"/>
    </row>
    <row r="137">
      <c r="A137" s="10" t="n"/>
      <c r="B137" s="9" t="n"/>
      <c r="C137" s="9" t="n"/>
      <c r="D137" s="6" t="n"/>
      <c r="E137" s="9" t="n"/>
      <c r="F137" s="10" t="n"/>
      <c r="G137" s="10" t="n"/>
      <c r="H137" s="9" t="n"/>
      <c r="I137" s="9" t="n"/>
      <c r="J137" s="9" t="n"/>
      <c r="K137" s="10" t="n"/>
      <c r="L137" s="10" t="n"/>
      <c r="M137" s="9" t="n"/>
      <c r="N137" s="9" t="n"/>
      <c r="O137" s="10" t="n"/>
      <c r="P137" s="9" t="n"/>
      <c r="Q137" s="9" t="n"/>
      <c r="R137" s="9" t="n"/>
      <c r="S137" s="9" t="n"/>
      <c r="T137" s="10" t="n"/>
      <c r="U137" s="10" t="n"/>
      <c r="V137" s="9" t="n"/>
      <c r="W137" s="9" t="n"/>
      <c r="X137" s="9" t="n"/>
      <c r="Y137" s="9" t="n"/>
      <c r="Z137" s="9" t="n"/>
      <c r="AA137" s="9" t="n"/>
      <c r="AB137" s="9" t="n"/>
      <c r="AC137" s="10" t="n"/>
      <c r="AD137" s="10" t="n"/>
      <c r="AE137" s="10" t="n"/>
      <c r="AF137" s="10" t="n"/>
      <c r="AG137" s="5" t="n"/>
    </row>
    <row r="138">
      <c r="A138" s="10" t="n"/>
      <c r="B138" s="9" t="n"/>
      <c r="C138" s="9" t="n"/>
      <c r="D138" s="6" t="n"/>
      <c r="E138" s="9" t="n"/>
      <c r="F138" s="10" t="n"/>
      <c r="G138" s="10" t="n"/>
      <c r="H138" s="9" t="n"/>
      <c r="I138" s="9" t="n"/>
      <c r="J138" s="9" t="n"/>
      <c r="K138" s="10" t="n"/>
      <c r="L138" s="10" t="n"/>
      <c r="M138" s="9" t="n"/>
      <c r="N138" s="9" t="n"/>
      <c r="O138" s="10" t="n"/>
      <c r="P138" s="9" t="n"/>
      <c r="Q138" s="9" t="n"/>
      <c r="R138" s="9" t="n"/>
      <c r="S138" s="9" t="n"/>
      <c r="T138" s="10" t="n"/>
      <c r="U138" s="10" t="n"/>
      <c r="V138" s="9" t="n"/>
      <c r="W138" s="9" t="n"/>
      <c r="X138" s="9" t="n"/>
      <c r="Y138" s="9" t="n"/>
      <c r="Z138" s="9" t="n"/>
      <c r="AA138" s="9" t="n"/>
      <c r="AB138" s="9" t="n"/>
      <c r="AC138" s="10" t="n"/>
      <c r="AD138" s="10" t="n"/>
      <c r="AE138" s="10" t="n"/>
      <c r="AF138" s="10" t="n"/>
      <c r="AG138" s="5" t="n"/>
    </row>
    <row r="139">
      <c r="A139" s="10" t="n"/>
      <c r="B139" s="9" t="n"/>
      <c r="C139" s="9" t="n"/>
      <c r="D139" s="6" t="n"/>
      <c r="E139" s="9" t="n"/>
      <c r="F139" s="10" t="n"/>
      <c r="G139" s="10" t="n"/>
      <c r="H139" s="9" t="n"/>
      <c r="I139" s="9" t="n"/>
      <c r="J139" s="9" t="n"/>
      <c r="K139" s="10" t="n"/>
      <c r="L139" s="10" t="n"/>
      <c r="M139" s="9" t="n"/>
      <c r="N139" s="9" t="n"/>
      <c r="O139" s="10" t="n"/>
      <c r="P139" s="9" t="n"/>
      <c r="Q139" s="9" t="n"/>
      <c r="R139" s="9" t="n"/>
      <c r="S139" s="9" t="n"/>
      <c r="T139" s="10" t="n"/>
      <c r="U139" s="10" t="n"/>
      <c r="V139" s="9" t="n"/>
      <c r="W139" s="9" t="n"/>
      <c r="X139" s="9" t="n"/>
      <c r="Y139" s="9" t="n"/>
      <c r="Z139" s="9" t="n"/>
      <c r="AA139" s="9" t="n"/>
      <c r="AB139" s="9" t="n"/>
      <c r="AC139" s="10" t="n"/>
      <c r="AD139" s="10" t="n"/>
      <c r="AE139" s="10" t="n"/>
      <c r="AF139" s="10" t="n"/>
      <c r="AG139" s="5" t="n"/>
    </row>
    <row r="140">
      <c r="A140" s="10" t="n"/>
      <c r="B140" s="9" t="n"/>
      <c r="C140" s="9" t="n"/>
      <c r="D140" s="6" t="n"/>
      <c r="E140" s="9" t="n"/>
      <c r="F140" s="10" t="n"/>
      <c r="G140" s="10" t="n"/>
      <c r="H140" s="9" t="n"/>
      <c r="I140" s="9" t="n"/>
      <c r="J140" s="9" t="n"/>
      <c r="K140" s="10" t="n"/>
      <c r="L140" s="10" t="n"/>
      <c r="M140" s="9" t="n"/>
      <c r="N140" s="9" t="n"/>
      <c r="O140" s="10" t="n"/>
      <c r="P140" s="9" t="n"/>
      <c r="Q140" s="9" t="n"/>
      <c r="R140" s="9" t="n"/>
      <c r="S140" s="9" t="n"/>
      <c r="T140" s="10" t="n"/>
      <c r="U140" s="10" t="n"/>
      <c r="V140" s="9" t="n"/>
      <c r="W140" s="9" t="n"/>
      <c r="X140" s="9" t="n"/>
      <c r="Y140" s="9" t="n"/>
      <c r="Z140" s="9" t="n"/>
      <c r="AA140" s="9" t="n"/>
      <c r="AB140" s="9" t="n"/>
      <c r="AC140" s="10" t="n"/>
      <c r="AD140" s="10" t="n"/>
      <c r="AE140" s="10" t="n"/>
      <c r="AF140" s="10" t="n"/>
      <c r="AG140" s="5" t="n"/>
    </row>
    <row r="141">
      <c r="A141" s="10" t="n"/>
      <c r="B141" s="9" t="n"/>
      <c r="C141" s="9" t="n"/>
      <c r="D141" s="6" t="n"/>
      <c r="E141" s="9" t="n"/>
      <c r="F141" s="10" t="n"/>
      <c r="G141" s="10" t="n"/>
      <c r="H141" s="9" t="n"/>
      <c r="I141" s="9" t="n"/>
      <c r="J141" s="9" t="n"/>
      <c r="K141" s="10" t="n"/>
      <c r="L141" s="10" t="n"/>
      <c r="M141" s="9" t="n"/>
      <c r="N141" s="9" t="n"/>
      <c r="O141" s="10" t="n"/>
      <c r="P141" s="9" t="n"/>
      <c r="Q141" s="9" t="n"/>
      <c r="R141" s="9" t="n"/>
      <c r="S141" s="9" t="n"/>
      <c r="T141" s="10" t="n"/>
      <c r="U141" s="10" t="n"/>
      <c r="V141" s="9" t="n"/>
      <c r="W141" s="9" t="n"/>
      <c r="X141" s="9" t="n"/>
      <c r="Y141" s="9" t="n"/>
      <c r="Z141" s="9" t="n"/>
      <c r="AA141" s="9" t="n"/>
      <c r="AB141" s="9" t="n"/>
      <c r="AC141" s="10" t="n"/>
      <c r="AD141" s="10" t="n"/>
      <c r="AE141" s="10" t="n"/>
      <c r="AF141" s="10" t="n"/>
      <c r="AG141" s="5" t="n"/>
    </row>
    <row r="142">
      <c r="A142" s="10" t="n"/>
      <c r="B142" s="9" t="n"/>
      <c r="C142" s="9" t="n"/>
      <c r="D142" s="6" t="n"/>
      <c r="E142" s="9" t="n"/>
      <c r="F142" s="10" t="n"/>
      <c r="G142" s="10" t="n"/>
      <c r="H142" s="9" t="n"/>
      <c r="I142" s="9" t="n"/>
      <c r="J142" s="9" t="n"/>
      <c r="K142" s="10" t="n"/>
      <c r="L142" s="10" t="n"/>
      <c r="M142" s="9" t="n"/>
      <c r="N142" s="9" t="n"/>
      <c r="O142" s="10" t="n"/>
      <c r="P142" s="9" t="n"/>
      <c r="Q142" s="9" t="n"/>
      <c r="R142" s="9" t="n"/>
      <c r="S142" s="9" t="n"/>
      <c r="T142" s="10" t="n"/>
      <c r="U142" s="10" t="n"/>
      <c r="V142" s="9" t="n"/>
      <c r="W142" s="9" t="n"/>
      <c r="X142" s="9" t="n"/>
      <c r="Y142" s="9" t="n"/>
      <c r="Z142" s="9" t="n"/>
      <c r="AA142" s="9" t="n"/>
      <c r="AB142" s="9" t="n"/>
      <c r="AC142" s="10" t="n"/>
      <c r="AD142" s="10" t="n"/>
      <c r="AE142" s="10" t="n"/>
      <c r="AF142" s="10" t="n"/>
      <c r="AG142" s="5" t="n"/>
    </row>
    <row r="143">
      <c r="A143" s="10" t="n"/>
      <c r="B143" s="9" t="n"/>
      <c r="C143" s="9" t="n"/>
      <c r="D143" s="6" t="n"/>
      <c r="E143" s="9" t="n"/>
      <c r="F143" s="10" t="n"/>
      <c r="G143" s="10" t="n"/>
      <c r="H143" s="9" t="n"/>
      <c r="I143" s="9" t="n"/>
      <c r="J143" s="9" t="n"/>
      <c r="K143" s="10" t="n"/>
      <c r="L143" s="10" t="n"/>
      <c r="M143" s="9" t="n"/>
      <c r="N143" s="9" t="n"/>
      <c r="O143" s="10" t="n"/>
      <c r="P143" s="9" t="n"/>
      <c r="Q143" s="9" t="n"/>
      <c r="R143" s="9" t="n"/>
      <c r="S143" s="9" t="n"/>
      <c r="T143" s="10" t="n"/>
      <c r="U143" s="10" t="n"/>
      <c r="V143" s="9" t="n"/>
      <c r="W143" s="9" t="n"/>
      <c r="X143" s="9" t="n"/>
      <c r="Y143" s="9" t="n"/>
      <c r="Z143" s="9" t="n"/>
      <c r="AA143" s="9" t="n"/>
      <c r="AB143" s="9" t="n"/>
      <c r="AC143" s="10" t="n"/>
      <c r="AD143" s="10" t="n"/>
      <c r="AE143" s="10" t="n"/>
      <c r="AF143" s="10" t="n"/>
      <c r="AG143" s="5" t="n"/>
    </row>
    <row r="144">
      <c r="A144" s="10" t="n"/>
      <c r="B144" s="9" t="n"/>
      <c r="C144" s="9" t="n"/>
      <c r="D144" s="6" t="n"/>
      <c r="E144" s="9" t="n"/>
      <c r="F144" s="10" t="n"/>
      <c r="G144" s="10" t="n"/>
      <c r="H144" s="9" t="n"/>
      <c r="I144" s="9" t="n"/>
      <c r="J144" s="9" t="n"/>
      <c r="K144" s="10" t="n"/>
      <c r="L144" s="10" t="n"/>
      <c r="M144" s="9" t="n"/>
      <c r="N144" s="9" t="n"/>
      <c r="O144" s="10" t="n"/>
      <c r="P144" s="9" t="n"/>
      <c r="Q144" s="9" t="n"/>
      <c r="R144" s="9" t="n"/>
      <c r="S144" s="9" t="n"/>
      <c r="T144" s="10" t="n"/>
      <c r="U144" s="10" t="n"/>
      <c r="V144" s="9" t="n"/>
      <c r="W144" s="9" t="n"/>
      <c r="X144" s="9" t="n"/>
      <c r="Y144" s="9" t="n"/>
      <c r="Z144" s="9" t="n"/>
      <c r="AA144" s="9" t="n"/>
      <c r="AB144" s="9" t="n"/>
      <c r="AC144" s="10" t="n"/>
      <c r="AD144" s="10" t="n"/>
      <c r="AE144" s="10" t="n"/>
      <c r="AF144" s="10" t="n"/>
      <c r="AG144" s="5" t="n"/>
    </row>
    <row r="145">
      <c r="A145" s="10" t="n"/>
      <c r="B145" s="9" t="n"/>
      <c r="C145" s="9" t="n"/>
      <c r="D145" s="6" t="n"/>
      <c r="E145" s="9" t="n"/>
      <c r="F145" s="10" t="n"/>
      <c r="G145" s="10" t="n"/>
      <c r="H145" s="9" t="n"/>
      <c r="I145" s="9" t="n"/>
      <c r="J145" s="9" t="n"/>
      <c r="K145" s="10" t="n"/>
      <c r="L145" s="10" t="n"/>
      <c r="M145" s="9" t="n"/>
      <c r="N145" s="9" t="n"/>
      <c r="O145" s="10" t="n"/>
      <c r="P145" s="9" t="n"/>
      <c r="Q145" s="9" t="n"/>
      <c r="R145" s="9" t="n"/>
      <c r="S145" s="9" t="n"/>
      <c r="T145" s="10" t="n"/>
      <c r="U145" s="10" t="n"/>
      <c r="V145" s="9" t="n"/>
      <c r="W145" s="9" t="n"/>
      <c r="X145" s="9" t="n"/>
      <c r="Y145" s="9" t="n"/>
      <c r="Z145" s="9" t="n"/>
      <c r="AA145" s="9" t="n"/>
      <c r="AB145" s="9" t="n"/>
      <c r="AC145" s="10" t="n"/>
      <c r="AD145" s="10" t="n"/>
      <c r="AE145" s="10" t="n"/>
      <c r="AF145" s="10" t="n"/>
      <c r="AG145" s="5" t="n"/>
    </row>
    <row r="146">
      <c r="A146" s="10" t="n"/>
      <c r="B146" s="9" t="n"/>
      <c r="C146" s="9" t="n"/>
      <c r="D146" s="6" t="n"/>
      <c r="E146" s="9" t="n"/>
      <c r="F146" s="10" t="n"/>
      <c r="G146" s="10" t="n"/>
      <c r="H146" s="9" t="n"/>
      <c r="I146" s="9" t="n"/>
      <c r="J146" s="9" t="n"/>
      <c r="K146" s="10" t="n"/>
      <c r="L146" s="10" t="n"/>
      <c r="M146" s="9" t="n"/>
      <c r="N146" s="9" t="n"/>
      <c r="O146" s="10" t="n"/>
      <c r="P146" s="9" t="n"/>
      <c r="Q146" s="9" t="n"/>
      <c r="R146" s="9" t="n"/>
      <c r="S146" s="9" t="n"/>
      <c r="T146" s="10" t="n"/>
      <c r="U146" s="10" t="n"/>
      <c r="V146" s="9" t="n"/>
      <c r="W146" s="9" t="n"/>
      <c r="X146" s="9" t="n"/>
      <c r="Y146" s="9" t="n"/>
      <c r="Z146" s="9" t="n"/>
      <c r="AA146" s="9" t="n"/>
      <c r="AB146" s="9" t="n"/>
      <c r="AC146" s="10" t="n"/>
      <c r="AD146" s="10" t="n"/>
      <c r="AE146" s="10" t="n"/>
      <c r="AF146" s="10" t="n"/>
      <c r="AG146" s="5" t="n"/>
    </row>
    <row r="147">
      <c r="A147" s="10" t="n"/>
      <c r="B147" s="9" t="n"/>
      <c r="C147" s="9" t="n"/>
      <c r="D147" s="6" t="n"/>
      <c r="E147" s="9" t="n"/>
      <c r="F147" s="10" t="n"/>
      <c r="G147" s="10" t="n"/>
      <c r="H147" s="9" t="n"/>
      <c r="I147" s="9" t="n"/>
      <c r="J147" s="9" t="n"/>
      <c r="K147" s="10" t="n"/>
      <c r="L147" s="10" t="n"/>
      <c r="M147" s="9" t="n"/>
      <c r="N147" s="9" t="n"/>
      <c r="O147" s="10" t="n"/>
      <c r="P147" s="9" t="n"/>
      <c r="Q147" s="9" t="n"/>
      <c r="R147" s="9" t="n"/>
      <c r="S147" s="9" t="n"/>
      <c r="T147" s="10" t="n"/>
      <c r="U147" s="10" t="n"/>
      <c r="V147" s="9" t="n"/>
      <c r="W147" s="9" t="n"/>
      <c r="X147" s="9" t="n"/>
      <c r="Y147" s="9" t="n"/>
      <c r="Z147" s="9" t="n"/>
      <c r="AA147" s="9" t="n"/>
      <c r="AB147" s="9" t="n"/>
      <c r="AC147" s="10" t="n"/>
      <c r="AD147" s="10" t="n"/>
      <c r="AE147" s="10" t="n"/>
      <c r="AF147" s="10" t="n"/>
      <c r="AG147" s="5" t="n"/>
    </row>
    <row r="148">
      <c r="A148" s="10" t="n"/>
      <c r="B148" s="9" t="n"/>
      <c r="C148" s="9" t="n"/>
      <c r="D148" s="6" t="n"/>
      <c r="E148" s="9" t="n"/>
      <c r="F148" s="10" t="n"/>
      <c r="G148" s="10" t="n"/>
      <c r="H148" s="9" t="n"/>
      <c r="I148" s="9" t="n"/>
      <c r="J148" s="9" t="n"/>
      <c r="K148" s="10" t="n"/>
      <c r="L148" s="10" t="n"/>
      <c r="M148" s="9" t="n"/>
      <c r="N148" s="9" t="n"/>
      <c r="O148" s="10" t="n"/>
      <c r="P148" s="9" t="n"/>
      <c r="Q148" s="9" t="n"/>
      <c r="R148" s="9" t="n"/>
      <c r="S148" s="9" t="n"/>
      <c r="T148" s="10" t="n"/>
      <c r="U148" s="10" t="n"/>
      <c r="V148" s="9" t="n"/>
      <c r="W148" s="9" t="n"/>
      <c r="X148" s="9" t="n"/>
      <c r="Y148" s="9" t="n"/>
      <c r="Z148" s="9" t="n"/>
      <c r="AA148" s="9" t="n"/>
      <c r="AB148" s="9" t="n"/>
      <c r="AC148" s="10" t="n"/>
      <c r="AD148" s="10" t="n"/>
      <c r="AE148" s="10" t="n"/>
      <c r="AF148" s="10" t="n"/>
      <c r="AG148" s="5" t="n"/>
    </row>
    <row r="149">
      <c r="A149" s="10" t="n"/>
      <c r="B149" s="9" t="n"/>
      <c r="C149" s="9" t="n"/>
      <c r="D149" s="6" t="n"/>
      <c r="E149" s="9" t="n"/>
      <c r="F149" s="10" t="n"/>
      <c r="G149" s="10" t="n"/>
      <c r="H149" s="9" t="n"/>
      <c r="I149" s="9" t="n"/>
      <c r="J149" s="9" t="n"/>
      <c r="K149" s="10" t="n"/>
      <c r="L149" s="10" t="n"/>
      <c r="M149" s="9" t="n"/>
      <c r="N149" s="9" t="n"/>
      <c r="O149" s="10" t="n"/>
      <c r="P149" s="9" t="n"/>
      <c r="Q149" s="9" t="n"/>
      <c r="R149" s="9" t="n"/>
      <c r="S149" s="9" t="n"/>
      <c r="T149" s="10" t="n"/>
      <c r="U149" s="10" t="n"/>
      <c r="V149" s="9" t="n"/>
      <c r="W149" s="9" t="n"/>
      <c r="X149" s="9" t="n"/>
      <c r="Y149" s="9" t="n"/>
      <c r="Z149" s="9" t="n"/>
      <c r="AA149" s="9" t="n"/>
      <c r="AB149" s="9" t="n"/>
      <c r="AC149" s="10" t="n"/>
      <c r="AD149" s="10" t="n"/>
      <c r="AE149" s="10" t="n"/>
      <c r="AF149" s="10" t="n"/>
      <c r="AG149" s="5" t="n"/>
    </row>
    <row r="150">
      <c r="A150" s="10" t="n"/>
      <c r="B150" s="9" t="n"/>
      <c r="C150" s="9" t="n"/>
      <c r="D150" s="6" t="n"/>
      <c r="E150" s="9" t="n"/>
      <c r="F150" s="10" t="n"/>
      <c r="G150" s="10" t="n"/>
      <c r="H150" s="9" t="n"/>
      <c r="I150" s="9" t="n"/>
      <c r="J150" s="9" t="n"/>
      <c r="K150" s="10" t="n"/>
      <c r="L150" s="10" t="n"/>
      <c r="M150" s="9" t="n"/>
      <c r="N150" s="9" t="n"/>
      <c r="O150" s="10" t="n"/>
      <c r="P150" s="9" t="n"/>
      <c r="Q150" s="9" t="n"/>
      <c r="R150" s="9" t="n"/>
      <c r="S150" s="9" t="n"/>
      <c r="T150" s="10" t="n"/>
      <c r="U150" s="10" t="n"/>
      <c r="V150" s="9" t="n"/>
      <c r="W150" s="9" t="n"/>
      <c r="X150" s="9" t="n"/>
      <c r="Y150" s="9" t="n"/>
      <c r="Z150" s="9" t="n"/>
      <c r="AA150" s="9" t="n"/>
      <c r="AB150" s="9" t="n"/>
      <c r="AC150" s="10" t="n"/>
      <c r="AD150" s="10" t="n"/>
      <c r="AE150" s="10" t="n"/>
      <c r="AF150" s="10" t="n"/>
      <c r="AG150" s="5" t="n"/>
    </row>
    <row r="151">
      <c r="A151" s="10" t="n"/>
      <c r="B151" s="9" t="n"/>
      <c r="C151" s="9" t="n"/>
      <c r="D151" s="6" t="n"/>
      <c r="E151" s="9" t="n"/>
      <c r="F151" s="10" t="n"/>
      <c r="G151" s="10" t="n"/>
      <c r="H151" s="9" t="n"/>
      <c r="I151" s="9" t="n"/>
      <c r="J151" s="9" t="n"/>
      <c r="K151" s="10" t="n"/>
      <c r="L151" s="10" t="n"/>
      <c r="M151" s="9" t="n"/>
      <c r="N151" s="9" t="n"/>
      <c r="O151" s="10" t="n"/>
      <c r="P151" s="9" t="n"/>
      <c r="Q151" s="9" t="n"/>
      <c r="R151" s="9" t="n"/>
      <c r="S151" s="9" t="n"/>
      <c r="T151" s="10" t="n"/>
      <c r="U151" s="10" t="n"/>
      <c r="V151" s="9" t="n"/>
      <c r="W151" s="9" t="n"/>
      <c r="X151" s="9" t="n"/>
      <c r="Y151" s="9" t="n"/>
      <c r="Z151" s="9" t="n"/>
      <c r="AA151" s="9" t="n"/>
      <c r="AB151" s="9" t="n"/>
      <c r="AC151" s="10" t="n"/>
      <c r="AD151" s="10" t="n"/>
      <c r="AE151" s="10" t="n"/>
      <c r="AF151" s="10" t="n"/>
      <c r="AG151" s="5" t="n"/>
    </row>
    <row r="152">
      <c r="A152" s="10" t="n"/>
      <c r="B152" s="9" t="n"/>
      <c r="C152" s="9" t="n"/>
      <c r="D152" s="6" t="n"/>
      <c r="E152" s="9" t="n"/>
      <c r="F152" s="10" t="n"/>
      <c r="G152" s="10" t="n"/>
      <c r="H152" s="9" t="n"/>
      <c r="I152" s="9" t="n"/>
      <c r="J152" s="9" t="n"/>
      <c r="K152" s="10" t="n"/>
      <c r="L152" s="10" t="n"/>
      <c r="M152" s="9" t="n"/>
      <c r="N152" s="9" t="n"/>
      <c r="O152" s="10" t="n"/>
      <c r="P152" s="9" t="n"/>
      <c r="Q152" s="9" t="n"/>
      <c r="R152" s="9" t="n"/>
      <c r="S152" s="9" t="n"/>
      <c r="T152" s="10" t="n"/>
      <c r="U152" s="10" t="n"/>
      <c r="V152" s="9" t="n"/>
      <c r="W152" s="9" t="n"/>
      <c r="X152" s="9" t="n"/>
      <c r="Y152" s="9" t="n"/>
      <c r="Z152" s="9" t="n"/>
      <c r="AA152" s="9" t="n"/>
      <c r="AB152" s="9" t="n"/>
      <c r="AC152" s="10" t="n"/>
      <c r="AD152" s="10" t="n"/>
      <c r="AE152" s="10" t="n"/>
      <c r="AF152" s="10" t="n"/>
      <c r="AG152" s="5" t="n"/>
    </row>
    <row r="153">
      <c r="A153" s="10" t="n"/>
      <c r="B153" s="9" t="n"/>
      <c r="C153" s="9" t="n"/>
      <c r="D153" s="6" t="n"/>
      <c r="E153" s="9" t="n"/>
      <c r="F153" s="10" t="n"/>
      <c r="G153" s="10" t="n"/>
      <c r="H153" s="9" t="n"/>
      <c r="I153" s="9" t="n"/>
      <c r="J153" s="9" t="n"/>
      <c r="K153" s="10" t="n"/>
      <c r="L153" s="10" t="n"/>
      <c r="M153" s="9" t="n"/>
      <c r="N153" s="9" t="n"/>
      <c r="O153" s="10" t="n"/>
      <c r="P153" s="9" t="n"/>
      <c r="Q153" s="9" t="n"/>
      <c r="R153" s="9" t="n"/>
      <c r="S153" s="9" t="n"/>
      <c r="T153" s="10" t="n"/>
      <c r="U153" s="10" t="n"/>
      <c r="V153" s="9" t="n"/>
      <c r="W153" s="9" t="n"/>
      <c r="X153" s="9" t="n"/>
      <c r="Y153" s="9" t="n"/>
      <c r="Z153" s="9" t="n"/>
      <c r="AA153" s="9" t="n"/>
      <c r="AB153" s="9" t="n"/>
      <c r="AC153" s="10" t="n"/>
      <c r="AD153" s="10" t="n"/>
      <c r="AE153" s="10" t="n"/>
      <c r="AF153" s="10" t="n"/>
      <c r="AG153" s="5" t="n"/>
    </row>
    <row r="154">
      <c r="A154" s="10" t="n"/>
      <c r="B154" s="9" t="n"/>
      <c r="C154" s="9" t="n"/>
      <c r="D154" s="6" t="n"/>
      <c r="E154" s="9" t="n"/>
      <c r="F154" s="10" t="n"/>
      <c r="G154" s="10" t="n"/>
      <c r="H154" s="9" t="n"/>
      <c r="I154" s="9" t="n"/>
      <c r="J154" s="9" t="n"/>
      <c r="K154" s="10" t="n"/>
      <c r="L154" s="10" t="n"/>
      <c r="M154" s="9" t="n"/>
      <c r="N154" s="9" t="n"/>
      <c r="O154" s="10" t="n"/>
      <c r="P154" s="9" t="n"/>
      <c r="Q154" s="9" t="n"/>
      <c r="R154" s="9" t="n"/>
      <c r="S154" s="9" t="n"/>
      <c r="T154" s="10" t="n"/>
      <c r="U154" s="10" t="n"/>
      <c r="V154" s="9" t="n"/>
      <c r="W154" s="9" t="n"/>
      <c r="X154" s="9" t="n"/>
      <c r="Y154" s="9" t="n"/>
      <c r="Z154" s="9" t="n"/>
      <c r="AA154" s="9" t="n"/>
      <c r="AB154" s="9" t="n"/>
      <c r="AC154" s="10" t="n"/>
      <c r="AD154" s="10" t="n"/>
      <c r="AE154" s="10" t="n"/>
      <c r="AF154" s="10" t="n"/>
      <c r="AG154" s="5" t="n"/>
    </row>
    <row r="155">
      <c r="A155" s="10" t="n"/>
      <c r="B155" s="9" t="n"/>
      <c r="C155" s="9" t="n"/>
      <c r="D155" s="6" t="n"/>
      <c r="E155" s="9" t="n"/>
      <c r="F155" s="10" t="n"/>
      <c r="G155" s="10" t="n"/>
      <c r="H155" s="9" t="n"/>
      <c r="I155" s="9" t="n"/>
      <c r="J155" s="9" t="n"/>
      <c r="K155" s="10" t="n"/>
      <c r="L155" s="10" t="n"/>
      <c r="M155" s="9" t="n"/>
      <c r="N155" s="9" t="n"/>
      <c r="O155" s="10" t="n"/>
      <c r="P155" s="9" t="n"/>
      <c r="Q155" s="9" t="n"/>
      <c r="R155" s="9" t="n"/>
      <c r="S155" s="9" t="n"/>
      <c r="T155" s="10" t="n"/>
      <c r="U155" s="10" t="n"/>
      <c r="V155" s="9" t="n"/>
      <c r="W155" s="9" t="n"/>
      <c r="X155" s="9" t="n"/>
      <c r="Y155" s="9" t="n"/>
      <c r="Z155" s="9" t="n"/>
      <c r="AA155" s="9" t="n"/>
      <c r="AB155" s="9" t="n"/>
      <c r="AC155" s="10" t="n"/>
      <c r="AD155" s="10" t="n"/>
      <c r="AE155" s="10" t="n"/>
      <c r="AF155" s="10" t="n"/>
      <c r="AG155" s="5" t="n"/>
    </row>
    <row r="156">
      <c r="A156" s="10" t="n"/>
      <c r="B156" s="9" t="n"/>
      <c r="C156" s="9" t="n"/>
      <c r="D156" s="6" t="n"/>
      <c r="E156" s="9" t="n"/>
      <c r="F156" s="10" t="n"/>
      <c r="G156" s="10" t="n"/>
      <c r="H156" s="9" t="n"/>
      <c r="I156" s="9" t="n"/>
      <c r="J156" s="9" t="n"/>
      <c r="K156" s="10" t="n"/>
      <c r="L156" s="10" t="n"/>
      <c r="M156" s="9" t="n"/>
      <c r="N156" s="9" t="n"/>
      <c r="O156" s="10" t="n"/>
      <c r="P156" s="9" t="n"/>
      <c r="Q156" s="9" t="n"/>
      <c r="R156" s="9" t="n"/>
      <c r="S156" s="9" t="n"/>
      <c r="T156" s="10" t="n"/>
      <c r="U156" s="10" t="n"/>
      <c r="V156" s="9" t="n"/>
      <c r="W156" s="9" t="n"/>
      <c r="X156" s="9" t="n"/>
      <c r="Y156" s="9" t="n"/>
      <c r="Z156" s="9" t="n"/>
      <c r="AA156" s="9" t="n"/>
      <c r="AB156" s="9" t="n"/>
      <c r="AC156" s="10" t="n"/>
      <c r="AD156" s="10" t="n"/>
      <c r="AE156" s="10" t="n"/>
      <c r="AF156" s="10" t="n"/>
      <c r="AG156" s="5" t="n"/>
    </row>
    <row r="157">
      <c r="A157" s="10" t="n"/>
      <c r="B157" s="9" t="n"/>
      <c r="C157" s="9" t="n"/>
      <c r="D157" s="6" t="n"/>
      <c r="E157" s="9" t="n"/>
      <c r="F157" s="10" t="n"/>
      <c r="G157" s="10" t="n"/>
      <c r="H157" s="9" t="n"/>
      <c r="I157" s="9" t="n"/>
      <c r="J157" s="9" t="n"/>
      <c r="K157" s="10" t="n"/>
      <c r="L157" s="10" t="n"/>
      <c r="M157" s="9" t="n"/>
      <c r="N157" s="9" t="n"/>
      <c r="O157" s="10" t="n"/>
      <c r="P157" s="9" t="n"/>
      <c r="Q157" s="9" t="n"/>
      <c r="R157" s="9" t="n"/>
      <c r="S157" s="9" t="n"/>
      <c r="T157" s="10" t="n"/>
      <c r="U157" s="10" t="n"/>
      <c r="V157" s="9" t="n"/>
      <c r="W157" s="9" t="n"/>
      <c r="X157" s="9" t="n"/>
      <c r="Y157" s="9" t="n"/>
      <c r="Z157" s="9" t="n"/>
      <c r="AA157" s="9" t="n"/>
      <c r="AB157" s="9" t="n"/>
      <c r="AC157" s="10" t="n"/>
      <c r="AD157" s="10" t="n"/>
      <c r="AE157" s="10" t="n"/>
      <c r="AF157" s="10" t="n"/>
      <c r="AG157" s="5" t="n"/>
    </row>
    <row r="158">
      <c r="A158" s="10" t="n"/>
      <c r="B158" s="9" t="n"/>
      <c r="C158" s="9" t="n"/>
      <c r="D158" s="6" t="n"/>
      <c r="E158" s="9" t="n"/>
      <c r="F158" s="10" t="n"/>
      <c r="G158" s="10" t="n"/>
      <c r="H158" s="9" t="n"/>
      <c r="I158" s="9" t="n"/>
      <c r="J158" s="9" t="n"/>
      <c r="K158" s="10" t="n"/>
      <c r="L158" s="10" t="n"/>
      <c r="M158" s="9" t="n"/>
      <c r="N158" s="9" t="n"/>
      <c r="O158" s="10" t="n"/>
      <c r="P158" s="9" t="n"/>
      <c r="Q158" s="9" t="n"/>
      <c r="R158" s="9" t="n"/>
      <c r="S158" s="9" t="n"/>
      <c r="T158" s="10" t="n"/>
      <c r="U158" s="10" t="n"/>
      <c r="V158" s="9" t="n"/>
      <c r="W158" s="9" t="n"/>
      <c r="X158" s="9" t="n"/>
      <c r="Y158" s="9" t="n"/>
      <c r="Z158" s="9" t="n"/>
      <c r="AA158" s="9" t="n"/>
      <c r="AB158" s="9" t="n"/>
      <c r="AC158" s="10" t="n"/>
      <c r="AD158" s="10" t="n"/>
      <c r="AE158" s="10" t="n"/>
      <c r="AF158" s="10" t="n"/>
      <c r="AG158" s="5" t="n"/>
    </row>
    <row r="159">
      <c r="A159" s="10" t="n"/>
      <c r="B159" s="9" t="n"/>
      <c r="C159" s="9" t="n"/>
      <c r="D159" s="6" t="n"/>
      <c r="E159" s="9" t="n"/>
      <c r="F159" s="10" t="n"/>
      <c r="G159" s="10" t="n"/>
      <c r="H159" s="9" t="n"/>
      <c r="I159" s="9" t="n"/>
      <c r="J159" s="9" t="n"/>
      <c r="K159" s="10" t="n"/>
      <c r="L159" s="10" t="n"/>
      <c r="M159" s="9" t="n"/>
      <c r="N159" s="9" t="n"/>
      <c r="O159" s="10" t="n"/>
      <c r="P159" s="9" t="n"/>
      <c r="Q159" s="9" t="n"/>
      <c r="R159" s="9" t="n"/>
      <c r="S159" s="9" t="n"/>
      <c r="T159" s="10" t="n"/>
      <c r="U159" s="10" t="n"/>
      <c r="V159" s="9" t="n"/>
      <c r="W159" s="9" t="n"/>
      <c r="X159" s="9" t="n"/>
      <c r="Y159" s="9" t="n"/>
      <c r="Z159" s="9" t="n"/>
      <c r="AA159" s="9" t="n"/>
      <c r="AB159" s="9" t="n"/>
      <c r="AC159" s="10" t="n"/>
      <c r="AD159" s="10" t="n"/>
      <c r="AE159" s="10" t="n"/>
      <c r="AF159" s="10" t="n"/>
      <c r="AG159" s="5" t="n"/>
    </row>
    <row r="160">
      <c r="A160" s="10" t="n"/>
      <c r="B160" s="9" t="n"/>
      <c r="C160" s="9" t="n"/>
      <c r="D160" s="6" t="n"/>
      <c r="E160" s="9" t="n"/>
      <c r="F160" s="10" t="n"/>
      <c r="G160" s="10" t="n"/>
      <c r="H160" s="9" t="n"/>
      <c r="I160" s="9" t="n"/>
      <c r="J160" s="9" t="n"/>
      <c r="K160" s="10" t="n"/>
      <c r="L160" s="10" t="n"/>
      <c r="M160" s="9" t="n"/>
      <c r="N160" s="9" t="n"/>
      <c r="O160" s="10" t="n"/>
      <c r="P160" s="9" t="n"/>
      <c r="Q160" s="9" t="n"/>
      <c r="R160" s="9" t="n"/>
      <c r="S160" s="9" t="n"/>
      <c r="T160" s="10" t="n"/>
      <c r="U160" s="10" t="n"/>
      <c r="V160" s="9" t="n"/>
      <c r="W160" s="9" t="n"/>
      <c r="X160" s="9" t="n"/>
      <c r="Y160" s="9" t="n"/>
      <c r="Z160" s="9" t="n"/>
      <c r="AA160" s="9" t="n"/>
      <c r="AB160" s="9" t="n"/>
      <c r="AC160" s="10" t="n"/>
      <c r="AD160" s="10" t="n"/>
      <c r="AE160" s="10" t="n"/>
      <c r="AF160" s="10" t="n"/>
      <c r="AG160" s="5" t="n"/>
    </row>
    <row r="161">
      <c r="A161" s="10" t="n"/>
      <c r="B161" s="9" t="n"/>
      <c r="C161" s="9" t="n"/>
      <c r="D161" s="6" t="n"/>
      <c r="E161" s="9" t="n"/>
      <c r="F161" s="10" t="n"/>
      <c r="G161" s="10" t="n"/>
      <c r="H161" s="9" t="n"/>
      <c r="I161" s="9" t="n"/>
      <c r="J161" s="9" t="n"/>
      <c r="K161" s="10" t="n"/>
      <c r="L161" s="10" t="n"/>
      <c r="M161" s="9" t="n"/>
      <c r="N161" s="9" t="n"/>
      <c r="O161" s="10" t="n"/>
      <c r="P161" s="9" t="n"/>
      <c r="Q161" s="9" t="n"/>
      <c r="R161" s="9" t="n"/>
      <c r="S161" s="9" t="n"/>
      <c r="T161" s="10" t="n"/>
      <c r="U161" s="10" t="n"/>
      <c r="V161" s="9" t="n"/>
      <c r="W161" s="9" t="n"/>
      <c r="X161" s="9" t="n"/>
      <c r="Y161" s="9" t="n"/>
      <c r="Z161" s="9" t="n"/>
      <c r="AA161" s="9" t="n"/>
      <c r="AB161" s="9" t="n"/>
      <c r="AC161" s="10" t="n"/>
      <c r="AD161" s="10" t="n"/>
      <c r="AE161" s="10" t="n"/>
      <c r="AF161" s="10" t="n"/>
      <c r="AG161" s="5" t="n"/>
    </row>
    <row r="162">
      <c r="A162" s="10" t="n"/>
      <c r="B162" s="9" t="n"/>
      <c r="C162" s="9" t="n"/>
      <c r="D162" s="6" t="n"/>
      <c r="E162" s="9" t="n"/>
      <c r="F162" s="10" t="n"/>
      <c r="G162" s="10" t="n"/>
      <c r="H162" s="9" t="n"/>
      <c r="I162" s="9" t="n"/>
      <c r="J162" s="9" t="n"/>
      <c r="K162" s="10" t="n"/>
      <c r="L162" s="10" t="n"/>
      <c r="M162" s="9" t="n"/>
      <c r="N162" s="9" t="n"/>
      <c r="O162" s="10" t="n"/>
      <c r="P162" s="9" t="n"/>
      <c r="Q162" s="9" t="n"/>
      <c r="R162" s="9" t="n"/>
      <c r="S162" s="9" t="n"/>
      <c r="T162" s="10" t="n"/>
      <c r="U162" s="10" t="n"/>
      <c r="V162" s="9" t="n"/>
      <c r="W162" s="9" t="n"/>
      <c r="X162" s="9" t="n"/>
      <c r="Y162" s="9" t="n"/>
      <c r="Z162" s="9" t="n"/>
      <c r="AA162" s="9" t="n"/>
      <c r="AB162" s="9" t="n"/>
      <c r="AC162" s="10" t="n"/>
      <c r="AD162" s="10" t="n"/>
      <c r="AE162" s="10" t="n"/>
      <c r="AF162" s="10" t="n"/>
      <c r="AG162" s="5" t="n"/>
    </row>
    <row r="163">
      <c r="A163" s="10" t="n"/>
      <c r="B163" s="9" t="n"/>
      <c r="C163" s="9" t="n"/>
      <c r="D163" s="6" t="n"/>
      <c r="E163" s="9" t="n"/>
      <c r="F163" s="10" t="n"/>
      <c r="G163" s="10" t="n"/>
      <c r="H163" s="9" t="n"/>
      <c r="I163" s="9" t="n"/>
      <c r="J163" s="9" t="n"/>
      <c r="K163" s="10" t="n"/>
      <c r="L163" s="10" t="n"/>
      <c r="M163" s="9" t="n"/>
      <c r="N163" s="9" t="n"/>
      <c r="O163" s="10" t="n"/>
      <c r="P163" s="9" t="n"/>
      <c r="Q163" s="9" t="n"/>
      <c r="R163" s="9" t="n"/>
      <c r="S163" s="9" t="n"/>
      <c r="T163" s="10" t="n"/>
      <c r="U163" s="10" t="n"/>
      <c r="V163" s="9" t="n"/>
      <c r="W163" s="9" t="n"/>
      <c r="X163" s="9" t="n"/>
      <c r="Y163" s="9" t="n"/>
      <c r="Z163" s="9" t="n"/>
      <c r="AA163" s="9" t="n"/>
      <c r="AB163" s="9" t="n"/>
      <c r="AC163" s="10" t="n"/>
      <c r="AD163" s="10" t="n"/>
      <c r="AE163" s="10" t="n"/>
      <c r="AF163" s="10" t="n"/>
      <c r="AG163" s="5" t="n"/>
    </row>
    <row r="164">
      <c r="A164" s="10" t="n"/>
      <c r="B164" s="9" t="n"/>
      <c r="C164" s="9" t="n"/>
      <c r="D164" s="6" t="n"/>
      <c r="E164" s="9" t="n"/>
      <c r="F164" s="10" t="n"/>
      <c r="G164" s="10" t="n"/>
      <c r="H164" s="9" t="n"/>
      <c r="I164" s="9" t="n"/>
      <c r="J164" s="9" t="n"/>
      <c r="K164" s="10" t="n"/>
      <c r="L164" s="10" t="n"/>
      <c r="M164" s="9" t="n"/>
      <c r="N164" s="9" t="n"/>
      <c r="O164" s="10" t="n"/>
      <c r="P164" s="9" t="n"/>
      <c r="Q164" s="9" t="n"/>
      <c r="R164" s="9" t="n"/>
      <c r="S164" s="9" t="n"/>
      <c r="T164" s="10" t="n"/>
      <c r="U164" s="10" t="n"/>
      <c r="V164" s="9" t="n"/>
      <c r="W164" s="9" t="n"/>
      <c r="X164" s="9" t="n"/>
      <c r="Y164" s="9" t="n"/>
      <c r="Z164" s="9" t="n"/>
      <c r="AA164" s="9" t="n"/>
      <c r="AB164" s="9" t="n"/>
      <c r="AC164" s="10" t="n"/>
      <c r="AD164" s="10" t="n"/>
      <c r="AE164" s="10" t="n"/>
      <c r="AF164" s="10" t="n"/>
      <c r="AG164" s="5" t="n"/>
    </row>
    <row r="165">
      <c r="A165" s="10" t="n"/>
      <c r="B165" s="9" t="n"/>
      <c r="C165" s="9" t="n"/>
      <c r="D165" s="6" t="n"/>
      <c r="E165" s="9" t="n"/>
      <c r="F165" s="10" t="n"/>
      <c r="G165" s="10" t="n"/>
      <c r="H165" s="9" t="n"/>
      <c r="I165" s="9" t="n"/>
      <c r="J165" s="9" t="n"/>
      <c r="K165" s="10" t="n"/>
      <c r="L165" s="10" t="n"/>
      <c r="M165" s="9" t="n"/>
      <c r="N165" s="9" t="n"/>
      <c r="O165" s="10" t="n"/>
      <c r="P165" s="9" t="n"/>
      <c r="Q165" s="9" t="n"/>
      <c r="R165" s="9" t="n"/>
      <c r="S165" s="9" t="n"/>
      <c r="T165" s="10" t="n"/>
      <c r="U165" s="10" t="n"/>
      <c r="V165" s="9" t="n"/>
      <c r="W165" s="9" t="n"/>
      <c r="X165" s="9" t="n"/>
      <c r="Y165" s="9" t="n"/>
      <c r="Z165" s="9" t="n"/>
      <c r="AA165" s="9" t="n"/>
      <c r="AB165" s="9" t="n"/>
      <c r="AC165" s="10" t="n"/>
      <c r="AD165" s="10" t="n"/>
      <c r="AE165" s="10" t="n"/>
      <c r="AF165" s="10" t="n"/>
      <c r="AG165" s="5" t="n"/>
    </row>
    <row r="166">
      <c r="A166" s="10" t="n"/>
      <c r="B166" s="9" t="n"/>
      <c r="C166" s="9" t="n"/>
      <c r="D166" s="6" t="n"/>
      <c r="E166" s="9" t="n"/>
      <c r="F166" s="10" t="n"/>
      <c r="G166" s="10" t="n"/>
      <c r="H166" s="9" t="n"/>
      <c r="I166" s="9" t="n"/>
      <c r="J166" s="9" t="n"/>
      <c r="K166" s="10" t="n"/>
      <c r="L166" s="10" t="n"/>
      <c r="M166" s="9" t="n"/>
      <c r="N166" s="9" t="n"/>
      <c r="O166" s="10" t="n"/>
      <c r="P166" s="9" t="n"/>
      <c r="Q166" s="9" t="n"/>
      <c r="R166" s="9" t="n"/>
      <c r="S166" s="9" t="n"/>
      <c r="T166" s="10" t="n"/>
      <c r="U166" s="10" t="n"/>
      <c r="V166" s="9" t="n"/>
      <c r="W166" s="9" t="n"/>
      <c r="X166" s="9" t="n"/>
      <c r="Y166" s="9" t="n"/>
      <c r="Z166" s="9" t="n"/>
      <c r="AA166" s="9" t="n"/>
      <c r="AB166" s="9" t="n"/>
      <c r="AC166" s="10" t="n"/>
      <c r="AD166" s="10" t="n"/>
      <c r="AE166" s="10" t="n"/>
      <c r="AF166" s="10" t="n"/>
      <c r="AG166" s="5" t="n"/>
    </row>
    <row r="167">
      <c r="A167" s="10" t="n"/>
      <c r="B167" s="9" t="n"/>
      <c r="C167" s="9" t="n"/>
      <c r="D167" s="6" t="n"/>
      <c r="E167" s="9" t="n"/>
      <c r="F167" s="10" t="n"/>
      <c r="G167" s="10" t="n"/>
      <c r="H167" s="9" t="n"/>
      <c r="I167" s="9" t="n"/>
      <c r="J167" s="9" t="n"/>
      <c r="K167" s="10" t="n"/>
      <c r="L167" s="10" t="n"/>
      <c r="M167" s="9" t="n"/>
      <c r="N167" s="9" t="n"/>
      <c r="O167" s="10" t="n"/>
      <c r="P167" s="9" t="n"/>
      <c r="Q167" s="9" t="n"/>
      <c r="R167" s="9" t="n"/>
      <c r="S167" s="9" t="n"/>
      <c r="T167" s="10" t="n"/>
      <c r="U167" s="10" t="n"/>
      <c r="V167" s="9" t="n"/>
      <c r="W167" s="9" t="n"/>
      <c r="X167" s="9" t="n"/>
      <c r="Y167" s="9" t="n"/>
      <c r="Z167" s="9" t="n"/>
      <c r="AA167" s="9" t="n"/>
      <c r="AB167" s="9" t="n"/>
      <c r="AC167" s="10" t="n"/>
      <c r="AD167" s="10" t="n"/>
      <c r="AE167" s="10" t="n"/>
      <c r="AF167" s="10" t="n"/>
      <c r="AG167" s="5" t="n"/>
    </row>
    <row r="168">
      <c r="A168" s="10" t="n"/>
      <c r="B168" s="9" t="n"/>
      <c r="C168" s="9" t="n"/>
      <c r="D168" s="6" t="n"/>
      <c r="E168" s="9" t="n"/>
      <c r="F168" s="10" t="n"/>
      <c r="G168" s="10" t="n"/>
      <c r="H168" s="9" t="n"/>
      <c r="I168" s="9" t="n"/>
      <c r="J168" s="9" t="n"/>
      <c r="K168" s="10" t="n"/>
      <c r="L168" s="10" t="n"/>
      <c r="M168" s="9" t="n"/>
      <c r="N168" s="9" t="n"/>
      <c r="O168" s="10" t="n"/>
      <c r="P168" s="9" t="n"/>
      <c r="Q168" s="9" t="n"/>
      <c r="R168" s="9" t="n"/>
      <c r="S168" s="9" t="n"/>
      <c r="T168" s="10" t="n"/>
      <c r="U168" s="10" t="n"/>
      <c r="V168" s="9" t="n"/>
      <c r="W168" s="9" t="n"/>
      <c r="X168" s="9" t="n"/>
      <c r="Y168" s="9" t="n"/>
      <c r="Z168" s="9" t="n"/>
      <c r="AA168" s="9" t="n"/>
      <c r="AB168" s="9" t="n"/>
      <c r="AC168" s="10" t="n"/>
      <c r="AD168" s="10" t="n"/>
      <c r="AE168" s="10" t="n"/>
      <c r="AF168" s="10" t="n"/>
      <c r="AG168" s="5" t="n"/>
    </row>
    <row r="169">
      <c r="A169" s="10" t="n"/>
      <c r="B169" s="9" t="n"/>
      <c r="C169" s="9" t="n"/>
      <c r="D169" s="6" t="n"/>
      <c r="E169" s="9" t="n"/>
      <c r="F169" s="10" t="n"/>
      <c r="G169" s="10" t="n"/>
      <c r="H169" s="9" t="n"/>
      <c r="I169" s="9" t="n"/>
      <c r="J169" s="9" t="n"/>
      <c r="K169" s="10" t="n"/>
      <c r="L169" s="10" t="n"/>
      <c r="M169" s="9" t="n"/>
      <c r="N169" s="9" t="n"/>
      <c r="O169" s="10" t="n"/>
      <c r="P169" s="9" t="n"/>
      <c r="Q169" s="9" t="n"/>
      <c r="R169" s="9" t="n"/>
      <c r="S169" s="9" t="n"/>
      <c r="T169" s="10" t="n"/>
      <c r="U169" s="10" t="n"/>
      <c r="V169" s="9" t="n"/>
      <c r="W169" s="9" t="n"/>
      <c r="X169" s="9" t="n"/>
      <c r="Y169" s="9" t="n"/>
      <c r="Z169" s="9" t="n"/>
      <c r="AA169" s="9" t="n"/>
      <c r="AB169" s="9" t="n"/>
      <c r="AC169" s="10" t="n"/>
      <c r="AD169" s="10" t="n"/>
      <c r="AE169" s="10" t="n"/>
      <c r="AF169" s="10" t="n"/>
      <c r="AG169" s="5" t="n"/>
    </row>
    <row r="170">
      <c r="A170" s="10" t="n"/>
      <c r="B170" s="9" t="n"/>
      <c r="C170" s="9" t="n"/>
      <c r="D170" s="6" t="n"/>
      <c r="E170" s="9" t="n"/>
      <c r="F170" s="10" t="n"/>
      <c r="G170" s="10" t="n"/>
      <c r="H170" s="9" t="n"/>
      <c r="I170" s="9" t="n"/>
      <c r="J170" s="9" t="n"/>
      <c r="K170" s="10" t="n"/>
      <c r="L170" s="10" t="n"/>
      <c r="M170" s="9" t="n"/>
      <c r="N170" s="9" t="n"/>
      <c r="O170" s="10" t="n"/>
      <c r="P170" s="9" t="n"/>
      <c r="Q170" s="9" t="n"/>
      <c r="R170" s="9" t="n"/>
      <c r="S170" s="9" t="n"/>
      <c r="T170" s="10" t="n"/>
      <c r="U170" s="10" t="n"/>
      <c r="V170" s="9" t="n"/>
      <c r="W170" s="9" t="n"/>
      <c r="X170" s="9" t="n"/>
      <c r="Y170" s="9" t="n"/>
      <c r="Z170" s="9" t="n"/>
      <c r="AA170" s="9" t="n"/>
      <c r="AB170" s="9" t="n"/>
      <c r="AC170" s="10" t="n"/>
      <c r="AD170" s="10" t="n"/>
      <c r="AE170" s="10" t="n"/>
      <c r="AF170" s="10" t="n"/>
      <c r="AG170" s="5" t="n"/>
    </row>
    <row r="171">
      <c r="A171" s="10" t="n"/>
      <c r="B171" s="9" t="n"/>
      <c r="C171" s="9" t="n"/>
      <c r="D171" s="6" t="n"/>
      <c r="E171" s="9" t="n"/>
      <c r="F171" s="10" t="n"/>
      <c r="G171" s="10" t="n"/>
      <c r="H171" s="9" t="n"/>
      <c r="I171" s="9" t="n"/>
      <c r="J171" s="9" t="n"/>
      <c r="K171" s="10" t="n"/>
      <c r="L171" s="10" t="n"/>
      <c r="M171" s="9" t="n"/>
      <c r="N171" s="9" t="n"/>
      <c r="O171" s="10" t="n"/>
      <c r="P171" s="9" t="n"/>
      <c r="Q171" s="9" t="n"/>
      <c r="R171" s="9" t="n"/>
      <c r="S171" s="9" t="n"/>
      <c r="T171" s="10" t="n"/>
      <c r="U171" s="10" t="n"/>
      <c r="V171" s="9" t="n"/>
      <c r="W171" s="9" t="n"/>
      <c r="X171" s="9" t="n"/>
      <c r="Y171" s="9" t="n"/>
      <c r="Z171" s="9" t="n"/>
      <c r="AA171" s="9" t="n"/>
      <c r="AB171" s="9" t="n"/>
      <c r="AC171" s="10" t="n"/>
      <c r="AD171" s="10" t="n"/>
      <c r="AE171" s="10" t="n"/>
      <c r="AF171" s="10" t="n"/>
      <c r="AG171" s="5" t="n"/>
    </row>
    <row r="172">
      <c r="A172" s="10" t="n"/>
      <c r="B172" s="9" t="n"/>
      <c r="C172" s="9" t="n"/>
      <c r="D172" s="6" t="n"/>
      <c r="E172" s="9" t="n"/>
      <c r="F172" s="10" t="n"/>
      <c r="G172" s="10" t="n"/>
      <c r="H172" s="9" t="n"/>
      <c r="I172" s="9" t="n"/>
      <c r="J172" s="9" t="n"/>
      <c r="K172" s="10" t="n"/>
      <c r="L172" s="10" t="n"/>
      <c r="M172" s="9" t="n"/>
      <c r="N172" s="9" t="n"/>
      <c r="O172" s="10" t="n"/>
      <c r="P172" s="9" t="n"/>
      <c r="Q172" s="9" t="n"/>
      <c r="R172" s="9" t="n"/>
      <c r="S172" s="9" t="n"/>
      <c r="T172" s="10" t="n"/>
      <c r="U172" s="10" t="n"/>
      <c r="V172" s="9" t="n"/>
      <c r="W172" s="9" t="n"/>
      <c r="X172" s="9" t="n"/>
      <c r="Y172" s="9" t="n"/>
      <c r="Z172" s="9" t="n"/>
      <c r="AA172" s="9" t="n"/>
      <c r="AB172" s="9" t="n"/>
      <c r="AC172" s="10" t="n"/>
      <c r="AD172" s="10" t="n"/>
      <c r="AE172" s="10" t="n"/>
      <c r="AF172" s="10" t="n"/>
      <c r="AG172" s="5" t="n"/>
    </row>
    <row r="173">
      <c r="A173" s="10" t="n"/>
      <c r="B173" s="9" t="n"/>
      <c r="C173" s="9" t="n"/>
      <c r="D173" s="6" t="n"/>
      <c r="E173" s="9" t="n"/>
      <c r="F173" s="10" t="n"/>
      <c r="G173" s="10" t="n"/>
      <c r="H173" s="9" t="n"/>
      <c r="I173" s="9" t="n"/>
      <c r="J173" s="9" t="n"/>
      <c r="K173" s="10" t="n"/>
      <c r="L173" s="10" t="n"/>
      <c r="M173" s="9" t="n"/>
      <c r="N173" s="9" t="n"/>
      <c r="O173" s="10" t="n"/>
      <c r="P173" s="9" t="n"/>
      <c r="Q173" s="9" t="n"/>
      <c r="R173" s="9" t="n"/>
      <c r="S173" s="9" t="n"/>
      <c r="T173" s="10" t="n"/>
      <c r="U173" s="10" t="n"/>
      <c r="V173" s="9" t="n"/>
      <c r="W173" s="9" t="n"/>
      <c r="X173" s="9" t="n"/>
      <c r="Y173" s="9" t="n"/>
      <c r="Z173" s="9" t="n"/>
      <c r="AA173" s="9" t="n"/>
      <c r="AB173" s="9" t="n"/>
      <c r="AC173" s="10" t="n"/>
      <c r="AD173" s="10" t="n"/>
      <c r="AE173" s="10" t="n"/>
      <c r="AF173" s="10" t="n"/>
      <c r="AG173" s="5" t="n"/>
    </row>
    <row r="174">
      <c r="A174" s="10" t="n"/>
      <c r="B174" s="9" t="n"/>
      <c r="C174" s="9" t="n"/>
      <c r="D174" s="6" t="n"/>
      <c r="E174" s="9" t="n"/>
      <c r="F174" s="10" t="n"/>
      <c r="G174" s="10" t="n"/>
      <c r="H174" s="9" t="n"/>
      <c r="I174" s="9" t="n"/>
      <c r="J174" s="9" t="n"/>
      <c r="K174" s="10" t="n"/>
      <c r="L174" s="10" t="n"/>
      <c r="M174" s="9" t="n"/>
      <c r="N174" s="9" t="n"/>
      <c r="O174" s="10" t="n"/>
      <c r="P174" s="9" t="n"/>
      <c r="Q174" s="9" t="n"/>
      <c r="R174" s="9" t="n"/>
      <c r="S174" s="9" t="n"/>
      <c r="T174" s="10" t="n"/>
      <c r="U174" s="10" t="n"/>
      <c r="V174" s="9" t="n"/>
      <c r="W174" s="9" t="n"/>
      <c r="X174" s="9" t="n"/>
      <c r="Y174" s="9" t="n"/>
      <c r="Z174" s="9" t="n"/>
      <c r="AA174" s="9" t="n"/>
      <c r="AB174" s="9" t="n"/>
      <c r="AC174" s="10" t="n"/>
      <c r="AD174" s="10" t="n"/>
      <c r="AE174" s="10" t="n"/>
      <c r="AF174" s="10" t="n"/>
      <c r="AG174" s="5" t="n"/>
    </row>
    <row r="175">
      <c r="A175" s="10" t="n"/>
      <c r="B175" s="9" t="n"/>
      <c r="C175" s="9" t="n"/>
      <c r="D175" s="6" t="n"/>
      <c r="E175" s="9" t="n"/>
      <c r="F175" s="10" t="n"/>
      <c r="G175" s="10" t="n"/>
      <c r="H175" s="9" t="n"/>
      <c r="I175" s="9" t="n"/>
      <c r="J175" s="9" t="n"/>
      <c r="K175" s="10" t="n"/>
      <c r="L175" s="10" t="n"/>
      <c r="M175" s="9" t="n"/>
      <c r="N175" s="9" t="n"/>
      <c r="O175" s="10" t="n"/>
      <c r="P175" s="9" t="n"/>
      <c r="Q175" s="9" t="n"/>
      <c r="R175" s="9" t="n"/>
      <c r="S175" s="9" t="n"/>
      <c r="T175" s="10" t="n"/>
      <c r="U175" s="10" t="n"/>
      <c r="V175" s="9" t="n"/>
      <c r="W175" s="9" t="n"/>
      <c r="X175" s="9" t="n"/>
      <c r="Y175" s="9" t="n"/>
      <c r="Z175" s="9" t="n"/>
      <c r="AA175" s="9" t="n"/>
      <c r="AB175" s="9" t="n"/>
      <c r="AC175" s="10" t="n"/>
      <c r="AD175" s="10" t="n"/>
      <c r="AE175" s="10" t="n"/>
      <c r="AF175" s="10" t="n"/>
      <c r="AG175" s="5" t="n"/>
    </row>
    <row r="176">
      <c r="A176" s="10" t="n"/>
      <c r="B176" s="9" t="n"/>
      <c r="C176" s="9" t="n"/>
      <c r="D176" s="6" t="n"/>
      <c r="E176" s="9" t="n"/>
      <c r="F176" s="10" t="n"/>
      <c r="G176" s="10" t="n"/>
      <c r="H176" s="9" t="n"/>
      <c r="I176" s="9" t="n"/>
      <c r="J176" s="9" t="n"/>
      <c r="K176" s="10" t="n"/>
      <c r="L176" s="10" t="n"/>
      <c r="M176" s="9" t="n"/>
      <c r="N176" s="9" t="n"/>
      <c r="O176" s="10" t="n"/>
      <c r="P176" s="9" t="n"/>
      <c r="Q176" s="9" t="n"/>
      <c r="R176" s="9" t="n"/>
      <c r="S176" s="9" t="n"/>
      <c r="T176" s="10" t="n"/>
      <c r="U176" s="10" t="n"/>
      <c r="V176" s="9" t="n"/>
      <c r="W176" s="9" t="n"/>
      <c r="X176" s="9" t="n"/>
      <c r="Y176" s="9" t="n"/>
      <c r="Z176" s="9" t="n"/>
      <c r="AA176" s="9" t="n"/>
      <c r="AB176" s="9" t="n"/>
      <c r="AC176" s="10" t="n"/>
      <c r="AD176" s="10" t="n"/>
      <c r="AE176" s="10" t="n"/>
      <c r="AF176" s="10" t="n"/>
      <c r="AG176" s="5" t="n"/>
    </row>
    <row r="177">
      <c r="A177" s="10" t="n"/>
      <c r="B177" s="9" t="n"/>
      <c r="C177" s="9" t="n"/>
      <c r="D177" s="6" t="n"/>
      <c r="E177" s="9" t="n"/>
      <c r="F177" s="10" t="n"/>
      <c r="G177" s="10" t="n"/>
      <c r="H177" s="9" t="n"/>
      <c r="I177" s="9" t="n"/>
      <c r="J177" s="9" t="n"/>
      <c r="K177" s="10" t="n"/>
      <c r="L177" s="10" t="n"/>
      <c r="M177" s="9" t="n"/>
      <c r="N177" s="9" t="n"/>
      <c r="O177" s="10" t="n"/>
      <c r="P177" s="9" t="n"/>
      <c r="Q177" s="9" t="n"/>
      <c r="R177" s="9" t="n"/>
      <c r="S177" s="9" t="n"/>
      <c r="T177" s="10" t="n"/>
      <c r="U177" s="10" t="n"/>
      <c r="V177" s="9" t="n"/>
      <c r="W177" s="9" t="n"/>
      <c r="X177" s="9" t="n"/>
      <c r="Y177" s="9" t="n"/>
      <c r="Z177" s="9" t="n"/>
      <c r="AA177" s="9" t="n"/>
      <c r="AB177" s="9" t="n"/>
      <c r="AC177" s="10" t="n"/>
      <c r="AD177" s="10" t="n"/>
      <c r="AE177" s="10" t="n"/>
      <c r="AF177" s="10" t="n"/>
      <c r="AG177" s="5" t="n"/>
    </row>
    <row r="178">
      <c r="A178" s="10" t="n"/>
      <c r="B178" s="9" t="n"/>
      <c r="C178" s="9" t="n"/>
      <c r="D178" s="6" t="n"/>
      <c r="E178" s="9" t="n"/>
      <c r="F178" s="10" t="n"/>
      <c r="G178" s="10" t="n"/>
      <c r="H178" s="9" t="n"/>
      <c r="I178" s="9" t="n"/>
      <c r="J178" s="9" t="n"/>
      <c r="K178" s="10" t="n"/>
      <c r="L178" s="10" t="n"/>
      <c r="M178" s="9" t="n"/>
      <c r="N178" s="9" t="n"/>
      <c r="O178" s="10" t="n"/>
      <c r="P178" s="9" t="n"/>
      <c r="Q178" s="9" t="n"/>
      <c r="R178" s="9" t="n"/>
      <c r="S178" s="9" t="n"/>
      <c r="T178" s="10" t="n"/>
      <c r="U178" s="10" t="n"/>
      <c r="V178" s="9" t="n"/>
      <c r="W178" s="9" t="n"/>
      <c r="X178" s="9" t="n"/>
      <c r="Y178" s="9" t="n"/>
      <c r="Z178" s="9" t="n"/>
      <c r="AA178" s="9" t="n"/>
      <c r="AB178" s="9" t="n"/>
      <c r="AC178" s="10" t="n"/>
      <c r="AD178" s="10" t="n"/>
      <c r="AE178" s="10" t="n"/>
      <c r="AF178" s="10" t="n"/>
      <c r="AG178" s="5" t="n"/>
    </row>
    <row r="179">
      <c r="A179" s="10" t="n"/>
      <c r="B179" s="9" t="n"/>
      <c r="C179" s="9" t="n"/>
      <c r="D179" s="6" t="n"/>
      <c r="E179" s="9" t="n"/>
      <c r="F179" s="10" t="n"/>
      <c r="G179" s="10" t="n"/>
      <c r="H179" s="9" t="n"/>
      <c r="I179" s="9" t="n"/>
      <c r="J179" s="9" t="n"/>
      <c r="K179" s="10" t="n"/>
      <c r="L179" s="10" t="n"/>
      <c r="M179" s="9" t="n"/>
      <c r="N179" s="9" t="n"/>
      <c r="O179" s="10" t="n"/>
      <c r="P179" s="9" t="n"/>
      <c r="Q179" s="9" t="n"/>
      <c r="R179" s="9" t="n"/>
      <c r="S179" s="9" t="n"/>
      <c r="T179" s="10" t="n"/>
      <c r="U179" s="10" t="n"/>
      <c r="V179" s="9" t="n"/>
      <c r="W179" s="9" t="n"/>
      <c r="X179" s="9" t="n"/>
      <c r="Y179" s="9" t="n"/>
      <c r="Z179" s="9" t="n"/>
      <c r="AA179" s="9" t="n"/>
      <c r="AB179" s="9" t="n"/>
      <c r="AC179" s="10" t="n"/>
      <c r="AD179" s="10" t="n"/>
      <c r="AE179" s="10" t="n"/>
      <c r="AF179" s="10" t="n"/>
      <c r="AG179" s="5" t="n"/>
    </row>
    <row r="180">
      <c r="A180" s="10" t="n"/>
      <c r="B180" s="9" t="n"/>
      <c r="C180" s="9" t="n"/>
      <c r="D180" s="6" t="n"/>
      <c r="E180" s="9" t="n"/>
      <c r="F180" s="10" t="n"/>
      <c r="G180" s="10" t="n"/>
      <c r="H180" s="9" t="n"/>
      <c r="I180" s="9" t="n"/>
      <c r="J180" s="9" t="n"/>
      <c r="K180" s="10" t="n"/>
      <c r="L180" s="10" t="n"/>
      <c r="M180" s="9" t="n"/>
      <c r="N180" s="9" t="n"/>
      <c r="O180" s="10" t="n"/>
      <c r="P180" s="9" t="n"/>
      <c r="Q180" s="9" t="n"/>
      <c r="R180" s="9" t="n"/>
      <c r="S180" s="9" t="n"/>
      <c r="T180" s="10" t="n"/>
      <c r="U180" s="10" t="n"/>
      <c r="V180" s="9" t="n"/>
      <c r="W180" s="9" t="n"/>
      <c r="X180" s="9" t="n"/>
      <c r="Y180" s="9" t="n"/>
      <c r="Z180" s="9" t="n"/>
      <c r="AA180" s="9" t="n"/>
      <c r="AB180" s="9" t="n"/>
      <c r="AC180" s="10" t="n"/>
      <c r="AD180" s="10" t="n"/>
      <c r="AE180" s="10" t="n"/>
      <c r="AF180" s="10" t="n"/>
      <c r="AG180" s="5" t="n"/>
    </row>
    <row r="181">
      <c r="A181" s="10" t="n"/>
      <c r="B181" s="9" t="n"/>
      <c r="C181" s="9" t="n"/>
      <c r="D181" s="6" t="n"/>
      <c r="E181" s="9" t="n"/>
      <c r="F181" s="10" t="n"/>
      <c r="G181" s="10" t="n"/>
      <c r="H181" s="9" t="n"/>
      <c r="I181" s="9" t="n"/>
      <c r="J181" s="9" t="n"/>
      <c r="K181" s="10" t="n"/>
      <c r="L181" s="10" t="n"/>
      <c r="M181" s="9" t="n"/>
      <c r="N181" s="9" t="n"/>
      <c r="O181" s="10" t="n"/>
      <c r="P181" s="9" t="n"/>
      <c r="Q181" s="9" t="n"/>
      <c r="R181" s="9" t="n"/>
      <c r="S181" s="9" t="n"/>
      <c r="T181" s="10" t="n"/>
      <c r="U181" s="10" t="n"/>
      <c r="V181" s="9" t="n"/>
      <c r="W181" s="9" t="n"/>
      <c r="X181" s="9" t="n"/>
      <c r="Y181" s="9" t="n"/>
      <c r="Z181" s="9" t="n"/>
      <c r="AA181" s="9" t="n"/>
      <c r="AB181" s="9" t="n"/>
      <c r="AC181" s="10" t="n"/>
      <c r="AD181" s="10" t="n"/>
      <c r="AE181" s="10" t="n"/>
      <c r="AF181" s="10" t="n"/>
      <c r="AG181" s="5" t="n"/>
    </row>
    <row r="182">
      <c r="A182" s="10" t="n"/>
      <c r="B182" s="9" t="n"/>
      <c r="C182" s="9" t="n"/>
      <c r="D182" s="6" t="n"/>
      <c r="E182" s="9" t="n"/>
      <c r="F182" s="10" t="n"/>
      <c r="G182" s="10" t="n"/>
      <c r="H182" s="9" t="n"/>
      <c r="I182" s="9" t="n"/>
      <c r="J182" s="9" t="n"/>
      <c r="K182" s="10" t="n"/>
      <c r="L182" s="10" t="n"/>
      <c r="M182" s="9" t="n"/>
      <c r="N182" s="9" t="n"/>
      <c r="O182" s="10" t="n"/>
      <c r="P182" s="9" t="n"/>
      <c r="Q182" s="9" t="n"/>
      <c r="R182" s="9" t="n"/>
      <c r="S182" s="9" t="n"/>
      <c r="T182" s="10" t="n"/>
      <c r="U182" s="10" t="n"/>
      <c r="V182" s="9" t="n"/>
      <c r="W182" s="9" t="n"/>
      <c r="X182" s="9" t="n"/>
      <c r="Y182" s="9" t="n"/>
      <c r="Z182" s="9" t="n"/>
      <c r="AA182" s="9" t="n"/>
      <c r="AB182" s="9" t="n"/>
      <c r="AC182" s="10" t="n"/>
      <c r="AD182" s="10" t="n"/>
      <c r="AE182" s="10" t="n"/>
      <c r="AF182" s="10" t="n"/>
      <c r="AG182" s="5" t="n"/>
    </row>
    <row r="183">
      <c r="A183" s="10" t="n"/>
      <c r="B183" s="9" t="n"/>
      <c r="C183" s="9" t="n"/>
      <c r="D183" s="6" t="n"/>
      <c r="E183" s="9" t="n"/>
      <c r="F183" s="10" t="n"/>
      <c r="G183" s="10" t="n"/>
      <c r="H183" s="9" t="n"/>
      <c r="I183" s="9" t="n"/>
      <c r="J183" s="9" t="n"/>
      <c r="K183" s="10" t="n"/>
      <c r="L183" s="10" t="n"/>
      <c r="M183" s="9" t="n"/>
      <c r="N183" s="9" t="n"/>
      <c r="O183" s="10" t="n"/>
      <c r="P183" s="9" t="n"/>
      <c r="Q183" s="9" t="n"/>
      <c r="R183" s="9" t="n"/>
      <c r="S183" s="9" t="n"/>
      <c r="T183" s="10" t="n"/>
      <c r="U183" s="10" t="n"/>
      <c r="V183" s="9" t="n"/>
      <c r="W183" s="9" t="n"/>
      <c r="X183" s="9" t="n"/>
      <c r="Y183" s="9" t="n"/>
      <c r="Z183" s="9" t="n"/>
      <c r="AA183" s="9" t="n"/>
      <c r="AB183" s="9" t="n"/>
      <c r="AC183" s="10" t="n"/>
      <c r="AD183" s="10" t="n"/>
      <c r="AE183" s="10" t="n"/>
      <c r="AF183" s="10" t="n"/>
      <c r="AG183" s="5" t="n"/>
    </row>
    <row r="184">
      <c r="A184" s="10" t="n"/>
      <c r="B184" s="9" t="n"/>
      <c r="C184" s="9" t="n"/>
      <c r="D184" s="6" t="n"/>
      <c r="E184" s="9" t="n"/>
      <c r="F184" s="10" t="n"/>
      <c r="G184" s="10" t="n"/>
      <c r="H184" s="9" t="n"/>
      <c r="I184" s="9" t="n"/>
      <c r="J184" s="9" t="n"/>
      <c r="K184" s="10" t="n"/>
      <c r="L184" s="10" t="n"/>
      <c r="M184" s="9" t="n"/>
      <c r="N184" s="9" t="n"/>
      <c r="O184" s="10" t="n"/>
      <c r="P184" s="9" t="n"/>
      <c r="Q184" s="9" t="n"/>
      <c r="R184" s="9" t="n"/>
      <c r="S184" s="9" t="n"/>
      <c r="T184" s="10" t="n"/>
      <c r="U184" s="10" t="n"/>
      <c r="V184" s="9" t="n"/>
      <c r="W184" s="9" t="n"/>
      <c r="X184" s="9" t="n"/>
      <c r="Y184" s="9" t="n"/>
      <c r="Z184" s="9" t="n"/>
      <c r="AA184" s="9" t="n"/>
      <c r="AB184" s="9" t="n"/>
      <c r="AC184" s="10" t="n"/>
      <c r="AD184" s="10" t="n"/>
      <c r="AE184" s="10" t="n"/>
      <c r="AF184" s="10" t="n"/>
      <c r="AG184" s="5" t="n"/>
    </row>
    <row r="185">
      <c r="A185" s="10" t="n"/>
      <c r="B185" s="9" t="n"/>
      <c r="C185" s="9" t="n"/>
      <c r="D185" s="6" t="n"/>
      <c r="E185" s="9" t="n"/>
      <c r="F185" s="10" t="n"/>
      <c r="G185" s="10" t="n"/>
      <c r="H185" s="9" t="n"/>
      <c r="I185" s="9" t="n"/>
      <c r="J185" s="9" t="n"/>
      <c r="K185" s="10" t="n"/>
      <c r="L185" s="10" t="n"/>
      <c r="M185" s="9" t="n"/>
      <c r="N185" s="9" t="n"/>
      <c r="O185" s="10" t="n"/>
      <c r="P185" s="9" t="n"/>
      <c r="Q185" s="9" t="n"/>
      <c r="R185" s="9" t="n"/>
      <c r="S185" s="9" t="n"/>
      <c r="T185" s="10" t="n"/>
      <c r="U185" s="10" t="n"/>
      <c r="V185" s="9" t="n"/>
      <c r="W185" s="9" t="n"/>
      <c r="X185" s="9" t="n"/>
      <c r="Y185" s="9" t="n"/>
      <c r="Z185" s="9" t="n"/>
      <c r="AA185" s="9" t="n"/>
      <c r="AB185" s="9" t="n"/>
      <c r="AC185" s="10" t="n"/>
      <c r="AD185" s="10" t="n"/>
      <c r="AE185" s="10" t="n"/>
      <c r="AF185" s="10" t="n"/>
      <c r="AG185" s="5" t="n"/>
    </row>
    <row r="186">
      <c r="A186" s="10" t="n"/>
      <c r="B186" s="9" t="n"/>
      <c r="C186" s="9" t="n"/>
      <c r="D186" s="6" t="n"/>
      <c r="E186" s="9" t="n"/>
      <c r="F186" s="10" t="n"/>
      <c r="G186" s="10" t="n"/>
      <c r="H186" s="9" t="n"/>
      <c r="I186" s="9" t="n"/>
      <c r="J186" s="9" t="n"/>
      <c r="K186" s="10" t="n"/>
      <c r="L186" s="10" t="n"/>
      <c r="M186" s="9" t="n"/>
      <c r="N186" s="9" t="n"/>
      <c r="O186" s="10" t="n"/>
      <c r="P186" s="9" t="n"/>
      <c r="Q186" s="9" t="n"/>
      <c r="R186" s="9" t="n"/>
      <c r="S186" s="9" t="n"/>
      <c r="T186" s="10" t="n"/>
      <c r="U186" s="10" t="n"/>
      <c r="V186" s="9" t="n"/>
      <c r="W186" s="9" t="n"/>
      <c r="X186" s="9" t="n"/>
      <c r="Y186" s="9" t="n"/>
      <c r="Z186" s="9" t="n"/>
      <c r="AA186" s="9" t="n"/>
      <c r="AB186" s="9" t="n"/>
      <c r="AC186" s="10" t="n"/>
      <c r="AD186" s="10" t="n"/>
      <c r="AE186" s="10" t="n"/>
      <c r="AF186" s="10" t="n"/>
      <c r="AG186" s="5" t="n"/>
    </row>
    <row r="187">
      <c r="A187" s="10" t="n"/>
      <c r="B187" s="9" t="n"/>
      <c r="C187" s="9" t="n"/>
      <c r="D187" s="6" t="n"/>
      <c r="E187" s="9" t="n"/>
      <c r="F187" s="10" t="n"/>
      <c r="G187" s="10" t="n"/>
      <c r="H187" s="9" t="n"/>
      <c r="I187" s="9" t="n"/>
      <c r="J187" s="9" t="n"/>
      <c r="K187" s="10" t="n"/>
      <c r="L187" s="10" t="n"/>
      <c r="M187" s="9" t="n"/>
      <c r="N187" s="9" t="n"/>
      <c r="O187" s="10" t="n"/>
      <c r="P187" s="9" t="n"/>
      <c r="Q187" s="9" t="n"/>
      <c r="R187" s="9" t="n"/>
      <c r="S187" s="9" t="n"/>
      <c r="T187" s="10" t="n"/>
      <c r="U187" s="10" t="n"/>
      <c r="V187" s="9" t="n"/>
      <c r="W187" s="9" t="n"/>
      <c r="X187" s="9" t="n"/>
      <c r="Y187" s="9" t="n"/>
      <c r="Z187" s="9" t="n"/>
      <c r="AA187" s="9" t="n"/>
      <c r="AB187" s="9" t="n"/>
      <c r="AC187" s="10" t="n"/>
      <c r="AD187" s="10" t="n"/>
      <c r="AE187" s="10" t="n"/>
      <c r="AF187" s="10" t="n"/>
      <c r="AG187" s="5" t="n"/>
    </row>
    <row r="188">
      <c r="A188" s="10" t="n"/>
      <c r="B188" s="9" t="n"/>
      <c r="C188" s="9" t="n"/>
      <c r="D188" s="6" t="n"/>
      <c r="E188" s="9" t="n"/>
      <c r="F188" s="10" t="n"/>
      <c r="G188" s="10" t="n"/>
      <c r="H188" s="9" t="n"/>
      <c r="I188" s="9" t="n"/>
      <c r="J188" s="9" t="n"/>
      <c r="K188" s="10" t="n"/>
      <c r="L188" s="10" t="n"/>
      <c r="M188" s="9" t="n"/>
      <c r="N188" s="9" t="n"/>
      <c r="O188" s="10" t="n"/>
      <c r="P188" s="9" t="n"/>
      <c r="Q188" s="9" t="n"/>
      <c r="R188" s="9" t="n"/>
      <c r="S188" s="9" t="n"/>
      <c r="T188" s="10" t="n"/>
      <c r="U188" s="10" t="n"/>
      <c r="V188" s="9" t="n"/>
      <c r="W188" s="9" t="n"/>
      <c r="X188" s="9" t="n"/>
      <c r="Y188" s="9" t="n"/>
      <c r="Z188" s="9" t="n"/>
      <c r="AA188" s="9" t="n"/>
      <c r="AB188" s="9" t="n"/>
      <c r="AC188" s="10" t="n"/>
      <c r="AD188" s="10" t="n"/>
      <c r="AE188" s="10" t="n"/>
      <c r="AF188" s="10" t="n"/>
      <c r="AG188" s="5" t="n"/>
    </row>
    <row r="189">
      <c r="A189" s="10" t="n"/>
      <c r="B189" s="9" t="n"/>
      <c r="C189" s="9" t="n"/>
      <c r="D189" s="6" t="n"/>
      <c r="E189" s="9" t="n"/>
      <c r="F189" s="10" t="n"/>
      <c r="G189" s="10" t="n"/>
      <c r="H189" s="9" t="n"/>
      <c r="I189" s="9" t="n"/>
      <c r="J189" s="9" t="n"/>
      <c r="K189" s="10" t="n"/>
      <c r="L189" s="10" t="n"/>
      <c r="M189" s="9" t="n"/>
      <c r="N189" s="9" t="n"/>
      <c r="O189" s="10" t="n"/>
      <c r="P189" s="9" t="n"/>
      <c r="Q189" s="9" t="n"/>
      <c r="R189" s="9" t="n"/>
      <c r="S189" s="9" t="n"/>
      <c r="T189" s="10" t="n"/>
      <c r="U189" s="10" t="n"/>
      <c r="V189" s="9" t="n"/>
      <c r="W189" s="9" t="n"/>
      <c r="X189" s="9" t="n"/>
      <c r="Y189" s="9" t="n"/>
      <c r="Z189" s="9" t="n"/>
      <c r="AA189" s="9" t="n"/>
      <c r="AB189" s="9" t="n"/>
      <c r="AC189" s="10" t="n"/>
      <c r="AD189" s="10" t="n"/>
      <c r="AE189" s="10" t="n"/>
      <c r="AF189" s="10" t="n"/>
      <c r="AG189" s="5" t="n"/>
    </row>
    <row r="190">
      <c r="A190" s="10" t="n"/>
      <c r="B190" s="9" t="n"/>
      <c r="C190" s="9" t="n"/>
      <c r="D190" s="6" t="n"/>
      <c r="E190" s="9" t="n"/>
      <c r="F190" s="10" t="n"/>
      <c r="G190" s="10" t="n"/>
      <c r="H190" s="9" t="n"/>
      <c r="I190" s="9" t="n"/>
      <c r="J190" s="9" t="n"/>
      <c r="K190" s="10" t="n"/>
      <c r="L190" s="10" t="n"/>
      <c r="M190" s="9" t="n"/>
      <c r="N190" s="9" t="n"/>
      <c r="O190" s="10" t="n"/>
      <c r="P190" s="9" t="n"/>
      <c r="Q190" s="9" t="n"/>
      <c r="R190" s="9" t="n"/>
      <c r="S190" s="9" t="n"/>
      <c r="T190" s="10" t="n"/>
      <c r="U190" s="10" t="n"/>
      <c r="V190" s="9" t="n"/>
      <c r="W190" s="9" t="n"/>
      <c r="X190" s="9" t="n"/>
      <c r="Y190" s="9" t="n"/>
      <c r="Z190" s="9" t="n"/>
      <c r="AA190" s="9" t="n"/>
      <c r="AB190" s="9" t="n"/>
      <c r="AC190" s="10" t="n"/>
      <c r="AD190" s="10" t="n"/>
      <c r="AE190" s="10" t="n"/>
      <c r="AF190" s="10" t="n"/>
      <c r="AG190" s="5" t="n"/>
    </row>
    <row r="191">
      <c r="A191" s="10" t="n"/>
      <c r="B191" s="9" t="n"/>
      <c r="C191" s="9" t="n"/>
      <c r="D191" s="6" t="n"/>
      <c r="E191" s="9" t="n"/>
      <c r="F191" s="10" t="n"/>
      <c r="G191" s="10" t="n"/>
      <c r="H191" s="9" t="n"/>
      <c r="I191" s="9" t="n"/>
      <c r="J191" s="9" t="n"/>
      <c r="K191" s="10" t="n"/>
      <c r="L191" s="10" t="n"/>
      <c r="M191" s="9" t="n"/>
      <c r="N191" s="9" t="n"/>
      <c r="O191" s="10" t="n"/>
      <c r="P191" s="9" t="n"/>
      <c r="Q191" s="9" t="n"/>
      <c r="R191" s="9" t="n"/>
      <c r="S191" s="9" t="n"/>
      <c r="T191" s="10" t="n"/>
      <c r="U191" s="10" t="n"/>
      <c r="V191" s="9" t="n"/>
      <c r="W191" s="9" t="n"/>
      <c r="X191" s="9" t="n"/>
      <c r="Y191" s="9" t="n"/>
      <c r="Z191" s="9" t="n"/>
      <c r="AA191" s="9" t="n"/>
      <c r="AB191" s="9" t="n"/>
      <c r="AC191" s="10" t="n"/>
      <c r="AD191" s="10" t="n"/>
      <c r="AE191" s="10" t="n"/>
      <c r="AF191" s="10" t="n"/>
      <c r="AG191" s="5" t="n"/>
    </row>
    <row r="192">
      <c r="A192" s="10" t="n"/>
      <c r="B192" s="9" t="n"/>
      <c r="C192" s="9" t="n"/>
      <c r="D192" s="6" t="n"/>
      <c r="E192" s="9" t="n"/>
      <c r="F192" s="10" t="n"/>
      <c r="G192" s="10" t="n"/>
      <c r="H192" s="9" t="n"/>
      <c r="I192" s="9" t="n"/>
      <c r="J192" s="9" t="n"/>
      <c r="K192" s="10" t="n"/>
      <c r="L192" s="10" t="n"/>
      <c r="M192" s="9" t="n"/>
      <c r="N192" s="9" t="n"/>
      <c r="O192" s="10" t="n"/>
      <c r="P192" s="9" t="n"/>
      <c r="Q192" s="9" t="n"/>
      <c r="R192" s="9" t="n"/>
      <c r="S192" s="9" t="n"/>
      <c r="T192" s="10" t="n"/>
      <c r="U192" s="10" t="n"/>
      <c r="V192" s="9" t="n"/>
      <c r="W192" s="9" t="n"/>
      <c r="X192" s="9" t="n"/>
      <c r="Y192" s="9" t="n"/>
      <c r="Z192" s="9" t="n"/>
      <c r="AA192" s="9" t="n"/>
      <c r="AB192" s="9" t="n"/>
      <c r="AC192" s="10" t="n"/>
      <c r="AD192" s="10" t="n"/>
      <c r="AE192" s="10" t="n"/>
      <c r="AF192" s="10" t="n"/>
      <c r="AG192" s="5" t="n"/>
    </row>
    <row r="193">
      <c r="A193" s="10" t="n"/>
      <c r="B193" s="9" t="n"/>
      <c r="C193" s="9" t="n"/>
      <c r="D193" s="6" t="n"/>
      <c r="E193" s="9" t="n"/>
      <c r="F193" s="10" t="n"/>
      <c r="G193" s="10" t="n"/>
      <c r="H193" s="9" t="n"/>
      <c r="I193" s="9" t="n"/>
      <c r="J193" s="9" t="n"/>
      <c r="K193" s="10" t="n"/>
      <c r="L193" s="10" t="n"/>
      <c r="M193" s="9" t="n"/>
      <c r="N193" s="9" t="n"/>
      <c r="O193" s="10" t="n"/>
      <c r="P193" s="9" t="n"/>
      <c r="Q193" s="9" t="n"/>
      <c r="R193" s="9" t="n"/>
      <c r="S193" s="9" t="n"/>
      <c r="T193" s="10" t="n"/>
      <c r="U193" s="10" t="n"/>
      <c r="V193" s="9" t="n"/>
      <c r="W193" s="9" t="n"/>
      <c r="X193" s="9" t="n"/>
      <c r="Y193" s="9" t="n"/>
      <c r="Z193" s="9" t="n"/>
      <c r="AA193" s="9" t="n"/>
      <c r="AB193" s="9" t="n"/>
      <c r="AC193" s="10" t="n"/>
      <c r="AD193" s="10" t="n"/>
      <c r="AE193" s="10" t="n"/>
      <c r="AF193" s="10" t="n"/>
      <c r="AG193" s="5" t="n"/>
    </row>
    <row r="194">
      <c r="A194" s="10" t="n"/>
      <c r="B194" s="9" t="n"/>
      <c r="C194" s="9" t="n"/>
      <c r="D194" s="6" t="n"/>
      <c r="E194" s="9" t="n"/>
      <c r="F194" s="10" t="n"/>
      <c r="G194" s="10" t="n"/>
      <c r="H194" s="9" t="n"/>
      <c r="I194" s="9" t="n"/>
      <c r="J194" s="9" t="n"/>
      <c r="K194" s="10" t="n"/>
      <c r="L194" s="10" t="n"/>
      <c r="M194" s="9" t="n"/>
      <c r="N194" s="9" t="n"/>
      <c r="O194" s="10" t="n"/>
      <c r="P194" s="9" t="n"/>
      <c r="Q194" s="9" t="n"/>
      <c r="R194" s="9" t="n"/>
      <c r="S194" s="9" t="n"/>
      <c r="T194" s="10" t="n"/>
      <c r="U194" s="10" t="n"/>
      <c r="V194" s="9" t="n"/>
      <c r="W194" s="9" t="n"/>
      <c r="X194" s="9" t="n"/>
      <c r="Y194" s="9" t="n"/>
      <c r="Z194" s="9" t="n"/>
      <c r="AA194" s="9" t="n"/>
      <c r="AB194" s="9" t="n"/>
      <c r="AC194" s="10" t="n"/>
      <c r="AD194" s="10" t="n"/>
      <c r="AE194" s="10" t="n"/>
      <c r="AF194" s="10" t="n"/>
      <c r="AG194" s="5" t="n"/>
    </row>
    <row r="195">
      <c r="A195" s="10" t="n"/>
      <c r="B195" s="9" t="n"/>
      <c r="C195" s="9" t="n"/>
      <c r="D195" s="6" t="n"/>
      <c r="E195" s="9" t="n"/>
      <c r="F195" s="10" t="n"/>
      <c r="G195" s="10" t="n"/>
      <c r="H195" s="9" t="n"/>
      <c r="I195" s="9" t="n"/>
      <c r="J195" s="9" t="n"/>
      <c r="K195" s="10" t="n"/>
      <c r="L195" s="10" t="n"/>
      <c r="M195" s="9" t="n"/>
      <c r="N195" s="9" t="n"/>
      <c r="O195" s="10" t="n"/>
      <c r="P195" s="9" t="n"/>
      <c r="Q195" s="9" t="n"/>
      <c r="R195" s="9" t="n"/>
      <c r="S195" s="9" t="n"/>
      <c r="T195" s="10" t="n"/>
      <c r="U195" s="10" t="n"/>
      <c r="V195" s="9" t="n"/>
      <c r="W195" s="9" t="n"/>
      <c r="X195" s="9" t="n"/>
      <c r="Y195" s="9" t="n"/>
      <c r="Z195" s="9" t="n"/>
      <c r="AA195" s="9" t="n"/>
      <c r="AB195" s="9" t="n"/>
      <c r="AC195" s="10" t="n"/>
      <c r="AD195" s="10" t="n"/>
      <c r="AE195" s="10" t="n"/>
      <c r="AF195" s="10" t="n"/>
      <c r="AG195" s="5" t="n"/>
    </row>
    <row r="196">
      <c r="A196" s="10" t="n"/>
      <c r="B196" s="9" t="n"/>
      <c r="C196" s="9" t="n"/>
      <c r="D196" s="6" t="n"/>
      <c r="E196" s="9" t="n"/>
      <c r="F196" s="10" t="n"/>
      <c r="G196" s="10" t="n"/>
      <c r="H196" s="9" t="n"/>
      <c r="I196" s="9" t="n"/>
      <c r="J196" s="9" t="n"/>
      <c r="K196" s="10" t="n"/>
      <c r="L196" s="10" t="n"/>
      <c r="M196" s="9" t="n"/>
      <c r="N196" s="9" t="n"/>
      <c r="O196" s="10" t="n"/>
      <c r="P196" s="9" t="n"/>
      <c r="Q196" s="9" t="n"/>
      <c r="R196" s="9" t="n"/>
      <c r="S196" s="9" t="n"/>
      <c r="T196" s="10" t="n"/>
      <c r="U196" s="10" t="n"/>
      <c r="V196" s="9" t="n"/>
      <c r="W196" s="9" t="n"/>
      <c r="X196" s="9" t="n"/>
      <c r="Y196" s="9" t="n"/>
      <c r="Z196" s="9" t="n"/>
      <c r="AA196" s="9" t="n"/>
      <c r="AB196" s="9" t="n"/>
      <c r="AC196" s="10" t="n"/>
      <c r="AD196" s="10" t="n"/>
      <c r="AE196" s="10" t="n"/>
      <c r="AF196" s="10" t="n"/>
      <c r="AG196" s="5" t="n"/>
    </row>
    <row r="197">
      <c r="A197" s="10" t="n"/>
      <c r="B197" s="9" t="n"/>
      <c r="C197" s="9" t="n"/>
      <c r="D197" s="6" t="n"/>
      <c r="E197" s="9" t="n"/>
      <c r="F197" s="10" t="n"/>
      <c r="G197" s="10" t="n"/>
      <c r="H197" s="9" t="n"/>
      <c r="I197" s="9" t="n"/>
      <c r="J197" s="9" t="n"/>
      <c r="K197" s="10" t="n"/>
      <c r="L197" s="10" t="n"/>
      <c r="M197" s="9" t="n"/>
      <c r="N197" s="9" t="n"/>
      <c r="O197" s="10" t="n"/>
      <c r="P197" s="9" t="n"/>
      <c r="Q197" s="9" t="n"/>
      <c r="R197" s="9" t="n"/>
      <c r="S197" s="9" t="n"/>
      <c r="T197" s="10" t="n"/>
      <c r="U197" s="10" t="n"/>
      <c r="V197" s="9" t="n"/>
      <c r="W197" s="9" t="n"/>
      <c r="X197" s="9" t="n"/>
      <c r="Y197" s="9" t="n"/>
      <c r="Z197" s="9" t="n"/>
      <c r="AA197" s="9" t="n"/>
      <c r="AB197" s="9" t="n"/>
      <c r="AC197" s="10" t="n"/>
      <c r="AD197" s="10" t="n"/>
      <c r="AE197" s="10" t="n"/>
      <c r="AF197" s="10" t="n"/>
      <c r="AG197" s="5" t="n"/>
    </row>
    <row r="198">
      <c r="A198" s="10" t="n"/>
      <c r="B198" s="9" t="n"/>
      <c r="C198" s="9" t="n"/>
      <c r="D198" s="6" t="n"/>
      <c r="E198" s="9" t="n"/>
      <c r="F198" s="10" t="n"/>
      <c r="G198" s="10" t="n"/>
      <c r="H198" s="9" t="n"/>
      <c r="I198" s="9" t="n"/>
      <c r="J198" s="9" t="n"/>
      <c r="K198" s="10" t="n"/>
      <c r="L198" s="10" t="n"/>
      <c r="M198" s="9" t="n"/>
      <c r="N198" s="9" t="n"/>
      <c r="O198" s="10" t="n"/>
      <c r="P198" s="9" t="n"/>
      <c r="Q198" s="9" t="n"/>
      <c r="R198" s="9" t="n"/>
      <c r="S198" s="9" t="n"/>
      <c r="T198" s="10" t="n"/>
      <c r="U198" s="10" t="n"/>
      <c r="V198" s="9" t="n"/>
      <c r="W198" s="9" t="n"/>
      <c r="X198" s="9" t="n"/>
      <c r="Y198" s="9" t="n"/>
      <c r="Z198" s="9" t="n"/>
      <c r="AA198" s="9" t="n"/>
      <c r="AB198" s="9" t="n"/>
      <c r="AC198" s="10" t="n"/>
      <c r="AD198" s="10" t="n"/>
      <c r="AE198" s="10" t="n"/>
      <c r="AF198" s="10" t="n"/>
      <c r="AG198" s="5" t="n"/>
    </row>
    <row r="199">
      <c r="A199" s="10" t="n"/>
      <c r="B199" s="9" t="n"/>
      <c r="C199" s="9" t="n"/>
      <c r="D199" s="6" t="n"/>
      <c r="E199" s="9" t="n"/>
      <c r="F199" s="10" t="n"/>
      <c r="G199" s="10" t="n"/>
      <c r="H199" s="9" t="n"/>
      <c r="I199" s="9" t="n"/>
      <c r="J199" s="9" t="n"/>
      <c r="K199" s="10" t="n"/>
      <c r="L199" s="10" t="n"/>
      <c r="M199" s="9" t="n"/>
      <c r="N199" s="9" t="n"/>
      <c r="O199" s="10" t="n"/>
      <c r="P199" s="9" t="n"/>
      <c r="Q199" s="9" t="n"/>
      <c r="R199" s="9" t="n"/>
      <c r="S199" s="9" t="n"/>
      <c r="T199" s="10" t="n"/>
      <c r="U199" s="10" t="n"/>
      <c r="V199" s="9" t="n"/>
      <c r="W199" s="9" t="n"/>
      <c r="X199" s="9" t="n"/>
      <c r="Y199" s="9" t="n"/>
      <c r="Z199" s="9" t="n"/>
      <c r="AA199" s="9" t="n"/>
      <c r="AB199" s="9" t="n"/>
      <c r="AC199" s="10" t="n"/>
      <c r="AD199" s="10" t="n"/>
      <c r="AE199" s="10" t="n"/>
      <c r="AF199" s="10" t="n"/>
      <c r="AG199" s="5" t="n"/>
    </row>
    <row r="200">
      <c r="A200" s="10" t="n"/>
      <c r="B200" s="9" t="n"/>
      <c r="C200" s="9" t="n"/>
      <c r="D200" s="6" t="n"/>
      <c r="E200" s="9" t="n"/>
      <c r="F200" s="10" t="n"/>
      <c r="G200" s="10" t="n"/>
      <c r="H200" s="9" t="n"/>
      <c r="I200" s="9" t="n"/>
      <c r="J200" s="9" t="n"/>
      <c r="K200" s="10" t="n"/>
      <c r="L200" s="10" t="n"/>
      <c r="M200" s="9" t="n"/>
      <c r="N200" s="9" t="n"/>
      <c r="O200" s="10" t="n"/>
      <c r="P200" s="9" t="n"/>
      <c r="Q200" s="9" t="n"/>
      <c r="R200" s="9" t="n"/>
      <c r="S200" s="9" t="n"/>
      <c r="T200" s="10" t="n"/>
      <c r="U200" s="10" t="n"/>
      <c r="V200" s="9" t="n"/>
      <c r="W200" s="9" t="n"/>
      <c r="X200" s="9" t="n"/>
      <c r="Y200" s="9" t="n"/>
      <c r="Z200" s="9" t="n"/>
      <c r="AA200" s="9" t="n"/>
      <c r="AB200" s="9" t="n"/>
      <c r="AC200" s="10" t="n"/>
      <c r="AD200" s="10" t="n"/>
      <c r="AE200" s="10" t="n"/>
      <c r="AF200" s="10" t="n"/>
      <c r="AG200" s="5" t="n"/>
    </row>
    <row r="201">
      <c r="A201" s="10" t="n"/>
      <c r="B201" s="9" t="n"/>
      <c r="C201" s="9" t="n"/>
      <c r="D201" s="6" t="n"/>
      <c r="E201" s="9" t="n"/>
      <c r="F201" s="10" t="n"/>
      <c r="G201" s="10" t="n"/>
      <c r="H201" s="9" t="n"/>
      <c r="I201" s="9" t="n"/>
      <c r="J201" s="9" t="n"/>
      <c r="K201" s="10" t="n"/>
      <c r="L201" s="10" t="n"/>
      <c r="M201" s="9" t="n"/>
      <c r="N201" s="9" t="n"/>
      <c r="O201" s="10" t="n"/>
      <c r="P201" s="9" t="n"/>
      <c r="Q201" s="9" t="n"/>
      <c r="R201" s="9" t="n"/>
      <c r="S201" s="9" t="n"/>
      <c r="T201" s="10" t="n"/>
      <c r="U201" s="10" t="n"/>
      <c r="V201" s="9" t="n"/>
      <c r="W201" s="9" t="n"/>
      <c r="X201" s="9" t="n"/>
      <c r="Y201" s="9" t="n"/>
      <c r="Z201" s="9" t="n"/>
      <c r="AA201" s="9" t="n"/>
      <c r="AB201" s="9" t="n"/>
      <c r="AC201" s="10" t="n"/>
      <c r="AD201" s="10" t="n"/>
      <c r="AE201" s="10" t="n"/>
      <c r="AF201" s="10" t="n"/>
      <c r="AG201" s="5" t="n"/>
    </row>
    <row r="202">
      <c r="A202" s="10" t="n"/>
      <c r="B202" s="9" t="n"/>
      <c r="C202" s="9" t="n"/>
      <c r="D202" s="6" t="n"/>
      <c r="E202" s="9" t="n"/>
      <c r="F202" s="10" t="n"/>
      <c r="G202" s="10" t="n"/>
      <c r="H202" s="9" t="n"/>
      <c r="I202" s="9" t="n"/>
      <c r="J202" s="9" t="n"/>
      <c r="K202" s="10" t="n"/>
      <c r="L202" s="10" t="n"/>
      <c r="M202" s="9" t="n"/>
      <c r="N202" s="9" t="n"/>
      <c r="O202" s="10" t="n"/>
      <c r="P202" s="9" t="n"/>
      <c r="Q202" s="9" t="n"/>
      <c r="R202" s="9" t="n"/>
      <c r="S202" s="9" t="n"/>
      <c r="T202" s="10" t="n"/>
      <c r="U202" s="10" t="n"/>
      <c r="V202" s="9" t="n"/>
      <c r="W202" s="9" t="n"/>
      <c r="X202" s="9" t="n"/>
      <c r="Y202" s="9" t="n"/>
      <c r="Z202" s="9" t="n"/>
      <c r="AA202" s="9" t="n"/>
      <c r="AB202" s="9" t="n"/>
      <c r="AC202" s="10" t="n"/>
      <c r="AD202" s="10" t="n"/>
      <c r="AE202" s="10" t="n"/>
      <c r="AF202" s="10" t="n"/>
      <c r="AG202" s="5" t="n"/>
    </row>
    <row r="203">
      <c r="A203" s="10" t="n"/>
      <c r="B203" s="9" t="n"/>
      <c r="C203" s="9" t="n"/>
      <c r="D203" s="6" t="n"/>
      <c r="E203" s="9" t="n"/>
      <c r="F203" s="10" t="n"/>
      <c r="G203" s="10" t="n"/>
      <c r="H203" s="9" t="n"/>
      <c r="I203" s="9" t="n"/>
      <c r="J203" s="9" t="n"/>
      <c r="K203" s="10" t="n"/>
      <c r="L203" s="10" t="n"/>
      <c r="M203" s="9" t="n"/>
      <c r="N203" s="9" t="n"/>
      <c r="O203" s="10" t="n"/>
      <c r="P203" s="9" t="n"/>
      <c r="Q203" s="9" t="n"/>
      <c r="R203" s="9" t="n"/>
      <c r="S203" s="9" t="n"/>
      <c r="T203" s="10" t="n"/>
      <c r="U203" s="10" t="n"/>
      <c r="V203" s="9" t="n"/>
      <c r="W203" s="9" t="n"/>
      <c r="X203" s="9" t="n"/>
      <c r="Y203" s="9" t="n"/>
      <c r="Z203" s="9" t="n"/>
      <c r="AA203" s="9" t="n"/>
      <c r="AB203" s="9" t="n"/>
      <c r="AC203" s="10" t="n"/>
      <c r="AD203" s="10" t="n"/>
      <c r="AE203" s="10" t="n"/>
      <c r="AF203" s="10" t="n"/>
      <c r="AG203" s="5" t="n"/>
    </row>
    <row r="204">
      <c r="A204" s="10" t="n"/>
      <c r="B204" s="9" t="n"/>
      <c r="C204" s="9" t="n"/>
      <c r="D204" s="6" t="n"/>
      <c r="E204" s="9" t="n"/>
      <c r="F204" s="10" t="n"/>
      <c r="G204" s="10" t="n"/>
      <c r="H204" s="9" t="n"/>
      <c r="I204" s="9" t="n"/>
      <c r="J204" s="9" t="n"/>
      <c r="K204" s="10" t="n"/>
      <c r="L204" s="10" t="n"/>
      <c r="M204" s="9" t="n"/>
      <c r="N204" s="9" t="n"/>
      <c r="O204" s="10" t="n"/>
      <c r="P204" s="9" t="n"/>
      <c r="Q204" s="9" t="n"/>
      <c r="R204" s="9" t="n"/>
      <c r="S204" s="9" t="n"/>
      <c r="T204" s="10" t="n"/>
      <c r="U204" s="10" t="n"/>
      <c r="V204" s="9" t="n"/>
      <c r="W204" s="9" t="n"/>
      <c r="X204" s="9" t="n"/>
      <c r="Y204" s="9" t="n"/>
      <c r="Z204" s="9" t="n"/>
      <c r="AA204" s="9" t="n"/>
      <c r="AB204" s="9" t="n"/>
      <c r="AC204" s="10" t="n"/>
      <c r="AD204" s="10" t="n"/>
      <c r="AE204" s="10" t="n"/>
      <c r="AF204" s="10" t="n"/>
      <c r="AG204" s="5" t="n"/>
    </row>
    <row r="205">
      <c r="A205" s="10" t="n"/>
      <c r="B205" s="9" t="n"/>
      <c r="C205" s="9" t="n"/>
      <c r="D205" s="6" t="n"/>
      <c r="E205" s="9" t="n"/>
      <c r="F205" s="10" t="n"/>
      <c r="G205" s="10" t="n"/>
      <c r="H205" s="9" t="n"/>
      <c r="I205" s="9" t="n"/>
      <c r="J205" s="9" t="n"/>
      <c r="K205" s="10" t="n"/>
      <c r="L205" s="10" t="n"/>
      <c r="M205" s="9" t="n"/>
      <c r="N205" s="9" t="n"/>
      <c r="O205" s="10" t="n"/>
      <c r="P205" s="9" t="n"/>
      <c r="Q205" s="9" t="n"/>
      <c r="R205" s="9" t="n"/>
      <c r="S205" s="9" t="n"/>
      <c r="T205" s="10" t="n"/>
      <c r="U205" s="10" t="n"/>
      <c r="V205" s="9" t="n"/>
      <c r="W205" s="9" t="n"/>
      <c r="X205" s="9" t="n"/>
      <c r="Y205" s="9" t="n"/>
      <c r="Z205" s="9" t="n"/>
      <c r="AA205" s="9" t="n"/>
      <c r="AB205" s="9" t="n"/>
      <c r="AC205" s="10" t="n"/>
      <c r="AD205" s="10" t="n"/>
      <c r="AE205" s="10" t="n"/>
      <c r="AF205" s="10" t="n"/>
      <c r="AG205" s="5" t="n"/>
    </row>
    <row r="206">
      <c r="A206" s="10" t="n"/>
      <c r="B206" s="9" t="n"/>
      <c r="C206" s="9" t="n"/>
      <c r="D206" s="6" t="n"/>
      <c r="E206" s="9" t="n"/>
      <c r="F206" s="10" t="n"/>
      <c r="G206" s="10" t="n"/>
      <c r="H206" s="9" t="n"/>
      <c r="I206" s="9" t="n"/>
      <c r="J206" s="9" t="n"/>
      <c r="K206" s="10" t="n"/>
      <c r="L206" s="10" t="n"/>
      <c r="M206" s="9" t="n"/>
      <c r="N206" s="9" t="n"/>
      <c r="O206" s="10" t="n"/>
      <c r="P206" s="9" t="n"/>
      <c r="Q206" s="9" t="n"/>
      <c r="R206" s="9" t="n"/>
      <c r="S206" s="9" t="n"/>
      <c r="T206" s="10" t="n"/>
      <c r="U206" s="10" t="n"/>
      <c r="V206" s="9" t="n"/>
      <c r="W206" s="9" t="n"/>
      <c r="X206" s="9" t="n"/>
      <c r="Y206" s="9" t="n"/>
      <c r="Z206" s="9" t="n"/>
      <c r="AA206" s="9" t="n"/>
      <c r="AB206" s="9" t="n"/>
      <c r="AC206" s="10" t="n"/>
      <c r="AD206" s="10" t="n"/>
      <c r="AE206" s="10" t="n"/>
      <c r="AF206" s="10" t="n"/>
      <c r="AG206" s="5" t="n"/>
    </row>
    <row r="207">
      <c r="A207" s="10" t="n"/>
      <c r="B207" s="9" t="n"/>
      <c r="C207" s="9" t="n"/>
      <c r="D207" s="6" t="n"/>
      <c r="E207" s="9" t="n"/>
      <c r="F207" s="10" t="n"/>
      <c r="G207" s="10" t="n"/>
      <c r="H207" s="9" t="n"/>
      <c r="I207" s="9" t="n"/>
      <c r="J207" s="9" t="n"/>
      <c r="K207" s="10" t="n"/>
      <c r="L207" s="10" t="n"/>
      <c r="M207" s="9" t="n"/>
      <c r="N207" s="9" t="n"/>
      <c r="O207" s="10" t="n"/>
      <c r="P207" s="9" t="n"/>
      <c r="Q207" s="9" t="n"/>
      <c r="R207" s="9" t="n"/>
      <c r="S207" s="9" t="n"/>
      <c r="T207" s="10" t="n"/>
      <c r="U207" s="10" t="n"/>
      <c r="V207" s="9" t="n"/>
      <c r="W207" s="9" t="n"/>
      <c r="X207" s="9" t="n"/>
      <c r="Y207" s="9" t="n"/>
      <c r="Z207" s="9" t="n"/>
      <c r="AA207" s="9" t="n"/>
      <c r="AB207" s="9" t="n"/>
      <c r="AC207" s="10" t="n"/>
      <c r="AD207" s="10" t="n"/>
      <c r="AE207" s="10" t="n"/>
      <c r="AF207" s="10" t="n"/>
      <c r="AG207" s="5" t="n"/>
    </row>
    <row r="208">
      <c r="A208" s="10" t="n"/>
      <c r="B208" s="9" t="n"/>
      <c r="C208" s="9" t="n"/>
      <c r="D208" s="6" t="n"/>
      <c r="E208" s="9" t="n"/>
      <c r="F208" s="10" t="n"/>
      <c r="G208" s="10" t="n"/>
      <c r="H208" s="9" t="n"/>
      <c r="I208" s="9" t="n"/>
      <c r="J208" s="9" t="n"/>
      <c r="K208" s="10" t="n"/>
      <c r="L208" s="10" t="n"/>
      <c r="M208" s="9" t="n"/>
      <c r="N208" s="9" t="n"/>
      <c r="O208" s="10" t="n"/>
      <c r="P208" s="9" t="n"/>
      <c r="Q208" s="9" t="n"/>
      <c r="R208" s="9" t="n"/>
      <c r="S208" s="9" t="n"/>
      <c r="T208" s="10" t="n"/>
      <c r="U208" s="10" t="n"/>
      <c r="V208" s="9" t="n"/>
      <c r="W208" s="9" t="n"/>
      <c r="X208" s="9" t="n"/>
      <c r="Y208" s="9" t="n"/>
      <c r="Z208" s="9" t="n"/>
      <c r="AA208" s="9" t="n"/>
      <c r="AB208" s="9" t="n"/>
      <c r="AC208" s="10" t="n"/>
      <c r="AD208" s="10" t="n"/>
      <c r="AE208" s="10" t="n"/>
      <c r="AF208" s="10" t="n"/>
      <c r="AG208" s="5" t="n"/>
    </row>
    <row r="209">
      <c r="A209" s="10" t="n"/>
      <c r="B209" s="9" t="n"/>
      <c r="C209" s="9" t="n"/>
      <c r="D209" s="6" t="n"/>
      <c r="E209" s="9" t="n"/>
      <c r="F209" s="10" t="n"/>
      <c r="G209" s="10" t="n"/>
      <c r="H209" s="9" t="n"/>
      <c r="I209" s="9" t="n"/>
      <c r="J209" s="9" t="n"/>
      <c r="K209" s="10" t="n"/>
      <c r="L209" s="10" t="n"/>
      <c r="M209" s="9" t="n"/>
      <c r="N209" s="9" t="n"/>
      <c r="O209" s="10" t="n"/>
      <c r="P209" s="9" t="n"/>
      <c r="Q209" s="9" t="n"/>
      <c r="R209" s="9" t="n"/>
      <c r="S209" s="9" t="n"/>
      <c r="T209" s="10" t="n"/>
      <c r="U209" s="10" t="n"/>
      <c r="V209" s="9" t="n"/>
      <c r="W209" s="9" t="n"/>
      <c r="X209" s="9" t="n"/>
      <c r="Y209" s="9" t="n"/>
      <c r="Z209" s="9" t="n"/>
      <c r="AA209" s="9" t="n"/>
      <c r="AB209" s="9" t="n"/>
      <c r="AC209" s="10" t="n"/>
      <c r="AD209" s="10" t="n"/>
      <c r="AE209" s="10" t="n"/>
      <c r="AF209" s="10" t="n"/>
      <c r="AG209" s="5" t="n"/>
    </row>
    <row r="210">
      <c r="A210" s="10" t="n"/>
      <c r="B210" s="9" t="n"/>
      <c r="C210" s="9" t="n"/>
      <c r="D210" s="6" t="n"/>
      <c r="E210" s="9" t="n"/>
      <c r="F210" s="10" t="n"/>
      <c r="G210" s="10" t="n"/>
      <c r="H210" s="9" t="n"/>
      <c r="I210" s="9" t="n"/>
      <c r="J210" s="9" t="n"/>
      <c r="K210" s="10" t="n"/>
      <c r="L210" s="10" t="n"/>
      <c r="M210" s="9" t="n"/>
      <c r="N210" s="9" t="n"/>
      <c r="O210" s="10" t="n"/>
      <c r="P210" s="9" t="n"/>
      <c r="Q210" s="9" t="n"/>
      <c r="R210" s="9" t="n"/>
      <c r="S210" s="9" t="n"/>
      <c r="T210" s="10" t="n"/>
      <c r="U210" s="10" t="n"/>
      <c r="V210" s="9" t="n"/>
      <c r="W210" s="9" t="n"/>
      <c r="X210" s="9" t="n"/>
      <c r="Y210" s="9" t="n"/>
      <c r="Z210" s="9" t="n"/>
      <c r="AA210" s="9" t="n"/>
      <c r="AB210" s="9" t="n"/>
      <c r="AC210" s="10" t="n"/>
      <c r="AD210" s="10" t="n"/>
      <c r="AE210" s="10" t="n"/>
      <c r="AF210" s="10" t="n"/>
      <c r="AG210" s="5" t="n"/>
    </row>
    <row r="211">
      <c r="A211" s="10" t="n"/>
      <c r="B211" s="9" t="n"/>
      <c r="C211" s="9" t="n"/>
      <c r="D211" s="6" t="n"/>
      <c r="E211" s="9" t="n"/>
      <c r="F211" s="10" t="n"/>
      <c r="G211" s="10" t="n"/>
      <c r="H211" s="9" t="n"/>
      <c r="I211" s="9" t="n"/>
      <c r="J211" s="9" t="n"/>
      <c r="K211" s="10" t="n"/>
      <c r="L211" s="10" t="n"/>
      <c r="M211" s="9" t="n"/>
      <c r="N211" s="9" t="n"/>
      <c r="O211" s="10" t="n"/>
      <c r="P211" s="9" t="n"/>
      <c r="Q211" s="9" t="n"/>
      <c r="R211" s="9" t="n"/>
      <c r="S211" s="9" t="n"/>
      <c r="T211" s="10" t="n"/>
      <c r="U211" s="10" t="n"/>
      <c r="V211" s="9" t="n"/>
      <c r="W211" s="9" t="n"/>
      <c r="X211" s="9" t="n"/>
      <c r="Y211" s="9" t="n"/>
      <c r="Z211" s="9" t="n"/>
      <c r="AA211" s="9" t="n"/>
      <c r="AB211" s="9" t="n"/>
      <c r="AC211" s="10" t="n"/>
      <c r="AD211" s="10" t="n"/>
      <c r="AE211" s="10" t="n"/>
      <c r="AF211" s="10" t="n"/>
      <c r="AG211" s="5" t="n"/>
    </row>
    <row r="212">
      <c r="A212" s="10" t="n"/>
      <c r="B212" s="9" t="n"/>
      <c r="C212" s="9" t="n"/>
      <c r="D212" s="6" t="n"/>
      <c r="E212" s="9" t="n"/>
      <c r="F212" s="10" t="n"/>
      <c r="G212" s="10" t="n"/>
      <c r="H212" s="9" t="n"/>
      <c r="I212" s="9" t="n"/>
      <c r="J212" s="9" t="n"/>
      <c r="K212" s="10" t="n"/>
      <c r="L212" s="10" t="n"/>
      <c r="M212" s="9" t="n"/>
      <c r="N212" s="9" t="n"/>
      <c r="O212" s="10" t="n"/>
      <c r="P212" s="9" t="n"/>
      <c r="Q212" s="9" t="n"/>
      <c r="R212" s="9" t="n"/>
      <c r="S212" s="9" t="n"/>
      <c r="T212" s="10" t="n"/>
      <c r="U212" s="10" t="n"/>
      <c r="V212" s="9" t="n"/>
      <c r="W212" s="9" t="n"/>
      <c r="X212" s="9" t="n"/>
      <c r="Y212" s="9" t="n"/>
      <c r="Z212" s="9" t="n"/>
      <c r="AA212" s="9" t="n"/>
      <c r="AB212" s="9" t="n"/>
      <c r="AC212" s="10" t="n"/>
      <c r="AD212" s="10" t="n"/>
      <c r="AE212" s="10" t="n"/>
      <c r="AF212" s="10" t="n"/>
      <c r="AG212" s="5" t="n"/>
    </row>
    <row r="213">
      <c r="A213" s="10" t="n"/>
      <c r="B213" s="9" t="n"/>
      <c r="C213" s="9" t="n"/>
      <c r="D213" s="6" t="n"/>
      <c r="E213" s="9" t="n"/>
      <c r="F213" s="10" t="n"/>
      <c r="G213" s="10" t="n"/>
      <c r="H213" s="9" t="n"/>
      <c r="I213" s="9" t="n"/>
      <c r="J213" s="9" t="n"/>
      <c r="K213" s="10" t="n"/>
      <c r="L213" s="10" t="n"/>
      <c r="M213" s="9" t="n"/>
      <c r="N213" s="9" t="n"/>
      <c r="O213" s="10" t="n"/>
      <c r="P213" s="9" t="n"/>
      <c r="Q213" s="9" t="n"/>
      <c r="R213" s="9" t="n"/>
      <c r="S213" s="9" t="n"/>
      <c r="T213" s="10" t="n"/>
      <c r="U213" s="10" t="n"/>
      <c r="V213" s="9" t="n"/>
      <c r="W213" s="9" t="n"/>
      <c r="X213" s="9" t="n"/>
      <c r="Y213" s="9" t="n"/>
      <c r="Z213" s="9" t="n"/>
      <c r="AA213" s="9" t="n"/>
      <c r="AB213" s="9" t="n"/>
      <c r="AC213" s="10" t="n"/>
      <c r="AD213" s="10" t="n"/>
      <c r="AE213" s="10" t="n"/>
      <c r="AF213" s="10" t="n"/>
      <c r="AG213" s="5" t="n"/>
    </row>
    <row r="214">
      <c r="A214" s="10" t="n"/>
      <c r="B214" s="9" t="n"/>
      <c r="C214" s="9" t="n"/>
      <c r="D214" s="6" t="n"/>
      <c r="E214" s="9" t="n"/>
      <c r="F214" s="10" t="n"/>
      <c r="G214" s="10" t="n"/>
      <c r="H214" s="9" t="n"/>
      <c r="I214" s="9" t="n"/>
      <c r="J214" s="9" t="n"/>
      <c r="K214" s="10" t="n"/>
      <c r="L214" s="10" t="n"/>
      <c r="M214" s="9" t="n"/>
      <c r="N214" s="9" t="n"/>
      <c r="O214" s="10" t="n"/>
      <c r="P214" s="9" t="n"/>
      <c r="Q214" s="9" t="n"/>
      <c r="R214" s="9" t="n"/>
      <c r="S214" s="9" t="n"/>
      <c r="T214" s="10" t="n"/>
      <c r="U214" s="10" t="n"/>
      <c r="V214" s="9" t="n"/>
      <c r="W214" s="9" t="n"/>
      <c r="X214" s="9" t="n"/>
      <c r="Y214" s="9" t="n"/>
      <c r="Z214" s="9" t="n"/>
      <c r="AA214" s="9" t="n"/>
      <c r="AB214" s="9" t="n"/>
      <c r="AC214" s="10" t="n"/>
      <c r="AD214" s="10" t="n"/>
      <c r="AE214" s="10" t="n"/>
      <c r="AF214" s="10" t="n"/>
      <c r="AG214" s="5" t="n"/>
    </row>
    <row r="215">
      <c r="A215" s="10" t="n"/>
      <c r="B215" s="9" t="n"/>
      <c r="C215" s="9" t="n"/>
      <c r="D215" s="6" t="n"/>
      <c r="E215" s="9" t="n"/>
      <c r="F215" s="10" t="n"/>
      <c r="G215" s="10" t="n"/>
      <c r="H215" s="9" t="n"/>
      <c r="I215" s="9" t="n"/>
      <c r="J215" s="9" t="n"/>
      <c r="K215" s="10" t="n"/>
      <c r="L215" s="10" t="n"/>
      <c r="M215" s="9" t="n"/>
      <c r="N215" s="9" t="n"/>
      <c r="O215" s="10" t="n"/>
      <c r="P215" s="9" t="n"/>
      <c r="Q215" s="9" t="n"/>
      <c r="R215" s="9" t="n"/>
      <c r="S215" s="9" t="n"/>
      <c r="T215" s="10" t="n"/>
      <c r="U215" s="10" t="n"/>
      <c r="V215" s="9" t="n"/>
      <c r="W215" s="9" t="n"/>
      <c r="X215" s="9" t="n"/>
      <c r="Y215" s="9" t="n"/>
      <c r="Z215" s="9" t="n"/>
      <c r="AA215" s="9" t="n"/>
      <c r="AB215" s="9" t="n"/>
      <c r="AC215" s="10" t="n"/>
      <c r="AD215" s="10" t="n"/>
      <c r="AE215" s="10" t="n"/>
      <c r="AF215" s="10" t="n"/>
      <c r="AG215" s="5" t="n"/>
    </row>
    <row r="216">
      <c r="A216" s="10" t="n"/>
      <c r="B216" s="9" t="n"/>
      <c r="C216" s="9" t="n"/>
      <c r="D216" s="6" t="n"/>
      <c r="E216" s="9" t="n"/>
      <c r="F216" s="10" t="n"/>
      <c r="G216" s="10" t="n"/>
      <c r="H216" s="9" t="n"/>
      <c r="I216" s="9" t="n"/>
      <c r="J216" s="9" t="n"/>
      <c r="K216" s="10" t="n"/>
      <c r="L216" s="10" t="n"/>
      <c r="M216" s="9" t="n"/>
      <c r="N216" s="9" t="n"/>
      <c r="O216" s="10" t="n"/>
      <c r="P216" s="9" t="n"/>
      <c r="Q216" s="9" t="n"/>
      <c r="R216" s="9" t="n"/>
      <c r="S216" s="9" t="n"/>
      <c r="T216" s="10" t="n"/>
      <c r="U216" s="10" t="n"/>
      <c r="V216" s="9" t="n"/>
      <c r="W216" s="9" t="n"/>
      <c r="X216" s="9" t="n"/>
      <c r="Y216" s="9" t="n"/>
      <c r="Z216" s="9" t="n"/>
      <c r="AA216" s="9" t="n"/>
      <c r="AB216" s="9" t="n"/>
      <c r="AC216" s="10" t="n"/>
      <c r="AD216" s="10" t="n"/>
      <c r="AE216" s="10" t="n"/>
      <c r="AF216" s="10" t="n"/>
      <c r="AG216" s="5" t="n"/>
    </row>
    <row r="217">
      <c r="A217" s="10" t="n"/>
      <c r="B217" s="9" t="n"/>
      <c r="C217" s="9" t="n"/>
      <c r="D217" s="6" t="n"/>
      <c r="E217" s="9" t="n"/>
      <c r="F217" s="10" t="n"/>
      <c r="G217" s="10" t="n"/>
      <c r="H217" s="9" t="n"/>
      <c r="I217" s="9" t="n"/>
      <c r="J217" s="9" t="n"/>
      <c r="K217" s="10" t="n"/>
      <c r="L217" s="10" t="n"/>
      <c r="M217" s="9" t="n"/>
      <c r="N217" s="9" t="n"/>
      <c r="O217" s="10" t="n"/>
      <c r="P217" s="9" t="n"/>
      <c r="Q217" s="9" t="n"/>
      <c r="R217" s="9" t="n"/>
      <c r="S217" s="9" t="n"/>
      <c r="T217" s="10" t="n"/>
      <c r="U217" s="10" t="n"/>
      <c r="V217" s="9" t="n"/>
      <c r="W217" s="9" t="n"/>
      <c r="X217" s="9" t="n"/>
      <c r="Y217" s="9" t="n"/>
      <c r="Z217" s="9" t="n"/>
      <c r="AA217" s="9" t="n"/>
      <c r="AB217" s="9" t="n"/>
      <c r="AC217" s="10" t="n"/>
      <c r="AD217" s="10" t="n"/>
      <c r="AE217" s="10" t="n"/>
      <c r="AF217" s="10" t="n"/>
      <c r="AG217" s="5" t="n"/>
    </row>
    <row r="218">
      <c r="A218" s="10" t="n"/>
      <c r="B218" s="9" t="n"/>
      <c r="C218" s="9" t="n"/>
      <c r="D218" s="6" t="n"/>
      <c r="E218" s="9" t="n"/>
      <c r="F218" s="10" t="n"/>
      <c r="G218" s="10" t="n"/>
      <c r="H218" s="9" t="n"/>
      <c r="I218" s="9" t="n"/>
      <c r="J218" s="9" t="n"/>
      <c r="K218" s="10" t="n"/>
      <c r="L218" s="10" t="n"/>
      <c r="M218" s="9" t="n"/>
      <c r="N218" s="9" t="n"/>
      <c r="O218" s="10" t="n"/>
      <c r="P218" s="9" t="n"/>
      <c r="Q218" s="9" t="n"/>
      <c r="R218" s="9" t="n"/>
      <c r="S218" s="9" t="n"/>
      <c r="T218" s="10" t="n"/>
      <c r="U218" s="10" t="n"/>
      <c r="V218" s="9" t="n"/>
      <c r="W218" s="9" t="n"/>
      <c r="X218" s="9" t="n"/>
      <c r="Y218" s="9" t="n"/>
      <c r="Z218" s="9" t="n"/>
      <c r="AA218" s="9" t="n"/>
      <c r="AB218" s="9" t="n"/>
      <c r="AC218" s="10" t="n"/>
      <c r="AD218" s="10" t="n"/>
      <c r="AE218" s="10" t="n"/>
      <c r="AF218" s="10" t="n"/>
      <c r="AG218" s="5" t="n"/>
    </row>
    <row r="219">
      <c r="A219" s="10" t="n"/>
      <c r="B219" s="9" t="n"/>
      <c r="C219" s="9" t="n"/>
      <c r="D219" s="6" t="n"/>
      <c r="E219" s="9" t="n"/>
      <c r="F219" s="10" t="n"/>
      <c r="G219" s="10" t="n"/>
      <c r="H219" s="9" t="n"/>
      <c r="I219" s="9" t="n"/>
      <c r="J219" s="9" t="n"/>
      <c r="K219" s="10" t="n"/>
      <c r="L219" s="10" t="n"/>
      <c r="M219" s="9" t="n"/>
      <c r="N219" s="9" t="n"/>
      <c r="O219" s="10" t="n"/>
      <c r="P219" s="9" t="n"/>
      <c r="Q219" s="9" t="n"/>
      <c r="R219" s="9" t="n"/>
      <c r="S219" s="9" t="n"/>
      <c r="T219" s="10" t="n"/>
      <c r="U219" s="10" t="n"/>
      <c r="V219" s="9" t="n"/>
      <c r="W219" s="9" t="n"/>
      <c r="X219" s="9" t="n"/>
      <c r="Y219" s="9" t="n"/>
      <c r="Z219" s="9" t="n"/>
      <c r="AA219" s="9" t="n"/>
      <c r="AB219" s="9" t="n"/>
      <c r="AC219" s="10" t="n"/>
      <c r="AD219" s="10" t="n"/>
      <c r="AE219" s="10" t="n"/>
      <c r="AF219" s="10" t="n"/>
      <c r="AG219" s="5" t="n"/>
    </row>
    <row r="220">
      <c r="A220" s="10" t="n"/>
      <c r="B220" s="9" t="n"/>
      <c r="C220" s="9" t="n"/>
      <c r="D220" s="6" t="n"/>
      <c r="E220" s="9" t="n"/>
      <c r="F220" s="10" t="n"/>
      <c r="G220" s="10" t="n"/>
      <c r="H220" s="9" t="n"/>
      <c r="I220" s="9" t="n"/>
      <c r="J220" s="9" t="n"/>
      <c r="K220" s="10" t="n"/>
      <c r="L220" s="10" t="n"/>
      <c r="M220" s="9" t="n"/>
      <c r="N220" s="9" t="n"/>
      <c r="O220" s="10" t="n"/>
      <c r="P220" s="9" t="n"/>
      <c r="Q220" s="9" t="n"/>
      <c r="R220" s="9" t="n"/>
      <c r="S220" s="9" t="n"/>
      <c r="T220" s="10" t="n"/>
      <c r="U220" s="10" t="n"/>
      <c r="V220" s="9" t="n"/>
      <c r="W220" s="9" t="n"/>
      <c r="X220" s="9" t="n"/>
      <c r="Y220" s="9" t="n"/>
      <c r="Z220" s="9" t="n"/>
      <c r="AA220" s="9" t="n"/>
      <c r="AB220" s="9" t="n"/>
      <c r="AC220" s="10" t="n"/>
      <c r="AD220" s="10" t="n"/>
      <c r="AE220" s="10" t="n"/>
      <c r="AF220" s="10" t="n"/>
      <c r="AG220" s="5" t="n"/>
    </row>
  </sheetData>
  <mergeCells count="2">
    <mergeCell ref="A1:AG1"/>
    <mergeCell ref="A19:AG19"/>
  </mergeCells>
  <dataValidations count="4">
    <dataValidation sqref="A21:A200" showDropDown="0" showInputMessage="0" showErrorMessage="0" allowBlank="1" type="list">
      <formula1>=Stage_List</formula1>
    </dataValidation>
    <dataValidation sqref="B21:B200" showDropDown="0" showInputMessage="0" showErrorMessage="0" allowBlank="1" type="list">
      <formula1>"Y,-"</formula1>
    </dataValidation>
    <dataValidation sqref="C21:C200" showDropDown="0" showInputMessage="0" showErrorMessage="0" allowBlank="1" type="list">
      <formula1>"Y,N"</formula1>
    </dataValidation>
    <dataValidation sqref="AA21:AA200" showDropDown="0" showInputMessage="0" showErrorMessage="0" allowBlank="1" type="list">
      <formula1>"GO,RECALC,STOP,-"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45" customWidth="1" min="12" max="12"/>
  </cols>
  <sheetData>
    <row r="1" ht="22" customHeight="1">
      <c r="A1" s="11" t="inlineStr">
        <is>
          <t>Hold Point Measurement Log (Measured vs Predicted)</t>
        </is>
      </c>
    </row>
    <row r="2">
      <c r="A2" s="6" t="inlineStr">
        <is>
          <t>HP_GO_CM</t>
        </is>
      </c>
      <c r="B2" s="10" t="n">
        <v>2</v>
      </c>
      <c r="C2" s="9" t="inlineStr">
        <is>
          <t>cm</t>
        </is>
      </c>
      <c r="D2" s="6" t="inlineStr">
        <is>
          <t>GO if max(|Δ|) &lt;= this</t>
        </is>
      </c>
    </row>
    <row r="3">
      <c r="A3" s="6" t="inlineStr">
        <is>
          <t>HP_RECALC_CM</t>
        </is>
      </c>
      <c r="B3" s="10" t="n">
        <v>4</v>
      </c>
      <c r="C3" s="9" t="inlineStr">
        <is>
          <t>cm</t>
        </is>
      </c>
      <c r="D3" s="6" t="inlineStr">
        <is>
          <t>RECALC if &lt;= this else STOP</t>
        </is>
      </c>
    </row>
    <row r="5" ht="24" customHeight="1">
      <c r="A5" s="4" t="inlineStr">
        <is>
          <t>Time</t>
        </is>
      </c>
      <c r="B5" s="4" t="inlineStr">
        <is>
          <t>Stage_ID</t>
        </is>
      </c>
      <c r="C5" s="4" t="inlineStr">
        <is>
          <t>Meas_FWD_m</t>
        </is>
      </c>
      <c r="D5" s="4" t="inlineStr">
        <is>
          <t>Meas_AFT_m</t>
        </is>
      </c>
      <c r="E5" s="4" t="inlineStr">
        <is>
          <t>Meas_Trim_cm</t>
        </is>
      </c>
      <c r="F5" s="4" t="inlineStr">
        <is>
          <t>Pred_FWD_m</t>
        </is>
      </c>
      <c r="G5" s="4" t="inlineStr">
        <is>
          <t>Pred_AFT_m</t>
        </is>
      </c>
      <c r="H5" s="4" t="inlineStr">
        <is>
          <t>ΔFWD_cm</t>
        </is>
      </c>
      <c r="I5" s="4" t="inlineStr">
        <is>
          <t>ΔAFT_cm</t>
        </is>
      </c>
      <c r="J5" s="4" t="inlineStr">
        <is>
          <t>ΔTrim_cm</t>
        </is>
      </c>
      <c r="K5" s="4" t="inlineStr">
        <is>
          <t>Action</t>
        </is>
      </c>
      <c r="L5" s="4" t="inlineStr">
        <is>
          <t>Comments</t>
        </is>
      </c>
    </row>
    <row r="6">
      <c r="A6" s="13" t="n"/>
      <c r="B6" s="10" t="n"/>
      <c r="C6" s="14" t="n"/>
      <c r="D6" s="14" t="n"/>
      <c r="E6" s="9">
        <f>IF(OR(C6="",D6=""),"",(D6-C6)*100)</f>
        <v/>
      </c>
      <c r="F6" s="25">
        <f>IF($B6="","",IFERROR(INDEX('07_Stage_Calc'!$K:$K,MATCH($B6,'07_Stage_Calc'!$A:$A,0)),""))</f>
        <v/>
      </c>
      <c r="G6" s="25">
        <f>IF($B6="","",IFERROR(INDEX('07_Stage_Calc'!$L:$L,MATCH($B6,'07_Stage_Calc'!$A:$A,0)),""))</f>
        <v/>
      </c>
      <c r="H6" s="9">
        <f>IF(OR(C6="",F6=""),"",(C6-F6)*100)</f>
        <v/>
      </c>
      <c r="I6" s="9">
        <f>IF(OR(D6="",G6=""),"",(D6-G6)*100)</f>
        <v/>
      </c>
      <c r="J6" s="9">
        <f>IF(OR(E6="",F6="",G6=""),"",E6-(G6-F6)*100)</f>
        <v/>
      </c>
      <c r="K6" s="9">
        <f>IF(OR(H6="",I6="",J6=""),"",IF(MAX(ABS(H6),ABS(I6),ABS(J6))&lt;=$B$2,"GO",IF(MAX(ABS(H6),ABS(I6),ABS(J6))&lt;=$B$3,"RECALC","STOP")))</f>
        <v/>
      </c>
      <c r="L6" s="5" t="n"/>
    </row>
    <row r="7">
      <c r="A7" s="13" t="n"/>
      <c r="B7" s="10" t="n"/>
      <c r="C7" s="14" t="n"/>
      <c r="D7" s="14" t="n"/>
      <c r="E7" s="9">
        <f>IF(OR(C7="",D7=""),"",(D7-C7)*100)</f>
        <v/>
      </c>
      <c r="F7" s="25">
        <f>IF($B7="","",IFERROR(INDEX('07_Stage_Calc'!$K:$K,MATCH($B7,'07_Stage_Calc'!$A:$A,0)),""))</f>
        <v/>
      </c>
      <c r="G7" s="25">
        <f>IF($B7="","",IFERROR(INDEX('07_Stage_Calc'!$L:$L,MATCH($B7,'07_Stage_Calc'!$A:$A,0)),""))</f>
        <v/>
      </c>
      <c r="H7" s="9">
        <f>IF(OR(C7="",F7=""),"",(C7-F7)*100)</f>
        <v/>
      </c>
      <c r="I7" s="9">
        <f>IF(OR(D7="",G7=""),"",(D7-G7)*100)</f>
        <v/>
      </c>
      <c r="J7" s="9">
        <f>IF(OR(E7="",F7="",G7=""),"",E7-(G7-F7)*100)</f>
        <v/>
      </c>
      <c r="K7" s="9">
        <f>IF(OR(H7="",I7="",J7=""),"",IF(MAX(ABS(H7),ABS(I7),ABS(J7))&lt;=$B$2,"GO",IF(MAX(ABS(H7),ABS(I7),ABS(J7))&lt;=$B$3,"RECALC","STOP")))</f>
        <v/>
      </c>
      <c r="L7" s="5" t="n"/>
    </row>
    <row r="8">
      <c r="A8" s="13" t="n"/>
      <c r="B8" s="10" t="n"/>
      <c r="C8" s="14" t="n"/>
      <c r="D8" s="14" t="n"/>
      <c r="E8" s="9">
        <f>IF(OR(C8="",D8=""),"",(D8-C8)*100)</f>
        <v/>
      </c>
      <c r="F8" s="25">
        <f>IF($B8="","",IFERROR(INDEX('07_Stage_Calc'!$K:$K,MATCH($B8,'07_Stage_Calc'!$A:$A,0)),""))</f>
        <v/>
      </c>
      <c r="G8" s="25">
        <f>IF($B8="","",IFERROR(INDEX('07_Stage_Calc'!$L:$L,MATCH($B8,'07_Stage_Calc'!$A:$A,0)),""))</f>
        <v/>
      </c>
      <c r="H8" s="9">
        <f>IF(OR(C8="",F8=""),"",(C8-F8)*100)</f>
        <v/>
      </c>
      <c r="I8" s="9">
        <f>IF(OR(D8="",G8=""),"",(D8-G8)*100)</f>
        <v/>
      </c>
      <c r="J8" s="9">
        <f>IF(OR(E8="",F8="",G8=""),"",E8-(G8-F8)*100)</f>
        <v/>
      </c>
      <c r="K8" s="9">
        <f>IF(OR(H8="",I8="",J8=""),"",IF(MAX(ABS(H8),ABS(I8),ABS(J8))&lt;=$B$2,"GO",IF(MAX(ABS(H8),ABS(I8),ABS(J8))&lt;=$B$3,"RECALC","STOP")))</f>
        <v/>
      </c>
      <c r="L8" s="5" t="n"/>
    </row>
    <row r="9">
      <c r="A9" s="13" t="n"/>
      <c r="B9" s="10" t="n"/>
      <c r="C9" s="14" t="n"/>
      <c r="D9" s="14" t="n"/>
      <c r="E9" s="9">
        <f>IF(OR(C9="",D9=""),"",(D9-C9)*100)</f>
        <v/>
      </c>
      <c r="F9" s="25">
        <f>IF($B9="","",IFERROR(INDEX('07_Stage_Calc'!$K:$K,MATCH($B9,'07_Stage_Calc'!$A:$A,0)),""))</f>
        <v/>
      </c>
      <c r="G9" s="25">
        <f>IF($B9="","",IFERROR(INDEX('07_Stage_Calc'!$L:$L,MATCH($B9,'07_Stage_Calc'!$A:$A,0)),""))</f>
        <v/>
      </c>
      <c r="H9" s="9">
        <f>IF(OR(C9="",F9=""),"",(C9-F9)*100)</f>
        <v/>
      </c>
      <c r="I9" s="9">
        <f>IF(OR(D9="",G9=""),"",(D9-G9)*100)</f>
        <v/>
      </c>
      <c r="J9" s="9">
        <f>IF(OR(E9="",F9="",G9=""),"",E9-(G9-F9)*100)</f>
        <v/>
      </c>
      <c r="K9" s="9">
        <f>IF(OR(H9="",I9="",J9=""),"",IF(MAX(ABS(H9),ABS(I9),ABS(J9))&lt;=$B$2,"GO",IF(MAX(ABS(H9),ABS(I9),ABS(J9))&lt;=$B$3,"RECALC","STOP")))</f>
        <v/>
      </c>
      <c r="L9" s="5" t="n"/>
    </row>
    <row r="10">
      <c r="A10" s="13" t="n"/>
      <c r="B10" s="10" t="n"/>
      <c r="C10" s="14" t="n"/>
      <c r="D10" s="14" t="n"/>
      <c r="E10" s="9">
        <f>IF(OR(C10="",D10=""),"",(D10-C10)*100)</f>
        <v/>
      </c>
      <c r="F10" s="25">
        <f>IF($B10="","",IFERROR(INDEX('07_Stage_Calc'!$K:$K,MATCH($B10,'07_Stage_Calc'!$A:$A,0)),""))</f>
        <v/>
      </c>
      <c r="G10" s="25">
        <f>IF($B10="","",IFERROR(INDEX('07_Stage_Calc'!$L:$L,MATCH($B10,'07_Stage_Calc'!$A:$A,0)),""))</f>
        <v/>
      </c>
      <c r="H10" s="9">
        <f>IF(OR(C10="",F10=""),"",(C10-F10)*100)</f>
        <v/>
      </c>
      <c r="I10" s="9">
        <f>IF(OR(D10="",G10=""),"",(D10-G10)*100)</f>
        <v/>
      </c>
      <c r="J10" s="9">
        <f>IF(OR(E10="",F10="",G10=""),"",E10-(G10-F10)*100)</f>
        <v/>
      </c>
      <c r="K10" s="9">
        <f>IF(OR(H10="",I10="",J10=""),"",IF(MAX(ABS(H10),ABS(I10),ABS(J10))&lt;=$B$2,"GO",IF(MAX(ABS(H10),ABS(I10),ABS(J10))&lt;=$B$3,"RECALC","STOP")))</f>
        <v/>
      </c>
      <c r="L10" s="5" t="n"/>
    </row>
    <row r="11">
      <c r="A11" s="13" t="n"/>
      <c r="B11" s="10" t="n"/>
      <c r="C11" s="14" t="n"/>
      <c r="D11" s="14" t="n"/>
      <c r="E11" s="9">
        <f>IF(OR(C11="",D11=""),"",(D11-C11)*100)</f>
        <v/>
      </c>
      <c r="F11" s="25">
        <f>IF($B11="","",IFERROR(INDEX('07_Stage_Calc'!$K:$K,MATCH($B11,'07_Stage_Calc'!$A:$A,0)),""))</f>
        <v/>
      </c>
      <c r="G11" s="25">
        <f>IF($B11="","",IFERROR(INDEX('07_Stage_Calc'!$L:$L,MATCH($B11,'07_Stage_Calc'!$A:$A,0)),""))</f>
        <v/>
      </c>
      <c r="H11" s="9">
        <f>IF(OR(C11="",F11=""),"",(C11-F11)*100)</f>
        <v/>
      </c>
      <c r="I11" s="9">
        <f>IF(OR(D11="",G11=""),"",(D11-G11)*100)</f>
        <v/>
      </c>
      <c r="J11" s="9">
        <f>IF(OR(E11="",F11="",G11=""),"",E11-(G11-F11)*100)</f>
        <v/>
      </c>
      <c r="K11" s="9">
        <f>IF(OR(H11="",I11="",J11=""),"",IF(MAX(ABS(H11),ABS(I11),ABS(J11))&lt;=$B$2,"GO",IF(MAX(ABS(H11),ABS(I11),ABS(J11))&lt;=$B$3,"RECALC","STOP")))</f>
        <v/>
      </c>
      <c r="L11" s="5" t="n"/>
    </row>
    <row r="12">
      <c r="A12" s="13" t="n"/>
      <c r="B12" s="10" t="n"/>
      <c r="C12" s="14" t="n"/>
      <c r="D12" s="14" t="n"/>
      <c r="E12" s="9">
        <f>IF(OR(C12="",D12=""),"",(D12-C12)*100)</f>
        <v/>
      </c>
      <c r="F12" s="25">
        <f>IF($B12="","",IFERROR(INDEX('07_Stage_Calc'!$K:$K,MATCH($B12,'07_Stage_Calc'!$A:$A,0)),""))</f>
        <v/>
      </c>
      <c r="G12" s="25">
        <f>IF($B12="","",IFERROR(INDEX('07_Stage_Calc'!$L:$L,MATCH($B12,'07_Stage_Calc'!$A:$A,0)),""))</f>
        <v/>
      </c>
      <c r="H12" s="9">
        <f>IF(OR(C12="",F12=""),"",(C12-F12)*100)</f>
        <v/>
      </c>
      <c r="I12" s="9">
        <f>IF(OR(D12="",G12=""),"",(D12-G12)*100)</f>
        <v/>
      </c>
      <c r="J12" s="9">
        <f>IF(OR(E12="",F12="",G12=""),"",E12-(G12-F12)*100)</f>
        <v/>
      </c>
      <c r="K12" s="9">
        <f>IF(OR(H12="",I12="",J12=""),"",IF(MAX(ABS(H12),ABS(I12),ABS(J12))&lt;=$B$2,"GO",IF(MAX(ABS(H12),ABS(I12),ABS(J12))&lt;=$B$3,"RECALC","STOP")))</f>
        <v/>
      </c>
      <c r="L12" s="5" t="n"/>
    </row>
    <row r="13">
      <c r="A13" s="13" t="n"/>
      <c r="B13" s="10" t="n"/>
      <c r="C13" s="14" t="n"/>
      <c r="D13" s="14" t="n"/>
      <c r="E13" s="9">
        <f>IF(OR(C13="",D13=""),"",(D13-C13)*100)</f>
        <v/>
      </c>
      <c r="F13" s="25">
        <f>IF($B13="","",IFERROR(INDEX('07_Stage_Calc'!$K:$K,MATCH($B13,'07_Stage_Calc'!$A:$A,0)),""))</f>
        <v/>
      </c>
      <c r="G13" s="25">
        <f>IF($B13="","",IFERROR(INDEX('07_Stage_Calc'!$L:$L,MATCH($B13,'07_Stage_Calc'!$A:$A,0)),""))</f>
        <v/>
      </c>
      <c r="H13" s="9">
        <f>IF(OR(C13="",F13=""),"",(C13-F13)*100)</f>
        <v/>
      </c>
      <c r="I13" s="9">
        <f>IF(OR(D13="",G13=""),"",(D13-G13)*100)</f>
        <v/>
      </c>
      <c r="J13" s="9">
        <f>IF(OR(E13="",F13="",G13=""),"",E13-(G13-F13)*100)</f>
        <v/>
      </c>
      <c r="K13" s="9">
        <f>IF(OR(H13="",I13="",J13=""),"",IF(MAX(ABS(H13),ABS(I13),ABS(J13))&lt;=$B$2,"GO",IF(MAX(ABS(H13),ABS(I13),ABS(J13))&lt;=$B$3,"RECALC","STOP")))</f>
        <v/>
      </c>
      <c r="L13" s="5" t="n"/>
    </row>
    <row r="14">
      <c r="A14" s="13" t="n"/>
      <c r="B14" s="10" t="n"/>
      <c r="C14" s="14" t="n"/>
      <c r="D14" s="14" t="n"/>
      <c r="E14" s="9">
        <f>IF(OR(C14="",D14=""),"",(D14-C14)*100)</f>
        <v/>
      </c>
      <c r="F14" s="25">
        <f>IF($B14="","",IFERROR(INDEX('07_Stage_Calc'!$K:$K,MATCH($B14,'07_Stage_Calc'!$A:$A,0)),""))</f>
        <v/>
      </c>
      <c r="G14" s="25">
        <f>IF($B14="","",IFERROR(INDEX('07_Stage_Calc'!$L:$L,MATCH($B14,'07_Stage_Calc'!$A:$A,0)),""))</f>
        <v/>
      </c>
      <c r="H14" s="9">
        <f>IF(OR(C14="",F14=""),"",(C14-F14)*100)</f>
        <v/>
      </c>
      <c r="I14" s="9">
        <f>IF(OR(D14="",G14=""),"",(D14-G14)*100)</f>
        <v/>
      </c>
      <c r="J14" s="9">
        <f>IF(OR(E14="",F14="",G14=""),"",E14-(G14-F14)*100)</f>
        <v/>
      </c>
      <c r="K14" s="9">
        <f>IF(OR(H14="",I14="",J14=""),"",IF(MAX(ABS(H14),ABS(I14),ABS(J14))&lt;=$B$2,"GO",IF(MAX(ABS(H14),ABS(I14),ABS(J14))&lt;=$B$3,"RECALC","STOP")))</f>
        <v/>
      </c>
      <c r="L14" s="5" t="n"/>
    </row>
    <row r="15">
      <c r="A15" s="13" t="n"/>
      <c r="B15" s="10" t="n"/>
      <c r="C15" s="14" t="n"/>
      <c r="D15" s="14" t="n"/>
      <c r="E15" s="9">
        <f>IF(OR(C15="",D15=""),"",(D15-C15)*100)</f>
        <v/>
      </c>
      <c r="F15" s="25">
        <f>IF($B15="","",IFERROR(INDEX('07_Stage_Calc'!$K:$K,MATCH($B15,'07_Stage_Calc'!$A:$A,0)),""))</f>
        <v/>
      </c>
      <c r="G15" s="25">
        <f>IF($B15="","",IFERROR(INDEX('07_Stage_Calc'!$L:$L,MATCH($B15,'07_Stage_Calc'!$A:$A,0)),""))</f>
        <v/>
      </c>
      <c r="H15" s="9">
        <f>IF(OR(C15="",F15=""),"",(C15-F15)*100)</f>
        <v/>
      </c>
      <c r="I15" s="9">
        <f>IF(OR(D15="",G15=""),"",(D15-G15)*100)</f>
        <v/>
      </c>
      <c r="J15" s="9">
        <f>IF(OR(E15="",F15="",G15=""),"",E15-(G15-F15)*100)</f>
        <v/>
      </c>
      <c r="K15" s="9">
        <f>IF(OR(H15="",I15="",J15=""),"",IF(MAX(ABS(H15),ABS(I15),ABS(J15))&lt;=$B$2,"GO",IF(MAX(ABS(H15),ABS(I15),ABS(J15))&lt;=$B$3,"RECALC","STOP")))</f>
        <v/>
      </c>
      <c r="L15" s="5" t="n"/>
    </row>
    <row r="16">
      <c r="A16" s="13" t="n"/>
      <c r="B16" s="10" t="n"/>
      <c r="C16" s="14" t="n"/>
      <c r="D16" s="14" t="n"/>
      <c r="E16" s="9">
        <f>IF(OR(C16="",D16=""),"",(D16-C16)*100)</f>
        <v/>
      </c>
      <c r="F16" s="25">
        <f>IF($B16="","",IFERROR(INDEX('07_Stage_Calc'!$K:$K,MATCH($B16,'07_Stage_Calc'!$A:$A,0)),""))</f>
        <v/>
      </c>
      <c r="G16" s="25">
        <f>IF($B16="","",IFERROR(INDEX('07_Stage_Calc'!$L:$L,MATCH($B16,'07_Stage_Calc'!$A:$A,0)),""))</f>
        <v/>
      </c>
      <c r="H16" s="9">
        <f>IF(OR(C16="",F16=""),"",(C16-F16)*100)</f>
        <v/>
      </c>
      <c r="I16" s="9">
        <f>IF(OR(D16="",G16=""),"",(D16-G16)*100)</f>
        <v/>
      </c>
      <c r="J16" s="9">
        <f>IF(OR(E16="",F16="",G16=""),"",E16-(G16-F16)*100)</f>
        <v/>
      </c>
      <c r="K16" s="9">
        <f>IF(OR(H16="",I16="",J16=""),"",IF(MAX(ABS(H16),ABS(I16),ABS(J16))&lt;=$B$2,"GO",IF(MAX(ABS(H16),ABS(I16),ABS(J16))&lt;=$B$3,"RECALC","STOP")))</f>
        <v/>
      </c>
      <c r="L16" s="5" t="n"/>
    </row>
    <row r="17">
      <c r="A17" s="13" t="n"/>
      <c r="B17" s="10" t="n"/>
      <c r="C17" s="14" t="n"/>
      <c r="D17" s="14" t="n"/>
      <c r="E17" s="9">
        <f>IF(OR(C17="",D17=""),"",(D17-C17)*100)</f>
        <v/>
      </c>
      <c r="F17" s="25">
        <f>IF($B17="","",IFERROR(INDEX('07_Stage_Calc'!$K:$K,MATCH($B17,'07_Stage_Calc'!$A:$A,0)),""))</f>
        <v/>
      </c>
      <c r="G17" s="25">
        <f>IF($B17="","",IFERROR(INDEX('07_Stage_Calc'!$L:$L,MATCH($B17,'07_Stage_Calc'!$A:$A,0)),""))</f>
        <v/>
      </c>
      <c r="H17" s="9">
        <f>IF(OR(C17="",F17=""),"",(C17-F17)*100)</f>
        <v/>
      </c>
      <c r="I17" s="9">
        <f>IF(OR(D17="",G17=""),"",(D17-G17)*100)</f>
        <v/>
      </c>
      <c r="J17" s="9">
        <f>IF(OR(E17="",F17="",G17=""),"",E17-(G17-F17)*100)</f>
        <v/>
      </c>
      <c r="K17" s="9">
        <f>IF(OR(H17="",I17="",J17=""),"",IF(MAX(ABS(H17),ABS(I17),ABS(J17))&lt;=$B$2,"GO",IF(MAX(ABS(H17),ABS(I17),ABS(J17))&lt;=$B$3,"RECALC","STOP")))</f>
        <v/>
      </c>
      <c r="L17" s="5" t="n"/>
    </row>
    <row r="18">
      <c r="A18" s="13" t="n"/>
      <c r="B18" s="10" t="n"/>
      <c r="C18" s="14" t="n"/>
      <c r="D18" s="14" t="n"/>
      <c r="E18" s="9">
        <f>IF(OR(C18="",D18=""),"",(D18-C18)*100)</f>
        <v/>
      </c>
      <c r="F18" s="25">
        <f>IF($B18="","",IFERROR(INDEX('07_Stage_Calc'!$K:$K,MATCH($B18,'07_Stage_Calc'!$A:$A,0)),""))</f>
        <v/>
      </c>
      <c r="G18" s="25">
        <f>IF($B18="","",IFERROR(INDEX('07_Stage_Calc'!$L:$L,MATCH($B18,'07_Stage_Calc'!$A:$A,0)),""))</f>
        <v/>
      </c>
      <c r="H18" s="9">
        <f>IF(OR(C18="",F18=""),"",(C18-F18)*100)</f>
        <v/>
      </c>
      <c r="I18" s="9">
        <f>IF(OR(D18="",G18=""),"",(D18-G18)*100)</f>
        <v/>
      </c>
      <c r="J18" s="9">
        <f>IF(OR(E18="",F18="",G18=""),"",E18-(G18-F18)*100)</f>
        <v/>
      </c>
      <c r="K18" s="9">
        <f>IF(OR(H18="",I18="",J18=""),"",IF(MAX(ABS(H18),ABS(I18),ABS(J18))&lt;=$B$2,"GO",IF(MAX(ABS(H18),ABS(I18),ABS(J18))&lt;=$B$3,"RECALC","STOP")))</f>
        <v/>
      </c>
      <c r="L18" s="5" t="n"/>
    </row>
    <row r="19">
      <c r="A19" s="13" t="n"/>
      <c r="B19" s="10" t="n"/>
      <c r="C19" s="14" t="n"/>
      <c r="D19" s="14" t="n"/>
      <c r="E19" s="9">
        <f>IF(OR(C19="",D19=""),"",(D19-C19)*100)</f>
        <v/>
      </c>
      <c r="F19" s="25">
        <f>IF($B19="","",IFERROR(INDEX('07_Stage_Calc'!$K:$K,MATCH($B19,'07_Stage_Calc'!$A:$A,0)),""))</f>
        <v/>
      </c>
      <c r="G19" s="25">
        <f>IF($B19="","",IFERROR(INDEX('07_Stage_Calc'!$L:$L,MATCH($B19,'07_Stage_Calc'!$A:$A,0)),""))</f>
        <v/>
      </c>
      <c r="H19" s="9">
        <f>IF(OR(C19="",F19=""),"",(C19-F19)*100)</f>
        <v/>
      </c>
      <c r="I19" s="9">
        <f>IF(OR(D19="",G19=""),"",(D19-G19)*100)</f>
        <v/>
      </c>
      <c r="J19" s="9">
        <f>IF(OR(E19="",F19="",G19=""),"",E19-(G19-F19)*100)</f>
        <v/>
      </c>
      <c r="K19" s="9">
        <f>IF(OR(H19="",I19="",J19=""),"",IF(MAX(ABS(H19),ABS(I19),ABS(J19))&lt;=$B$2,"GO",IF(MAX(ABS(H19),ABS(I19),ABS(J19))&lt;=$B$3,"RECALC","STOP")))</f>
        <v/>
      </c>
      <c r="L19" s="5" t="n"/>
    </row>
    <row r="20">
      <c r="A20" s="13" t="n"/>
      <c r="B20" s="10" t="n"/>
      <c r="C20" s="14" t="n"/>
      <c r="D20" s="14" t="n"/>
      <c r="E20" s="9">
        <f>IF(OR(C20="",D20=""),"",(D20-C20)*100)</f>
        <v/>
      </c>
      <c r="F20" s="25">
        <f>IF($B20="","",IFERROR(INDEX('07_Stage_Calc'!$K:$K,MATCH($B20,'07_Stage_Calc'!$A:$A,0)),""))</f>
        <v/>
      </c>
      <c r="G20" s="25">
        <f>IF($B20="","",IFERROR(INDEX('07_Stage_Calc'!$L:$L,MATCH($B20,'07_Stage_Calc'!$A:$A,0)),""))</f>
        <v/>
      </c>
      <c r="H20" s="9">
        <f>IF(OR(C20="",F20=""),"",(C20-F20)*100)</f>
        <v/>
      </c>
      <c r="I20" s="9">
        <f>IF(OR(D20="",G20=""),"",(D20-G20)*100)</f>
        <v/>
      </c>
      <c r="J20" s="9">
        <f>IF(OR(E20="",F20="",G20=""),"",E20-(G20-F20)*100)</f>
        <v/>
      </c>
      <c r="K20" s="9">
        <f>IF(OR(H20="",I20="",J20=""),"",IF(MAX(ABS(H20),ABS(I20),ABS(J20))&lt;=$B$2,"GO",IF(MAX(ABS(H20),ABS(I20),ABS(J20))&lt;=$B$3,"RECALC","STOP")))</f>
        <v/>
      </c>
      <c r="L20" s="5" t="n"/>
    </row>
    <row r="21">
      <c r="A21" s="13" t="n"/>
      <c r="B21" s="10" t="n"/>
      <c r="C21" s="14" t="n"/>
      <c r="D21" s="14" t="n"/>
      <c r="E21" s="9">
        <f>IF(OR(C21="",D21=""),"",(D21-C21)*100)</f>
        <v/>
      </c>
      <c r="F21" s="25">
        <f>IF($B21="","",IFERROR(INDEX('07_Stage_Calc'!$K:$K,MATCH($B21,'07_Stage_Calc'!$A:$A,0)),""))</f>
        <v/>
      </c>
      <c r="G21" s="25">
        <f>IF($B21="","",IFERROR(INDEX('07_Stage_Calc'!$L:$L,MATCH($B21,'07_Stage_Calc'!$A:$A,0)),""))</f>
        <v/>
      </c>
      <c r="H21" s="9">
        <f>IF(OR(C21="",F21=""),"",(C21-F21)*100)</f>
        <v/>
      </c>
      <c r="I21" s="9">
        <f>IF(OR(D21="",G21=""),"",(D21-G21)*100)</f>
        <v/>
      </c>
      <c r="J21" s="9">
        <f>IF(OR(E21="",F21="",G21=""),"",E21-(G21-F21)*100)</f>
        <v/>
      </c>
      <c r="K21" s="9">
        <f>IF(OR(H21="",I21="",J21=""),"",IF(MAX(ABS(H21),ABS(I21),ABS(J21))&lt;=$B$2,"GO",IF(MAX(ABS(H21),ABS(I21),ABS(J21))&lt;=$B$3,"RECALC","STOP")))</f>
        <v/>
      </c>
      <c r="L21" s="5" t="n"/>
    </row>
    <row r="22">
      <c r="A22" s="13" t="n"/>
      <c r="B22" s="10" t="n"/>
      <c r="C22" s="14" t="n"/>
      <c r="D22" s="14" t="n"/>
      <c r="E22" s="9">
        <f>IF(OR(C22="",D22=""),"",(D22-C22)*100)</f>
        <v/>
      </c>
      <c r="F22" s="25">
        <f>IF($B22="","",IFERROR(INDEX('07_Stage_Calc'!$K:$K,MATCH($B22,'07_Stage_Calc'!$A:$A,0)),""))</f>
        <v/>
      </c>
      <c r="G22" s="25">
        <f>IF($B22="","",IFERROR(INDEX('07_Stage_Calc'!$L:$L,MATCH($B22,'07_Stage_Calc'!$A:$A,0)),""))</f>
        <v/>
      </c>
      <c r="H22" s="9">
        <f>IF(OR(C22="",F22=""),"",(C22-F22)*100)</f>
        <v/>
      </c>
      <c r="I22" s="9">
        <f>IF(OR(D22="",G22=""),"",(D22-G22)*100)</f>
        <v/>
      </c>
      <c r="J22" s="9">
        <f>IF(OR(E22="",F22="",G22=""),"",E22-(G22-F22)*100)</f>
        <v/>
      </c>
      <c r="K22" s="9">
        <f>IF(OR(H22="",I22="",J22=""),"",IF(MAX(ABS(H22),ABS(I22),ABS(J22))&lt;=$B$2,"GO",IF(MAX(ABS(H22),ABS(I22),ABS(J22))&lt;=$B$3,"RECALC","STOP")))</f>
        <v/>
      </c>
      <c r="L22" s="5" t="n"/>
    </row>
    <row r="23">
      <c r="A23" s="13" t="n"/>
      <c r="B23" s="10" t="n"/>
      <c r="C23" s="14" t="n"/>
      <c r="D23" s="14" t="n"/>
      <c r="E23" s="9">
        <f>IF(OR(C23="",D23=""),"",(D23-C23)*100)</f>
        <v/>
      </c>
      <c r="F23" s="25">
        <f>IF($B23="","",IFERROR(INDEX('07_Stage_Calc'!$K:$K,MATCH($B23,'07_Stage_Calc'!$A:$A,0)),""))</f>
        <v/>
      </c>
      <c r="G23" s="25">
        <f>IF($B23="","",IFERROR(INDEX('07_Stage_Calc'!$L:$L,MATCH($B23,'07_Stage_Calc'!$A:$A,0)),""))</f>
        <v/>
      </c>
      <c r="H23" s="9">
        <f>IF(OR(C23="",F23=""),"",(C23-F23)*100)</f>
        <v/>
      </c>
      <c r="I23" s="9">
        <f>IF(OR(D23="",G23=""),"",(D23-G23)*100)</f>
        <v/>
      </c>
      <c r="J23" s="9">
        <f>IF(OR(E23="",F23="",G23=""),"",E23-(G23-F23)*100)</f>
        <v/>
      </c>
      <c r="K23" s="9">
        <f>IF(OR(H23="",I23="",J23=""),"",IF(MAX(ABS(H23),ABS(I23),ABS(J23))&lt;=$B$2,"GO",IF(MAX(ABS(H23),ABS(I23),ABS(J23))&lt;=$B$3,"RECALC","STOP")))</f>
        <v/>
      </c>
      <c r="L23" s="5" t="n"/>
    </row>
    <row r="24">
      <c r="A24" s="13" t="n"/>
      <c r="B24" s="10" t="n"/>
      <c r="C24" s="14" t="n"/>
      <c r="D24" s="14" t="n"/>
      <c r="E24" s="9">
        <f>IF(OR(C24="",D24=""),"",(D24-C24)*100)</f>
        <v/>
      </c>
      <c r="F24" s="25">
        <f>IF($B24="","",IFERROR(INDEX('07_Stage_Calc'!$K:$K,MATCH($B24,'07_Stage_Calc'!$A:$A,0)),""))</f>
        <v/>
      </c>
      <c r="G24" s="25">
        <f>IF($B24="","",IFERROR(INDEX('07_Stage_Calc'!$L:$L,MATCH($B24,'07_Stage_Calc'!$A:$A,0)),""))</f>
        <v/>
      </c>
      <c r="H24" s="9">
        <f>IF(OR(C24="",F24=""),"",(C24-F24)*100)</f>
        <v/>
      </c>
      <c r="I24" s="9">
        <f>IF(OR(D24="",G24=""),"",(D24-G24)*100)</f>
        <v/>
      </c>
      <c r="J24" s="9">
        <f>IF(OR(E24="",F24="",G24=""),"",E24-(G24-F24)*100)</f>
        <v/>
      </c>
      <c r="K24" s="9">
        <f>IF(OR(H24="",I24="",J24=""),"",IF(MAX(ABS(H24),ABS(I24),ABS(J24))&lt;=$B$2,"GO",IF(MAX(ABS(H24),ABS(I24),ABS(J24))&lt;=$B$3,"RECALC","STOP")))</f>
        <v/>
      </c>
      <c r="L24" s="5" t="n"/>
    </row>
    <row r="25">
      <c r="A25" s="13" t="n"/>
      <c r="B25" s="10" t="n"/>
      <c r="C25" s="14" t="n"/>
      <c r="D25" s="14" t="n"/>
      <c r="E25" s="9">
        <f>IF(OR(C25="",D25=""),"",(D25-C25)*100)</f>
        <v/>
      </c>
      <c r="F25" s="25">
        <f>IF($B25="","",IFERROR(INDEX('07_Stage_Calc'!$K:$K,MATCH($B25,'07_Stage_Calc'!$A:$A,0)),""))</f>
        <v/>
      </c>
      <c r="G25" s="25">
        <f>IF($B25="","",IFERROR(INDEX('07_Stage_Calc'!$L:$L,MATCH($B25,'07_Stage_Calc'!$A:$A,0)),""))</f>
        <v/>
      </c>
      <c r="H25" s="9">
        <f>IF(OR(C25="",F25=""),"",(C25-F25)*100)</f>
        <v/>
      </c>
      <c r="I25" s="9">
        <f>IF(OR(D25="",G25=""),"",(D25-G25)*100)</f>
        <v/>
      </c>
      <c r="J25" s="9">
        <f>IF(OR(E25="",F25="",G25=""),"",E25-(G25-F25)*100)</f>
        <v/>
      </c>
      <c r="K25" s="9">
        <f>IF(OR(H25="",I25="",J25=""),"",IF(MAX(ABS(H25),ABS(I25),ABS(J25))&lt;=$B$2,"GO",IF(MAX(ABS(H25),ABS(I25),ABS(J25))&lt;=$B$3,"RECALC","STOP")))</f>
        <v/>
      </c>
      <c r="L25" s="5" t="n"/>
    </row>
    <row r="26">
      <c r="A26" s="13" t="n"/>
      <c r="B26" s="10" t="n"/>
      <c r="C26" s="14" t="n"/>
      <c r="D26" s="14" t="n"/>
      <c r="E26" s="9">
        <f>IF(OR(C26="",D26=""),"",(D26-C26)*100)</f>
        <v/>
      </c>
      <c r="F26" s="25">
        <f>IF($B26="","",IFERROR(INDEX('07_Stage_Calc'!$K:$K,MATCH($B26,'07_Stage_Calc'!$A:$A,0)),""))</f>
        <v/>
      </c>
      <c r="G26" s="25">
        <f>IF($B26="","",IFERROR(INDEX('07_Stage_Calc'!$L:$L,MATCH($B26,'07_Stage_Calc'!$A:$A,0)),""))</f>
        <v/>
      </c>
      <c r="H26" s="9">
        <f>IF(OR(C26="",F26=""),"",(C26-F26)*100)</f>
        <v/>
      </c>
      <c r="I26" s="9">
        <f>IF(OR(D26="",G26=""),"",(D26-G26)*100)</f>
        <v/>
      </c>
      <c r="J26" s="9">
        <f>IF(OR(E26="",F26="",G26=""),"",E26-(G26-F26)*100)</f>
        <v/>
      </c>
      <c r="K26" s="9">
        <f>IF(OR(H26="",I26="",J26=""),"",IF(MAX(ABS(H26),ABS(I26),ABS(J26))&lt;=$B$2,"GO",IF(MAX(ABS(H26),ABS(I26),ABS(J26))&lt;=$B$3,"RECALC","STOP")))</f>
        <v/>
      </c>
      <c r="L26" s="5" t="n"/>
    </row>
    <row r="27">
      <c r="A27" s="13" t="n"/>
      <c r="B27" s="10" t="n"/>
      <c r="C27" s="14" t="n"/>
      <c r="D27" s="14" t="n"/>
      <c r="E27" s="9">
        <f>IF(OR(C27="",D27=""),"",(D27-C27)*100)</f>
        <v/>
      </c>
      <c r="F27" s="25">
        <f>IF($B27="","",IFERROR(INDEX('07_Stage_Calc'!$K:$K,MATCH($B27,'07_Stage_Calc'!$A:$A,0)),""))</f>
        <v/>
      </c>
      <c r="G27" s="25">
        <f>IF($B27="","",IFERROR(INDEX('07_Stage_Calc'!$L:$L,MATCH($B27,'07_Stage_Calc'!$A:$A,0)),""))</f>
        <v/>
      </c>
      <c r="H27" s="9">
        <f>IF(OR(C27="",F27=""),"",(C27-F27)*100)</f>
        <v/>
      </c>
      <c r="I27" s="9">
        <f>IF(OR(D27="",G27=""),"",(D27-G27)*100)</f>
        <v/>
      </c>
      <c r="J27" s="9">
        <f>IF(OR(E27="",F27="",G27=""),"",E27-(G27-F27)*100)</f>
        <v/>
      </c>
      <c r="K27" s="9">
        <f>IF(OR(H27="",I27="",J27=""),"",IF(MAX(ABS(H27),ABS(I27),ABS(J27))&lt;=$B$2,"GO",IF(MAX(ABS(H27),ABS(I27),ABS(J27))&lt;=$B$3,"RECALC","STOP")))</f>
        <v/>
      </c>
      <c r="L27" s="5" t="n"/>
    </row>
    <row r="28">
      <c r="A28" s="13" t="n"/>
      <c r="B28" s="10" t="n"/>
      <c r="C28" s="14" t="n"/>
      <c r="D28" s="14" t="n"/>
      <c r="E28" s="9">
        <f>IF(OR(C28="",D28=""),"",(D28-C28)*100)</f>
        <v/>
      </c>
      <c r="F28" s="25">
        <f>IF($B28="","",IFERROR(INDEX('07_Stage_Calc'!$K:$K,MATCH($B28,'07_Stage_Calc'!$A:$A,0)),""))</f>
        <v/>
      </c>
      <c r="G28" s="25">
        <f>IF($B28="","",IFERROR(INDEX('07_Stage_Calc'!$L:$L,MATCH($B28,'07_Stage_Calc'!$A:$A,0)),""))</f>
        <v/>
      </c>
      <c r="H28" s="9">
        <f>IF(OR(C28="",F28=""),"",(C28-F28)*100)</f>
        <v/>
      </c>
      <c r="I28" s="9">
        <f>IF(OR(D28="",G28=""),"",(D28-G28)*100)</f>
        <v/>
      </c>
      <c r="J28" s="9">
        <f>IF(OR(E28="",F28="",G28=""),"",E28-(G28-F28)*100)</f>
        <v/>
      </c>
      <c r="K28" s="9">
        <f>IF(OR(H28="",I28="",J28=""),"",IF(MAX(ABS(H28),ABS(I28),ABS(J28))&lt;=$B$2,"GO",IF(MAX(ABS(H28),ABS(I28),ABS(J28))&lt;=$B$3,"RECALC","STOP")))</f>
        <v/>
      </c>
      <c r="L28" s="5" t="n"/>
    </row>
    <row r="29">
      <c r="A29" s="13" t="n"/>
      <c r="B29" s="10" t="n"/>
      <c r="C29" s="14" t="n"/>
      <c r="D29" s="14" t="n"/>
      <c r="E29" s="9">
        <f>IF(OR(C29="",D29=""),"",(D29-C29)*100)</f>
        <v/>
      </c>
      <c r="F29" s="25">
        <f>IF($B29="","",IFERROR(INDEX('07_Stage_Calc'!$K:$K,MATCH($B29,'07_Stage_Calc'!$A:$A,0)),""))</f>
        <v/>
      </c>
      <c r="G29" s="25">
        <f>IF($B29="","",IFERROR(INDEX('07_Stage_Calc'!$L:$L,MATCH($B29,'07_Stage_Calc'!$A:$A,0)),""))</f>
        <v/>
      </c>
      <c r="H29" s="9">
        <f>IF(OR(C29="",F29=""),"",(C29-F29)*100)</f>
        <v/>
      </c>
      <c r="I29" s="9">
        <f>IF(OR(D29="",G29=""),"",(D29-G29)*100)</f>
        <v/>
      </c>
      <c r="J29" s="9">
        <f>IF(OR(E29="",F29="",G29=""),"",E29-(G29-F29)*100)</f>
        <v/>
      </c>
      <c r="K29" s="9">
        <f>IF(OR(H29="",I29="",J29=""),"",IF(MAX(ABS(H29),ABS(I29),ABS(J29))&lt;=$B$2,"GO",IF(MAX(ABS(H29),ABS(I29),ABS(J29))&lt;=$B$3,"RECALC","STOP")))</f>
        <v/>
      </c>
      <c r="L29" s="5" t="n"/>
    </row>
    <row r="30">
      <c r="A30" s="13" t="n"/>
      <c r="B30" s="10" t="n"/>
      <c r="C30" s="14" t="n"/>
      <c r="D30" s="14" t="n"/>
      <c r="E30" s="9">
        <f>IF(OR(C30="",D30=""),"",(D30-C30)*100)</f>
        <v/>
      </c>
      <c r="F30" s="25">
        <f>IF($B30="","",IFERROR(INDEX('07_Stage_Calc'!$K:$K,MATCH($B30,'07_Stage_Calc'!$A:$A,0)),""))</f>
        <v/>
      </c>
      <c r="G30" s="25">
        <f>IF($B30="","",IFERROR(INDEX('07_Stage_Calc'!$L:$L,MATCH($B30,'07_Stage_Calc'!$A:$A,0)),""))</f>
        <v/>
      </c>
      <c r="H30" s="9">
        <f>IF(OR(C30="",F30=""),"",(C30-F30)*100)</f>
        <v/>
      </c>
      <c r="I30" s="9">
        <f>IF(OR(D30="",G30=""),"",(D30-G30)*100)</f>
        <v/>
      </c>
      <c r="J30" s="9">
        <f>IF(OR(E30="",F30="",G30=""),"",E30-(G30-F30)*100)</f>
        <v/>
      </c>
      <c r="K30" s="9">
        <f>IF(OR(H30="",I30="",J30=""),"",IF(MAX(ABS(H30),ABS(I30),ABS(J30))&lt;=$B$2,"GO",IF(MAX(ABS(H30),ABS(I30),ABS(J30))&lt;=$B$3,"RECALC","STOP")))</f>
        <v/>
      </c>
      <c r="L30" s="5" t="n"/>
    </row>
    <row r="31">
      <c r="A31" s="13" t="n"/>
      <c r="B31" s="10" t="n"/>
      <c r="C31" s="14" t="n"/>
      <c r="D31" s="14" t="n"/>
      <c r="E31" s="9">
        <f>IF(OR(C31="",D31=""),"",(D31-C31)*100)</f>
        <v/>
      </c>
      <c r="F31" s="25">
        <f>IF($B31="","",IFERROR(INDEX('07_Stage_Calc'!$K:$K,MATCH($B31,'07_Stage_Calc'!$A:$A,0)),""))</f>
        <v/>
      </c>
      <c r="G31" s="25">
        <f>IF($B31="","",IFERROR(INDEX('07_Stage_Calc'!$L:$L,MATCH($B31,'07_Stage_Calc'!$A:$A,0)),""))</f>
        <v/>
      </c>
      <c r="H31" s="9">
        <f>IF(OR(C31="",F31=""),"",(C31-F31)*100)</f>
        <v/>
      </c>
      <c r="I31" s="9">
        <f>IF(OR(D31="",G31=""),"",(D31-G31)*100)</f>
        <v/>
      </c>
      <c r="J31" s="9">
        <f>IF(OR(E31="",F31="",G31=""),"",E31-(G31-F31)*100)</f>
        <v/>
      </c>
      <c r="K31" s="9">
        <f>IF(OR(H31="",I31="",J31=""),"",IF(MAX(ABS(H31),ABS(I31),ABS(J31))&lt;=$B$2,"GO",IF(MAX(ABS(H31),ABS(I31),ABS(J31))&lt;=$B$3,"RECALC","STOP")))</f>
        <v/>
      </c>
      <c r="L31" s="5" t="n"/>
    </row>
    <row r="32">
      <c r="A32" s="13" t="n"/>
      <c r="B32" s="10" t="n"/>
      <c r="C32" s="14" t="n"/>
      <c r="D32" s="14" t="n"/>
      <c r="E32" s="9">
        <f>IF(OR(C32="",D32=""),"",(D32-C32)*100)</f>
        <v/>
      </c>
      <c r="F32" s="25">
        <f>IF($B32="","",IFERROR(INDEX('07_Stage_Calc'!$K:$K,MATCH($B32,'07_Stage_Calc'!$A:$A,0)),""))</f>
        <v/>
      </c>
      <c r="G32" s="25">
        <f>IF($B32="","",IFERROR(INDEX('07_Stage_Calc'!$L:$L,MATCH($B32,'07_Stage_Calc'!$A:$A,0)),""))</f>
        <v/>
      </c>
      <c r="H32" s="9">
        <f>IF(OR(C32="",F32=""),"",(C32-F32)*100)</f>
        <v/>
      </c>
      <c r="I32" s="9">
        <f>IF(OR(D32="",G32=""),"",(D32-G32)*100)</f>
        <v/>
      </c>
      <c r="J32" s="9">
        <f>IF(OR(E32="",F32="",G32=""),"",E32-(G32-F32)*100)</f>
        <v/>
      </c>
      <c r="K32" s="9">
        <f>IF(OR(H32="",I32="",J32=""),"",IF(MAX(ABS(H32),ABS(I32),ABS(J32))&lt;=$B$2,"GO",IF(MAX(ABS(H32),ABS(I32),ABS(J32))&lt;=$B$3,"RECALC","STOP")))</f>
        <v/>
      </c>
      <c r="L32" s="5" t="n"/>
    </row>
    <row r="33">
      <c r="A33" s="13" t="n"/>
      <c r="B33" s="10" t="n"/>
      <c r="C33" s="14" t="n"/>
      <c r="D33" s="14" t="n"/>
      <c r="E33" s="9">
        <f>IF(OR(C33="",D33=""),"",(D33-C33)*100)</f>
        <v/>
      </c>
      <c r="F33" s="25">
        <f>IF($B33="","",IFERROR(INDEX('07_Stage_Calc'!$K:$K,MATCH($B33,'07_Stage_Calc'!$A:$A,0)),""))</f>
        <v/>
      </c>
      <c r="G33" s="25">
        <f>IF($B33="","",IFERROR(INDEX('07_Stage_Calc'!$L:$L,MATCH($B33,'07_Stage_Calc'!$A:$A,0)),""))</f>
        <v/>
      </c>
      <c r="H33" s="9">
        <f>IF(OR(C33="",F33=""),"",(C33-F33)*100)</f>
        <v/>
      </c>
      <c r="I33" s="9">
        <f>IF(OR(D33="",G33=""),"",(D33-G33)*100)</f>
        <v/>
      </c>
      <c r="J33" s="9">
        <f>IF(OR(E33="",F33="",G33=""),"",E33-(G33-F33)*100)</f>
        <v/>
      </c>
      <c r="K33" s="9">
        <f>IF(OR(H33="",I33="",J33=""),"",IF(MAX(ABS(H33),ABS(I33),ABS(J33))&lt;=$B$2,"GO",IF(MAX(ABS(H33),ABS(I33),ABS(J33))&lt;=$B$3,"RECALC","STOP")))</f>
        <v/>
      </c>
      <c r="L33" s="5" t="n"/>
    </row>
    <row r="34">
      <c r="A34" s="13" t="n"/>
      <c r="B34" s="10" t="n"/>
      <c r="C34" s="14" t="n"/>
      <c r="D34" s="14" t="n"/>
      <c r="E34" s="9">
        <f>IF(OR(C34="",D34=""),"",(D34-C34)*100)</f>
        <v/>
      </c>
      <c r="F34" s="25">
        <f>IF($B34="","",IFERROR(INDEX('07_Stage_Calc'!$K:$K,MATCH($B34,'07_Stage_Calc'!$A:$A,0)),""))</f>
        <v/>
      </c>
      <c r="G34" s="25">
        <f>IF($B34="","",IFERROR(INDEX('07_Stage_Calc'!$L:$L,MATCH($B34,'07_Stage_Calc'!$A:$A,0)),""))</f>
        <v/>
      </c>
      <c r="H34" s="9">
        <f>IF(OR(C34="",F34=""),"",(C34-F34)*100)</f>
        <v/>
      </c>
      <c r="I34" s="9">
        <f>IF(OR(D34="",G34=""),"",(D34-G34)*100)</f>
        <v/>
      </c>
      <c r="J34" s="9">
        <f>IF(OR(E34="",F34="",G34=""),"",E34-(G34-F34)*100)</f>
        <v/>
      </c>
      <c r="K34" s="9">
        <f>IF(OR(H34="",I34="",J34=""),"",IF(MAX(ABS(H34),ABS(I34),ABS(J34))&lt;=$B$2,"GO",IF(MAX(ABS(H34),ABS(I34),ABS(J34))&lt;=$B$3,"RECALC","STOP")))</f>
        <v/>
      </c>
      <c r="L34" s="5" t="n"/>
    </row>
    <row r="35">
      <c r="A35" s="13" t="n"/>
      <c r="B35" s="10" t="n"/>
      <c r="C35" s="14" t="n"/>
      <c r="D35" s="14" t="n"/>
      <c r="E35" s="9">
        <f>IF(OR(C35="",D35=""),"",(D35-C35)*100)</f>
        <v/>
      </c>
      <c r="F35" s="25">
        <f>IF($B35="","",IFERROR(INDEX('07_Stage_Calc'!$K:$K,MATCH($B35,'07_Stage_Calc'!$A:$A,0)),""))</f>
        <v/>
      </c>
      <c r="G35" s="25">
        <f>IF($B35="","",IFERROR(INDEX('07_Stage_Calc'!$L:$L,MATCH($B35,'07_Stage_Calc'!$A:$A,0)),""))</f>
        <v/>
      </c>
      <c r="H35" s="9">
        <f>IF(OR(C35="",F35=""),"",(C35-F35)*100)</f>
        <v/>
      </c>
      <c r="I35" s="9">
        <f>IF(OR(D35="",G35=""),"",(D35-G35)*100)</f>
        <v/>
      </c>
      <c r="J35" s="9">
        <f>IF(OR(E35="",F35="",G35=""),"",E35-(G35-F35)*100)</f>
        <v/>
      </c>
      <c r="K35" s="9">
        <f>IF(OR(H35="",I35="",J35=""),"",IF(MAX(ABS(H35),ABS(I35),ABS(J35))&lt;=$B$2,"GO",IF(MAX(ABS(H35),ABS(I35),ABS(J35))&lt;=$B$3,"RECALC","STOP")))</f>
        <v/>
      </c>
      <c r="L35" s="5" t="n"/>
    </row>
    <row r="36">
      <c r="A36" s="13" t="n"/>
      <c r="B36" s="10" t="n"/>
      <c r="C36" s="14" t="n"/>
      <c r="D36" s="14" t="n"/>
      <c r="E36" s="9">
        <f>IF(OR(C36="",D36=""),"",(D36-C36)*100)</f>
        <v/>
      </c>
      <c r="F36" s="25">
        <f>IF($B36="","",IFERROR(INDEX('07_Stage_Calc'!$K:$K,MATCH($B36,'07_Stage_Calc'!$A:$A,0)),""))</f>
        <v/>
      </c>
      <c r="G36" s="25">
        <f>IF($B36="","",IFERROR(INDEX('07_Stage_Calc'!$L:$L,MATCH($B36,'07_Stage_Calc'!$A:$A,0)),""))</f>
        <v/>
      </c>
      <c r="H36" s="9">
        <f>IF(OR(C36="",F36=""),"",(C36-F36)*100)</f>
        <v/>
      </c>
      <c r="I36" s="9">
        <f>IF(OR(D36="",G36=""),"",(D36-G36)*100)</f>
        <v/>
      </c>
      <c r="J36" s="9">
        <f>IF(OR(E36="",F36="",G36=""),"",E36-(G36-F36)*100)</f>
        <v/>
      </c>
      <c r="K36" s="9">
        <f>IF(OR(H36="",I36="",J36=""),"",IF(MAX(ABS(H36),ABS(I36),ABS(J36))&lt;=$B$2,"GO",IF(MAX(ABS(H36),ABS(I36),ABS(J36))&lt;=$B$3,"RECALC","STOP")))</f>
        <v/>
      </c>
      <c r="L36" s="5" t="n"/>
    </row>
    <row r="37">
      <c r="A37" s="13" t="n"/>
      <c r="B37" s="10" t="n"/>
      <c r="C37" s="14" t="n"/>
      <c r="D37" s="14" t="n"/>
      <c r="E37" s="9">
        <f>IF(OR(C37="",D37=""),"",(D37-C37)*100)</f>
        <v/>
      </c>
      <c r="F37" s="25">
        <f>IF($B37="","",IFERROR(INDEX('07_Stage_Calc'!$K:$K,MATCH($B37,'07_Stage_Calc'!$A:$A,0)),""))</f>
        <v/>
      </c>
      <c r="G37" s="25">
        <f>IF($B37="","",IFERROR(INDEX('07_Stage_Calc'!$L:$L,MATCH($B37,'07_Stage_Calc'!$A:$A,0)),""))</f>
        <v/>
      </c>
      <c r="H37" s="9">
        <f>IF(OR(C37="",F37=""),"",(C37-F37)*100)</f>
        <v/>
      </c>
      <c r="I37" s="9">
        <f>IF(OR(D37="",G37=""),"",(D37-G37)*100)</f>
        <v/>
      </c>
      <c r="J37" s="9">
        <f>IF(OR(E37="",F37="",G37=""),"",E37-(G37-F37)*100)</f>
        <v/>
      </c>
      <c r="K37" s="9">
        <f>IF(OR(H37="",I37="",J37=""),"",IF(MAX(ABS(H37),ABS(I37),ABS(J37))&lt;=$B$2,"GO",IF(MAX(ABS(H37),ABS(I37),ABS(J37))&lt;=$B$3,"RECALC","STOP")))</f>
        <v/>
      </c>
      <c r="L37" s="5" t="n"/>
    </row>
    <row r="38">
      <c r="A38" s="13" t="n"/>
      <c r="B38" s="10" t="n"/>
      <c r="C38" s="14" t="n"/>
      <c r="D38" s="14" t="n"/>
      <c r="E38" s="9">
        <f>IF(OR(C38="",D38=""),"",(D38-C38)*100)</f>
        <v/>
      </c>
      <c r="F38" s="25">
        <f>IF($B38="","",IFERROR(INDEX('07_Stage_Calc'!$K:$K,MATCH($B38,'07_Stage_Calc'!$A:$A,0)),""))</f>
        <v/>
      </c>
      <c r="G38" s="25">
        <f>IF($B38="","",IFERROR(INDEX('07_Stage_Calc'!$L:$L,MATCH($B38,'07_Stage_Calc'!$A:$A,0)),""))</f>
        <v/>
      </c>
      <c r="H38" s="9">
        <f>IF(OR(C38="",F38=""),"",(C38-F38)*100)</f>
        <v/>
      </c>
      <c r="I38" s="9">
        <f>IF(OR(D38="",G38=""),"",(D38-G38)*100)</f>
        <v/>
      </c>
      <c r="J38" s="9">
        <f>IF(OR(E38="",F38="",G38=""),"",E38-(G38-F38)*100)</f>
        <v/>
      </c>
      <c r="K38" s="9">
        <f>IF(OR(H38="",I38="",J38=""),"",IF(MAX(ABS(H38),ABS(I38),ABS(J38))&lt;=$B$2,"GO",IF(MAX(ABS(H38),ABS(I38),ABS(J38))&lt;=$B$3,"RECALC","STOP")))</f>
        <v/>
      </c>
      <c r="L38" s="5" t="n"/>
    </row>
    <row r="39">
      <c r="A39" s="13" t="n"/>
      <c r="B39" s="10" t="n"/>
      <c r="C39" s="14" t="n"/>
      <c r="D39" s="14" t="n"/>
      <c r="E39" s="9">
        <f>IF(OR(C39="",D39=""),"",(D39-C39)*100)</f>
        <v/>
      </c>
      <c r="F39" s="25">
        <f>IF($B39="","",IFERROR(INDEX('07_Stage_Calc'!$K:$K,MATCH($B39,'07_Stage_Calc'!$A:$A,0)),""))</f>
        <v/>
      </c>
      <c r="G39" s="25">
        <f>IF($B39="","",IFERROR(INDEX('07_Stage_Calc'!$L:$L,MATCH($B39,'07_Stage_Calc'!$A:$A,0)),""))</f>
        <v/>
      </c>
      <c r="H39" s="9">
        <f>IF(OR(C39="",F39=""),"",(C39-F39)*100)</f>
        <v/>
      </c>
      <c r="I39" s="9">
        <f>IF(OR(D39="",G39=""),"",(D39-G39)*100)</f>
        <v/>
      </c>
      <c r="J39" s="9">
        <f>IF(OR(E39="",F39="",G39=""),"",E39-(G39-F39)*100)</f>
        <v/>
      </c>
      <c r="K39" s="9">
        <f>IF(OR(H39="",I39="",J39=""),"",IF(MAX(ABS(H39),ABS(I39),ABS(J39))&lt;=$B$2,"GO",IF(MAX(ABS(H39),ABS(I39),ABS(J39))&lt;=$B$3,"RECALC","STOP")))</f>
        <v/>
      </c>
      <c r="L39" s="5" t="n"/>
    </row>
    <row r="40">
      <c r="A40" s="13" t="n"/>
      <c r="B40" s="10" t="n"/>
      <c r="C40" s="14" t="n"/>
      <c r="D40" s="14" t="n"/>
      <c r="E40" s="9">
        <f>IF(OR(C40="",D40=""),"",(D40-C40)*100)</f>
        <v/>
      </c>
      <c r="F40" s="25">
        <f>IF($B40="","",IFERROR(INDEX('07_Stage_Calc'!$K:$K,MATCH($B40,'07_Stage_Calc'!$A:$A,0)),""))</f>
        <v/>
      </c>
      <c r="G40" s="25">
        <f>IF($B40="","",IFERROR(INDEX('07_Stage_Calc'!$L:$L,MATCH($B40,'07_Stage_Calc'!$A:$A,0)),""))</f>
        <v/>
      </c>
      <c r="H40" s="9">
        <f>IF(OR(C40="",F40=""),"",(C40-F40)*100)</f>
        <v/>
      </c>
      <c r="I40" s="9">
        <f>IF(OR(D40="",G40=""),"",(D40-G40)*100)</f>
        <v/>
      </c>
      <c r="J40" s="9">
        <f>IF(OR(E40="",F40="",G40=""),"",E40-(G40-F40)*100)</f>
        <v/>
      </c>
      <c r="K40" s="9">
        <f>IF(OR(H40="",I40="",J40=""),"",IF(MAX(ABS(H40),ABS(I40),ABS(J40))&lt;=$B$2,"GO",IF(MAX(ABS(H40),ABS(I40),ABS(J40))&lt;=$B$3,"RECALC","STOP")))</f>
        <v/>
      </c>
      <c r="L40" s="5" t="n"/>
    </row>
    <row r="41">
      <c r="A41" s="13" t="n"/>
      <c r="B41" s="10" t="n"/>
      <c r="C41" s="14" t="n"/>
      <c r="D41" s="14" t="n"/>
      <c r="E41" s="9">
        <f>IF(OR(C41="",D41=""),"",(D41-C41)*100)</f>
        <v/>
      </c>
      <c r="F41" s="25">
        <f>IF($B41="","",IFERROR(INDEX('07_Stage_Calc'!$K:$K,MATCH($B41,'07_Stage_Calc'!$A:$A,0)),""))</f>
        <v/>
      </c>
      <c r="G41" s="25">
        <f>IF($B41="","",IFERROR(INDEX('07_Stage_Calc'!$L:$L,MATCH($B41,'07_Stage_Calc'!$A:$A,0)),""))</f>
        <v/>
      </c>
      <c r="H41" s="9">
        <f>IF(OR(C41="",F41=""),"",(C41-F41)*100)</f>
        <v/>
      </c>
      <c r="I41" s="9">
        <f>IF(OR(D41="",G41=""),"",(D41-G41)*100)</f>
        <v/>
      </c>
      <c r="J41" s="9">
        <f>IF(OR(E41="",F41="",G41=""),"",E41-(G41-F41)*100)</f>
        <v/>
      </c>
      <c r="K41" s="9">
        <f>IF(OR(H41="",I41="",J41=""),"",IF(MAX(ABS(H41),ABS(I41),ABS(J41))&lt;=$B$2,"GO",IF(MAX(ABS(H41),ABS(I41),ABS(J41))&lt;=$B$3,"RECALC","STOP")))</f>
        <v/>
      </c>
      <c r="L41" s="5" t="n"/>
    </row>
    <row r="42">
      <c r="A42" s="13" t="n"/>
      <c r="B42" s="10" t="n"/>
      <c r="C42" s="14" t="n"/>
      <c r="D42" s="14" t="n"/>
      <c r="E42" s="9">
        <f>IF(OR(C42="",D42=""),"",(D42-C42)*100)</f>
        <v/>
      </c>
      <c r="F42" s="25">
        <f>IF($B42="","",IFERROR(INDEX('07_Stage_Calc'!$K:$K,MATCH($B42,'07_Stage_Calc'!$A:$A,0)),""))</f>
        <v/>
      </c>
      <c r="G42" s="25">
        <f>IF($B42="","",IFERROR(INDEX('07_Stage_Calc'!$L:$L,MATCH($B42,'07_Stage_Calc'!$A:$A,0)),""))</f>
        <v/>
      </c>
      <c r="H42" s="9">
        <f>IF(OR(C42="",F42=""),"",(C42-F42)*100)</f>
        <v/>
      </c>
      <c r="I42" s="9">
        <f>IF(OR(D42="",G42=""),"",(D42-G42)*100)</f>
        <v/>
      </c>
      <c r="J42" s="9">
        <f>IF(OR(E42="",F42="",G42=""),"",E42-(G42-F42)*100)</f>
        <v/>
      </c>
      <c r="K42" s="9">
        <f>IF(OR(H42="",I42="",J42=""),"",IF(MAX(ABS(H42),ABS(I42),ABS(J42))&lt;=$B$2,"GO",IF(MAX(ABS(H42),ABS(I42),ABS(J42))&lt;=$B$3,"RECALC","STOP")))</f>
        <v/>
      </c>
      <c r="L42" s="5" t="n"/>
    </row>
    <row r="43">
      <c r="A43" s="13" t="n"/>
      <c r="B43" s="10" t="n"/>
      <c r="C43" s="14" t="n"/>
      <c r="D43" s="14" t="n"/>
      <c r="E43" s="9">
        <f>IF(OR(C43="",D43=""),"",(D43-C43)*100)</f>
        <v/>
      </c>
      <c r="F43" s="25">
        <f>IF($B43="","",IFERROR(INDEX('07_Stage_Calc'!$K:$K,MATCH($B43,'07_Stage_Calc'!$A:$A,0)),""))</f>
        <v/>
      </c>
      <c r="G43" s="25">
        <f>IF($B43="","",IFERROR(INDEX('07_Stage_Calc'!$L:$L,MATCH($B43,'07_Stage_Calc'!$A:$A,0)),""))</f>
        <v/>
      </c>
      <c r="H43" s="9">
        <f>IF(OR(C43="",F43=""),"",(C43-F43)*100)</f>
        <v/>
      </c>
      <c r="I43" s="9">
        <f>IF(OR(D43="",G43=""),"",(D43-G43)*100)</f>
        <v/>
      </c>
      <c r="J43" s="9">
        <f>IF(OR(E43="",F43="",G43=""),"",E43-(G43-F43)*100)</f>
        <v/>
      </c>
      <c r="K43" s="9">
        <f>IF(OR(H43="",I43="",J43=""),"",IF(MAX(ABS(H43),ABS(I43),ABS(J43))&lt;=$B$2,"GO",IF(MAX(ABS(H43),ABS(I43),ABS(J43))&lt;=$B$3,"RECALC","STOP")))</f>
        <v/>
      </c>
      <c r="L43" s="5" t="n"/>
    </row>
    <row r="44">
      <c r="A44" s="13" t="n"/>
      <c r="B44" s="10" t="n"/>
      <c r="C44" s="14" t="n"/>
      <c r="D44" s="14" t="n"/>
      <c r="E44" s="9">
        <f>IF(OR(C44="",D44=""),"",(D44-C44)*100)</f>
        <v/>
      </c>
      <c r="F44" s="25">
        <f>IF($B44="","",IFERROR(INDEX('07_Stage_Calc'!$K:$K,MATCH($B44,'07_Stage_Calc'!$A:$A,0)),""))</f>
        <v/>
      </c>
      <c r="G44" s="25">
        <f>IF($B44="","",IFERROR(INDEX('07_Stage_Calc'!$L:$L,MATCH($B44,'07_Stage_Calc'!$A:$A,0)),""))</f>
        <v/>
      </c>
      <c r="H44" s="9">
        <f>IF(OR(C44="",F44=""),"",(C44-F44)*100)</f>
        <v/>
      </c>
      <c r="I44" s="9">
        <f>IF(OR(D44="",G44=""),"",(D44-G44)*100)</f>
        <v/>
      </c>
      <c r="J44" s="9">
        <f>IF(OR(E44="",F44="",G44=""),"",E44-(G44-F44)*100)</f>
        <v/>
      </c>
      <c r="K44" s="9">
        <f>IF(OR(H44="",I44="",J44=""),"",IF(MAX(ABS(H44),ABS(I44),ABS(J44))&lt;=$B$2,"GO",IF(MAX(ABS(H44),ABS(I44),ABS(J44))&lt;=$B$3,"RECALC","STOP")))</f>
        <v/>
      </c>
      <c r="L44" s="5" t="n"/>
    </row>
    <row r="45">
      <c r="A45" s="13" t="n"/>
      <c r="B45" s="10" t="n"/>
      <c r="C45" s="14" t="n"/>
      <c r="D45" s="14" t="n"/>
      <c r="E45" s="9">
        <f>IF(OR(C45="",D45=""),"",(D45-C45)*100)</f>
        <v/>
      </c>
      <c r="F45" s="25">
        <f>IF($B45="","",IFERROR(INDEX('07_Stage_Calc'!$K:$K,MATCH($B45,'07_Stage_Calc'!$A:$A,0)),""))</f>
        <v/>
      </c>
      <c r="G45" s="25">
        <f>IF($B45="","",IFERROR(INDEX('07_Stage_Calc'!$L:$L,MATCH($B45,'07_Stage_Calc'!$A:$A,0)),""))</f>
        <v/>
      </c>
      <c r="H45" s="9">
        <f>IF(OR(C45="",F45=""),"",(C45-F45)*100)</f>
        <v/>
      </c>
      <c r="I45" s="9">
        <f>IF(OR(D45="",G45=""),"",(D45-G45)*100)</f>
        <v/>
      </c>
      <c r="J45" s="9">
        <f>IF(OR(E45="",F45="",G45=""),"",E45-(G45-F45)*100)</f>
        <v/>
      </c>
      <c r="K45" s="9">
        <f>IF(OR(H45="",I45="",J45=""),"",IF(MAX(ABS(H45),ABS(I45),ABS(J45))&lt;=$B$2,"GO",IF(MAX(ABS(H45),ABS(I45),ABS(J45))&lt;=$B$3,"RECALC","STOP")))</f>
        <v/>
      </c>
      <c r="L45" s="5" t="n"/>
    </row>
    <row r="46">
      <c r="A46" s="13" t="n"/>
      <c r="B46" s="10" t="n"/>
      <c r="C46" s="14" t="n"/>
      <c r="D46" s="14" t="n"/>
      <c r="E46" s="9">
        <f>IF(OR(C46="",D46=""),"",(D46-C46)*100)</f>
        <v/>
      </c>
      <c r="F46" s="25">
        <f>IF($B46="","",IFERROR(INDEX('07_Stage_Calc'!$K:$K,MATCH($B46,'07_Stage_Calc'!$A:$A,0)),""))</f>
        <v/>
      </c>
      <c r="G46" s="25">
        <f>IF($B46="","",IFERROR(INDEX('07_Stage_Calc'!$L:$L,MATCH($B46,'07_Stage_Calc'!$A:$A,0)),""))</f>
        <v/>
      </c>
      <c r="H46" s="9">
        <f>IF(OR(C46="",F46=""),"",(C46-F46)*100)</f>
        <v/>
      </c>
      <c r="I46" s="9">
        <f>IF(OR(D46="",G46=""),"",(D46-G46)*100)</f>
        <v/>
      </c>
      <c r="J46" s="9">
        <f>IF(OR(E46="",F46="",G46=""),"",E46-(G46-F46)*100)</f>
        <v/>
      </c>
      <c r="K46" s="9">
        <f>IF(OR(H46="",I46="",J46=""),"",IF(MAX(ABS(H46),ABS(I46),ABS(J46))&lt;=$B$2,"GO",IF(MAX(ABS(H46),ABS(I46),ABS(J46))&lt;=$B$3,"RECALC","STOP")))</f>
        <v/>
      </c>
      <c r="L46" s="5" t="n"/>
    </row>
    <row r="47">
      <c r="A47" s="13" t="n"/>
      <c r="B47" s="10" t="n"/>
      <c r="C47" s="14" t="n"/>
      <c r="D47" s="14" t="n"/>
      <c r="E47" s="9">
        <f>IF(OR(C47="",D47=""),"",(D47-C47)*100)</f>
        <v/>
      </c>
      <c r="F47" s="25">
        <f>IF($B47="","",IFERROR(INDEX('07_Stage_Calc'!$K:$K,MATCH($B47,'07_Stage_Calc'!$A:$A,0)),""))</f>
        <v/>
      </c>
      <c r="G47" s="25">
        <f>IF($B47="","",IFERROR(INDEX('07_Stage_Calc'!$L:$L,MATCH($B47,'07_Stage_Calc'!$A:$A,0)),""))</f>
        <v/>
      </c>
      <c r="H47" s="9">
        <f>IF(OR(C47="",F47=""),"",(C47-F47)*100)</f>
        <v/>
      </c>
      <c r="I47" s="9">
        <f>IF(OR(D47="",G47=""),"",(D47-G47)*100)</f>
        <v/>
      </c>
      <c r="J47" s="9">
        <f>IF(OR(E47="",F47="",G47=""),"",E47-(G47-F47)*100)</f>
        <v/>
      </c>
      <c r="K47" s="9">
        <f>IF(OR(H47="",I47="",J47=""),"",IF(MAX(ABS(H47),ABS(I47),ABS(J47))&lt;=$B$2,"GO",IF(MAX(ABS(H47),ABS(I47),ABS(J47))&lt;=$B$3,"RECALC","STOP")))</f>
        <v/>
      </c>
      <c r="L47" s="5" t="n"/>
    </row>
    <row r="48">
      <c r="A48" s="13" t="n"/>
      <c r="B48" s="10" t="n"/>
      <c r="C48" s="14" t="n"/>
      <c r="D48" s="14" t="n"/>
      <c r="E48" s="9">
        <f>IF(OR(C48="",D48=""),"",(D48-C48)*100)</f>
        <v/>
      </c>
      <c r="F48" s="25">
        <f>IF($B48="","",IFERROR(INDEX('07_Stage_Calc'!$K:$K,MATCH($B48,'07_Stage_Calc'!$A:$A,0)),""))</f>
        <v/>
      </c>
      <c r="G48" s="25">
        <f>IF($B48="","",IFERROR(INDEX('07_Stage_Calc'!$L:$L,MATCH($B48,'07_Stage_Calc'!$A:$A,0)),""))</f>
        <v/>
      </c>
      <c r="H48" s="9">
        <f>IF(OR(C48="",F48=""),"",(C48-F48)*100)</f>
        <v/>
      </c>
      <c r="I48" s="9">
        <f>IF(OR(D48="",G48=""),"",(D48-G48)*100)</f>
        <v/>
      </c>
      <c r="J48" s="9">
        <f>IF(OR(E48="",F48="",G48=""),"",E48-(G48-F48)*100)</f>
        <v/>
      </c>
      <c r="K48" s="9">
        <f>IF(OR(H48="",I48="",J48=""),"",IF(MAX(ABS(H48),ABS(I48),ABS(J48))&lt;=$B$2,"GO",IF(MAX(ABS(H48),ABS(I48),ABS(J48))&lt;=$B$3,"RECALC","STOP")))</f>
        <v/>
      </c>
      <c r="L48" s="5" t="n"/>
    </row>
    <row r="49">
      <c r="A49" s="13" t="n"/>
      <c r="B49" s="10" t="n"/>
      <c r="C49" s="14" t="n"/>
      <c r="D49" s="14" t="n"/>
      <c r="E49" s="9">
        <f>IF(OR(C49="",D49=""),"",(D49-C49)*100)</f>
        <v/>
      </c>
      <c r="F49" s="25">
        <f>IF($B49="","",IFERROR(INDEX('07_Stage_Calc'!$K:$K,MATCH($B49,'07_Stage_Calc'!$A:$A,0)),""))</f>
        <v/>
      </c>
      <c r="G49" s="25">
        <f>IF($B49="","",IFERROR(INDEX('07_Stage_Calc'!$L:$L,MATCH($B49,'07_Stage_Calc'!$A:$A,0)),""))</f>
        <v/>
      </c>
      <c r="H49" s="9">
        <f>IF(OR(C49="",F49=""),"",(C49-F49)*100)</f>
        <v/>
      </c>
      <c r="I49" s="9">
        <f>IF(OR(D49="",G49=""),"",(D49-G49)*100)</f>
        <v/>
      </c>
      <c r="J49" s="9">
        <f>IF(OR(E49="",F49="",G49=""),"",E49-(G49-F49)*100)</f>
        <v/>
      </c>
      <c r="K49" s="9">
        <f>IF(OR(H49="",I49="",J49=""),"",IF(MAX(ABS(H49),ABS(I49),ABS(J49))&lt;=$B$2,"GO",IF(MAX(ABS(H49),ABS(I49),ABS(J49))&lt;=$B$3,"RECALC","STOP")))</f>
        <v/>
      </c>
      <c r="L49" s="5" t="n"/>
    </row>
    <row r="50">
      <c r="A50" s="13" t="n"/>
      <c r="B50" s="10" t="n"/>
      <c r="C50" s="14" t="n"/>
      <c r="D50" s="14" t="n"/>
      <c r="E50" s="9">
        <f>IF(OR(C50="",D50=""),"",(D50-C50)*100)</f>
        <v/>
      </c>
      <c r="F50" s="25">
        <f>IF($B50="","",IFERROR(INDEX('07_Stage_Calc'!$K:$K,MATCH($B50,'07_Stage_Calc'!$A:$A,0)),""))</f>
        <v/>
      </c>
      <c r="G50" s="25">
        <f>IF($B50="","",IFERROR(INDEX('07_Stage_Calc'!$L:$L,MATCH($B50,'07_Stage_Calc'!$A:$A,0)),""))</f>
        <v/>
      </c>
      <c r="H50" s="9">
        <f>IF(OR(C50="",F50=""),"",(C50-F50)*100)</f>
        <v/>
      </c>
      <c r="I50" s="9">
        <f>IF(OR(D50="",G50=""),"",(D50-G50)*100)</f>
        <v/>
      </c>
      <c r="J50" s="9">
        <f>IF(OR(E50="",F50="",G50=""),"",E50-(G50-F50)*100)</f>
        <v/>
      </c>
      <c r="K50" s="9">
        <f>IF(OR(H50="",I50="",J50=""),"",IF(MAX(ABS(H50),ABS(I50),ABS(J50))&lt;=$B$2,"GO",IF(MAX(ABS(H50),ABS(I50),ABS(J50))&lt;=$B$3,"RECALC","STOP")))</f>
        <v/>
      </c>
      <c r="L50" s="5" t="n"/>
    </row>
    <row r="51">
      <c r="A51" s="13" t="n"/>
      <c r="B51" s="10" t="n"/>
      <c r="C51" s="14" t="n"/>
      <c r="D51" s="14" t="n"/>
      <c r="E51" s="9">
        <f>IF(OR(C51="",D51=""),"",(D51-C51)*100)</f>
        <v/>
      </c>
      <c r="F51" s="25">
        <f>IF($B51="","",IFERROR(INDEX('07_Stage_Calc'!$K:$K,MATCH($B51,'07_Stage_Calc'!$A:$A,0)),""))</f>
        <v/>
      </c>
      <c r="G51" s="25">
        <f>IF($B51="","",IFERROR(INDEX('07_Stage_Calc'!$L:$L,MATCH($B51,'07_Stage_Calc'!$A:$A,0)),""))</f>
        <v/>
      </c>
      <c r="H51" s="9">
        <f>IF(OR(C51="",F51=""),"",(C51-F51)*100)</f>
        <v/>
      </c>
      <c r="I51" s="9">
        <f>IF(OR(D51="",G51=""),"",(D51-G51)*100)</f>
        <v/>
      </c>
      <c r="J51" s="9">
        <f>IF(OR(E51="",F51="",G51=""),"",E51-(G51-F51)*100)</f>
        <v/>
      </c>
      <c r="K51" s="9">
        <f>IF(OR(H51="",I51="",J51=""),"",IF(MAX(ABS(H51),ABS(I51),ABS(J51))&lt;=$B$2,"GO",IF(MAX(ABS(H51),ABS(I51),ABS(J51))&lt;=$B$3,"RECALC","STOP")))</f>
        <v/>
      </c>
      <c r="L51" s="5" t="n"/>
    </row>
    <row r="52">
      <c r="A52" s="13" t="n"/>
      <c r="B52" s="10" t="n"/>
      <c r="C52" s="14" t="n"/>
      <c r="D52" s="14" t="n"/>
      <c r="E52" s="9">
        <f>IF(OR(C52="",D52=""),"",(D52-C52)*100)</f>
        <v/>
      </c>
      <c r="F52" s="25">
        <f>IF($B52="","",IFERROR(INDEX('07_Stage_Calc'!$K:$K,MATCH($B52,'07_Stage_Calc'!$A:$A,0)),""))</f>
        <v/>
      </c>
      <c r="G52" s="25">
        <f>IF($B52="","",IFERROR(INDEX('07_Stage_Calc'!$L:$L,MATCH($B52,'07_Stage_Calc'!$A:$A,0)),""))</f>
        <v/>
      </c>
      <c r="H52" s="9">
        <f>IF(OR(C52="",F52=""),"",(C52-F52)*100)</f>
        <v/>
      </c>
      <c r="I52" s="9">
        <f>IF(OR(D52="",G52=""),"",(D52-G52)*100)</f>
        <v/>
      </c>
      <c r="J52" s="9">
        <f>IF(OR(E52="",F52="",G52=""),"",E52-(G52-F52)*100)</f>
        <v/>
      </c>
      <c r="K52" s="9">
        <f>IF(OR(H52="",I52="",J52=""),"",IF(MAX(ABS(H52),ABS(I52),ABS(J52))&lt;=$B$2,"GO",IF(MAX(ABS(H52),ABS(I52),ABS(J52))&lt;=$B$3,"RECALC","STOP")))</f>
        <v/>
      </c>
      <c r="L52" s="5" t="n"/>
    </row>
    <row r="53">
      <c r="A53" s="13" t="n"/>
      <c r="B53" s="10" t="n"/>
      <c r="C53" s="14" t="n"/>
      <c r="D53" s="14" t="n"/>
      <c r="E53" s="9">
        <f>IF(OR(C53="",D53=""),"",(D53-C53)*100)</f>
        <v/>
      </c>
      <c r="F53" s="25">
        <f>IF($B53="","",IFERROR(INDEX('07_Stage_Calc'!$K:$K,MATCH($B53,'07_Stage_Calc'!$A:$A,0)),""))</f>
        <v/>
      </c>
      <c r="G53" s="25">
        <f>IF($B53="","",IFERROR(INDEX('07_Stage_Calc'!$L:$L,MATCH($B53,'07_Stage_Calc'!$A:$A,0)),""))</f>
        <v/>
      </c>
      <c r="H53" s="9">
        <f>IF(OR(C53="",F53=""),"",(C53-F53)*100)</f>
        <v/>
      </c>
      <c r="I53" s="9">
        <f>IF(OR(D53="",G53=""),"",(D53-G53)*100)</f>
        <v/>
      </c>
      <c r="J53" s="9">
        <f>IF(OR(E53="",F53="",G53=""),"",E53-(G53-F53)*100)</f>
        <v/>
      </c>
      <c r="K53" s="9">
        <f>IF(OR(H53="",I53="",J53=""),"",IF(MAX(ABS(H53),ABS(I53),ABS(J53))&lt;=$B$2,"GO",IF(MAX(ABS(H53),ABS(I53),ABS(J53))&lt;=$B$3,"RECALC","STOP")))</f>
        <v/>
      </c>
      <c r="L53" s="5" t="n"/>
    </row>
    <row r="54">
      <c r="A54" s="13" t="n"/>
      <c r="B54" s="10" t="n"/>
      <c r="C54" s="14" t="n"/>
      <c r="D54" s="14" t="n"/>
      <c r="E54" s="9">
        <f>IF(OR(C54="",D54=""),"",(D54-C54)*100)</f>
        <v/>
      </c>
      <c r="F54" s="25">
        <f>IF($B54="","",IFERROR(INDEX('07_Stage_Calc'!$K:$K,MATCH($B54,'07_Stage_Calc'!$A:$A,0)),""))</f>
        <v/>
      </c>
      <c r="G54" s="25">
        <f>IF($B54="","",IFERROR(INDEX('07_Stage_Calc'!$L:$L,MATCH($B54,'07_Stage_Calc'!$A:$A,0)),""))</f>
        <v/>
      </c>
      <c r="H54" s="9">
        <f>IF(OR(C54="",F54=""),"",(C54-F54)*100)</f>
        <v/>
      </c>
      <c r="I54" s="9">
        <f>IF(OR(D54="",G54=""),"",(D54-G54)*100)</f>
        <v/>
      </c>
      <c r="J54" s="9">
        <f>IF(OR(E54="",F54="",G54=""),"",E54-(G54-F54)*100)</f>
        <v/>
      </c>
      <c r="K54" s="9">
        <f>IF(OR(H54="",I54="",J54=""),"",IF(MAX(ABS(H54),ABS(I54),ABS(J54))&lt;=$B$2,"GO",IF(MAX(ABS(H54),ABS(I54),ABS(J54))&lt;=$B$3,"RECALC","STOP")))</f>
        <v/>
      </c>
      <c r="L54" s="5" t="n"/>
    </row>
    <row r="55">
      <c r="A55" s="13" t="n"/>
      <c r="B55" s="10" t="n"/>
      <c r="C55" s="14" t="n"/>
      <c r="D55" s="14" t="n"/>
      <c r="E55" s="9">
        <f>IF(OR(C55="",D55=""),"",(D55-C55)*100)</f>
        <v/>
      </c>
      <c r="F55" s="25">
        <f>IF($B55="","",IFERROR(INDEX('07_Stage_Calc'!$K:$K,MATCH($B55,'07_Stage_Calc'!$A:$A,0)),""))</f>
        <v/>
      </c>
      <c r="G55" s="25">
        <f>IF($B55="","",IFERROR(INDEX('07_Stage_Calc'!$L:$L,MATCH($B55,'07_Stage_Calc'!$A:$A,0)),""))</f>
        <v/>
      </c>
      <c r="H55" s="9">
        <f>IF(OR(C55="",F55=""),"",(C55-F55)*100)</f>
        <v/>
      </c>
      <c r="I55" s="9">
        <f>IF(OR(D55="",G55=""),"",(D55-G55)*100)</f>
        <v/>
      </c>
      <c r="J55" s="9">
        <f>IF(OR(E55="",F55="",G55=""),"",E55-(G55-F55)*100)</f>
        <v/>
      </c>
      <c r="K55" s="9">
        <f>IF(OR(H55="",I55="",J55=""),"",IF(MAX(ABS(H55),ABS(I55),ABS(J55))&lt;=$B$2,"GO",IF(MAX(ABS(H55),ABS(I55),ABS(J55))&lt;=$B$3,"RECALC","STOP")))</f>
        <v/>
      </c>
      <c r="L55" s="5" t="n"/>
    </row>
    <row r="56">
      <c r="A56" s="13" t="n"/>
      <c r="B56" s="10" t="n"/>
      <c r="C56" s="14" t="n"/>
      <c r="D56" s="14" t="n"/>
      <c r="E56" s="9">
        <f>IF(OR(C56="",D56=""),"",(D56-C56)*100)</f>
        <v/>
      </c>
      <c r="F56" s="25">
        <f>IF($B56="","",IFERROR(INDEX('07_Stage_Calc'!$K:$K,MATCH($B56,'07_Stage_Calc'!$A:$A,0)),""))</f>
        <v/>
      </c>
      <c r="G56" s="25">
        <f>IF($B56="","",IFERROR(INDEX('07_Stage_Calc'!$L:$L,MATCH($B56,'07_Stage_Calc'!$A:$A,0)),""))</f>
        <v/>
      </c>
      <c r="H56" s="9">
        <f>IF(OR(C56="",F56=""),"",(C56-F56)*100)</f>
        <v/>
      </c>
      <c r="I56" s="9">
        <f>IF(OR(D56="",G56=""),"",(D56-G56)*100)</f>
        <v/>
      </c>
      <c r="J56" s="9">
        <f>IF(OR(E56="",F56="",G56=""),"",E56-(G56-F56)*100)</f>
        <v/>
      </c>
      <c r="K56" s="9">
        <f>IF(OR(H56="",I56="",J56=""),"",IF(MAX(ABS(H56),ABS(I56),ABS(J56))&lt;=$B$2,"GO",IF(MAX(ABS(H56),ABS(I56),ABS(J56))&lt;=$B$3,"RECALC","STOP")))</f>
        <v/>
      </c>
      <c r="L56" s="5" t="n"/>
    </row>
    <row r="57">
      <c r="A57" s="13" t="n"/>
      <c r="B57" s="10" t="n"/>
      <c r="C57" s="14" t="n"/>
      <c r="D57" s="14" t="n"/>
      <c r="E57" s="9">
        <f>IF(OR(C57="",D57=""),"",(D57-C57)*100)</f>
        <v/>
      </c>
      <c r="F57" s="25">
        <f>IF($B57="","",IFERROR(INDEX('07_Stage_Calc'!$K:$K,MATCH($B57,'07_Stage_Calc'!$A:$A,0)),""))</f>
        <v/>
      </c>
      <c r="G57" s="25">
        <f>IF($B57="","",IFERROR(INDEX('07_Stage_Calc'!$L:$L,MATCH($B57,'07_Stage_Calc'!$A:$A,0)),""))</f>
        <v/>
      </c>
      <c r="H57" s="9">
        <f>IF(OR(C57="",F57=""),"",(C57-F57)*100)</f>
        <v/>
      </c>
      <c r="I57" s="9">
        <f>IF(OR(D57="",G57=""),"",(D57-G57)*100)</f>
        <v/>
      </c>
      <c r="J57" s="9">
        <f>IF(OR(E57="",F57="",G57=""),"",E57-(G57-F57)*100)</f>
        <v/>
      </c>
      <c r="K57" s="9">
        <f>IF(OR(H57="",I57="",J57=""),"",IF(MAX(ABS(H57),ABS(I57),ABS(J57))&lt;=$B$2,"GO",IF(MAX(ABS(H57),ABS(I57),ABS(J57))&lt;=$B$3,"RECALC","STOP")))</f>
        <v/>
      </c>
      <c r="L57" s="5" t="n"/>
    </row>
    <row r="58">
      <c r="A58" s="13" t="n"/>
      <c r="B58" s="10" t="n"/>
      <c r="C58" s="14" t="n"/>
      <c r="D58" s="14" t="n"/>
      <c r="E58" s="9">
        <f>IF(OR(C58="",D58=""),"",(D58-C58)*100)</f>
        <v/>
      </c>
      <c r="F58" s="25">
        <f>IF($B58="","",IFERROR(INDEX('07_Stage_Calc'!$K:$K,MATCH($B58,'07_Stage_Calc'!$A:$A,0)),""))</f>
        <v/>
      </c>
      <c r="G58" s="25">
        <f>IF($B58="","",IFERROR(INDEX('07_Stage_Calc'!$L:$L,MATCH($B58,'07_Stage_Calc'!$A:$A,0)),""))</f>
        <v/>
      </c>
      <c r="H58" s="9">
        <f>IF(OR(C58="",F58=""),"",(C58-F58)*100)</f>
        <v/>
      </c>
      <c r="I58" s="9">
        <f>IF(OR(D58="",G58=""),"",(D58-G58)*100)</f>
        <v/>
      </c>
      <c r="J58" s="9">
        <f>IF(OR(E58="",F58="",G58=""),"",E58-(G58-F58)*100)</f>
        <v/>
      </c>
      <c r="K58" s="9">
        <f>IF(OR(H58="",I58="",J58=""),"",IF(MAX(ABS(H58),ABS(I58),ABS(J58))&lt;=$B$2,"GO",IF(MAX(ABS(H58),ABS(I58),ABS(J58))&lt;=$B$3,"RECALC","STOP")))</f>
        <v/>
      </c>
      <c r="L58" s="5" t="n"/>
    </row>
    <row r="59">
      <c r="A59" s="13" t="n"/>
      <c r="B59" s="10" t="n"/>
      <c r="C59" s="14" t="n"/>
      <c r="D59" s="14" t="n"/>
      <c r="E59" s="9">
        <f>IF(OR(C59="",D59=""),"",(D59-C59)*100)</f>
        <v/>
      </c>
      <c r="F59" s="25">
        <f>IF($B59="","",IFERROR(INDEX('07_Stage_Calc'!$K:$K,MATCH($B59,'07_Stage_Calc'!$A:$A,0)),""))</f>
        <v/>
      </c>
      <c r="G59" s="25">
        <f>IF($B59="","",IFERROR(INDEX('07_Stage_Calc'!$L:$L,MATCH($B59,'07_Stage_Calc'!$A:$A,0)),""))</f>
        <v/>
      </c>
      <c r="H59" s="9">
        <f>IF(OR(C59="",F59=""),"",(C59-F59)*100)</f>
        <v/>
      </c>
      <c r="I59" s="9">
        <f>IF(OR(D59="",G59=""),"",(D59-G59)*100)</f>
        <v/>
      </c>
      <c r="J59" s="9">
        <f>IF(OR(E59="",F59="",G59=""),"",E59-(G59-F59)*100)</f>
        <v/>
      </c>
      <c r="K59" s="9">
        <f>IF(OR(H59="",I59="",J59=""),"",IF(MAX(ABS(H59),ABS(I59),ABS(J59))&lt;=$B$2,"GO",IF(MAX(ABS(H59),ABS(I59),ABS(J59))&lt;=$B$3,"RECALC","STOP")))</f>
        <v/>
      </c>
      <c r="L59" s="5" t="n"/>
    </row>
    <row r="60">
      <c r="A60" s="13" t="n"/>
      <c r="B60" s="10" t="n"/>
      <c r="C60" s="14" t="n"/>
      <c r="D60" s="14" t="n"/>
      <c r="E60" s="9">
        <f>IF(OR(C60="",D60=""),"",(D60-C60)*100)</f>
        <v/>
      </c>
      <c r="F60" s="25">
        <f>IF($B60="","",IFERROR(INDEX('07_Stage_Calc'!$K:$K,MATCH($B60,'07_Stage_Calc'!$A:$A,0)),""))</f>
        <v/>
      </c>
      <c r="G60" s="25">
        <f>IF($B60="","",IFERROR(INDEX('07_Stage_Calc'!$L:$L,MATCH($B60,'07_Stage_Calc'!$A:$A,0)),""))</f>
        <v/>
      </c>
      <c r="H60" s="9">
        <f>IF(OR(C60="",F60=""),"",(C60-F60)*100)</f>
        <v/>
      </c>
      <c r="I60" s="9">
        <f>IF(OR(D60="",G60=""),"",(D60-G60)*100)</f>
        <v/>
      </c>
      <c r="J60" s="9">
        <f>IF(OR(E60="",F60="",G60=""),"",E60-(G60-F60)*100)</f>
        <v/>
      </c>
      <c r="K60" s="9">
        <f>IF(OR(H60="",I60="",J60=""),"",IF(MAX(ABS(H60),ABS(I60),ABS(J60))&lt;=$B$2,"GO",IF(MAX(ABS(H60),ABS(I60),ABS(J60))&lt;=$B$3,"RECALC","STOP")))</f>
        <v/>
      </c>
      <c r="L60" s="5" t="n"/>
    </row>
    <row r="61">
      <c r="A61" s="13" t="n"/>
      <c r="B61" s="10" t="n"/>
      <c r="C61" s="14" t="n"/>
      <c r="D61" s="14" t="n"/>
      <c r="E61" s="9">
        <f>IF(OR(C61="",D61=""),"",(D61-C61)*100)</f>
        <v/>
      </c>
      <c r="F61" s="25">
        <f>IF($B61="","",IFERROR(INDEX('07_Stage_Calc'!$K:$K,MATCH($B61,'07_Stage_Calc'!$A:$A,0)),""))</f>
        <v/>
      </c>
      <c r="G61" s="25">
        <f>IF($B61="","",IFERROR(INDEX('07_Stage_Calc'!$L:$L,MATCH($B61,'07_Stage_Calc'!$A:$A,0)),""))</f>
        <v/>
      </c>
      <c r="H61" s="9">
        <f>IF(OR(C61="",F61=""),"",(C61-F61)*100)</f>
        <v/>
      </c>
      <c r="I61" s="9">
        <f>IF(OR(D61="",G61=""),"",(D61-G61)*100)</f>
        <v/>
      </c>
      <c r="J61" s="9">
        <f>IF(OR(E61="",F61="",G61=""),"",E61-(G61-F61)*100)</f>
        <v/>
      </c>
      <c r="K61" s="9">
        <f>IF(OR(H61="",I61="",J61=""),"",IF(MAX(ABS(H61),ABS(I61),ABS(J61))&lt;=$B$2,"GO",IF(MAX(ABS(H61),ABS(I61),ABS(J61))&lt;=$B$3,"RECALC","STOP")))</f>
        <v/>
      </c>
      <c r="L61" s="5" t="n"/>
    </row>
    <row r="62">
      <c r="A62" s="13" t="n"/>
      <c r="B62" s="10" t="n"/>
      <c r="C62" s="14" t="n"/>
      <c r="D62" s="14" t="n"/>
      <c r="E62" s="9">
        <f>IF(OR(C62="",D62=""),"",(D62-C62)*100)</f>
        <v/>
      </c>
      <c r="F62" s="25">
        <f>IF($B62="","",IFERROR(INDEX('07_Stage_Calc'!$K:$K,MATCH($B62,'07_Stage_Calc'!$A:$A,0)),""))</f>
        <v/>
      </c>
      <c r="G62" s="25">
        <f>IF($B62="","",IFERROR(INDEX('07_Stage_Calc'!$L:$L,MATCH($B62,'07_Stage_Calc'!$A:$A,0)),""))</f>
        <v/>
      </c>
      <c r="H62" s="9">
        <f>IF(OR(C62="",F62=""),"",(C62-F62)*100)</f>
        <v/>
      </c>
      <c r="I62" s="9">
        <f>IF(OR(D62="",G62=""),"",(D62-G62)*100)</f>
        <v/>
      </c>
      <c r="J62" s="9">
        <f>IF(OR(E62="",F62="",G62=""),"",E62-(G62-F62)*100)</f>
        <v/>
      </c>
      <c r="K62" s="9">
        <f>IF(OR(H62="",I62="",J62=""),"",IF(MAX(ABS(H62),ABS(I62),ABS(J62))&lt;=$B$2,"GO",IF(MAX(ABS(H62),ABS(I62),ABS(J62))&lt;=$B$3,"RECALC","STOP")))</f>
        <v/>
      </c>
      <c r="L62" s="5" t="n"/>
    </row>
    <row r="63">
      <c r="A63" s="13" t="n"/>
      <c r="B63" s="10" t="n"/>
      <c r="C63" s="14" t="n"/>
      <c r="D63" s="14" t="n"/>
      <c r="E63" s="9">
        <f>IF(OR(C63="",D63=""),"",(D63-C63)*100)</f>
        <v/>
      </c>
      <c r="F63" s="25">
        <f>IF($B63="","",IFERROR(INDEX('07_Stage_Calc'!$K:$K,MATCH($B63,'07_Stage_Calc'!$A:$A,0)),""))</f>
        <v/>
      </c>
      <c r="G63" s="25">
        <f>IF($B63="","",IFERROR(INDEX('07_Stage_Calc'!$L:$L,MATCH($B63,'07_Stage_Calc'!$A:$A,0)),""))</f>
        <v/>
      </c>
      <c r="H63" s="9">
        <f>IF(OR(C63="",F63=""),"",(C63-F63)*100)</f>
        <v/>
      </c>
      <c r="I63" s="9">
        <f>IF(OR(D63="",G63=""),"",(D63-G63)*100)</f>
        <v/>
      </c>
      <c r="J63" s="9">
        <f>IF(OR(E63="",F63="",G63=""),"",E63-(G63-F63)*100)</f>
        <v/>
      </c>
      <c r="K63" s="9">
        <f>IF(OR(H63="",I63="",J63=""),"",IF(MAX(ABS(H63),ABS(I63),ABS(J63))&lt;=$B$2,"GO",IF(MAX(ABS(H63),ABS(I63),ABS(J63))&lt;=$B$3,"RECALC","STOP")))</f>
        <v/>
      </c>
      <c r="L63" s="5" t="n"/>
    </row>
    <row r="64">
      <c r="A64" s="13" t="n"/>
      <c r="B64" s="10" t="n"/>
      <c r="C64" s="14" t="n"/>
      <c r="D64" s="14" t="n"/>
      <c r="E64" s="9">
        <f>IF(OR(C64="",D64=""),"",(D64-C64)*100)</f>
        <v/>
      </c>
      <c r="F64" s="25">
        <f>IF($B64="","",IFERROR(INDEX('07_Stage_Calc'!$K:$K,MATCH($B64,'07_Stage_Calc'!$A:$A,0)),""))</f>
        <v/>
      </c>
      <c r="G64" s="25">
        <f>IF($B64="","",IFERROR(INDEX('07_Stage_Calc'!$L:$L,MATCH($B64,'07_Stage_Calc'!$A:$A,0)),""))</f>
        <v/>
      </c>
      <c r="H64" s="9">
        <f>IF(OR(C64="",F64=""),"",(C64-F64)*100)</f>
        <v/>
      </c>
      <c r="I64" s="9">
        <f>IF(OR(D64="",G64=""),"",(D64-G64)*100)</f>
        <v/>
      </c>
      <c r="J64" s="9">
        <f>IF(OR(E64="",F64="",G64=""),"",E64-(G64-F64)*100)</f>
        <v/>
      </c>
      <c r="K64" s="9">
        <f>IF(OR(H64="",I64="",J64=""),"",IF(MAX(ABS(H64),ABS(I64),ABS(J64))&lt;=$B$2,"GO",IF(MAX(ABS(H64),ABS(I64),ABS(J64))&lt;=$B$3,"RECALC","STOP")))</f>
        <v/>
      </c>
      <c r="L64" s="5" t="n"/>
    </row>
    <row r="65">
      <c r="A65" s="13" t="n"/>
      <c r="B65" s="10" t="n"/>
      <c r="C65" s="14" t="n"/>
      <c r="D65" s="14" t="n"/>
      <c r="E65" s="9">
        <f>IF(OR(C65="",D65=""),"",(D65-C65)*100)</f>
        <v/>
      </c>
      <c r="F65" s="25">
        <f>IF($B65="","",IFERROR(INDEX('07_Stage_Calc'!$K:$K,MATCH($B65,'07_Stage_Calc'!$A:$A,0)),""))</f>
        <v/>
      </c>
      <c r="G65" s="25">
        <f>IF($B65="","",IFERROR(INDEX('07_Stage_Calc'!$L:$L,MATCH($B65,'07_Stage_Calc'!$A:$A,0)),""))</f>
        <v/>
      </c>
      <c r="H65" s="9">
        <f>IF(OR(C65="",F65=""),"",(C65-F65)*100)</f>
        <v/>
      </c>
      <c r="I65" s="9">
        <f>IF(OR(D65="",G65=""),"",(D65-G65)*100)</f>
        <v/>
      </c>
      <c r="J65" s="9">
        <f>IF(OR(E65="",F65="",G65=""),"",E65-(G65-F65)*100)</f>
        <v/>
      </c>
      <c r="K65" s="9">
        <f>IF(OR(H65="",I65="",J65=""),"",IF(MAX(ABS(H65),ABS(I65),ABS(J65))&lt;=$B$2,"GO",IF(MAX(ABS(H65),ABS(I65),ABS(J65))&lt;=$B$3,"RECALC","STOP")))</f>
        <v/>
      </c>
      <c r="L65" s="5" t="n"/>
    </row>
    <row r="66">
      <c r="A66" s="13" t="n"/>
      <c r="B66" s="10" t="n"/>
      <c r="C66" s="14" t="n"/>
      <c r="D66" s="14" t="n"/>
      <c r="E66" s="9">
        <f>IF(OR(C66="",D66=""),"",(D66-C66)*100)</f>
        <v/>
      </c>
      <c r="F66" s="25">
        <f>IF($B66="","",IFERROR(INDEX('07_Stage_Calc'!$K:$K,MATCH($B66,'07_Stage_Calc'!$A:$A,0)),""))</f>
        <v/>
      </c>
      <c r="G66" s="25">
        <f>IF($B66="","",IFERROR(INDEX('07_Stage_Calc'!$L:$L,MATCH($B66,'07_Stage_Calc'!$A:$A,0)),""))</f>
        <v/>
      </c>
      <c r="H66" s="9">
        <f>IF(OR(C66="",F66=""),"",(C66-F66)*100)</f>
        <v/>
      </c>
      <c r="I66" s="9">
        <f>IF(OR(D66="",G66=""),"",(D66-G66)*100)</f>
        <v/>
      </c>
      <c r="J66" s="9">
        <f>IF(OR(E66="",F66="",G66=""),"",E66-(G66-F66)*100)</f>
        <v/>
      </c>
      <c r="K66" s="9">
        <f>IF(OR(H66="",I66="",J66=""),"",IF(MAX(ABS(H66),ABS(I66),ABS(J66))&lt;=$B$2,"GO",IF(MAX(ABS(H66),ABS(I66),ABS(J66))&lt;=$B$3,"RECALC","STOP")))</f>
        <v/>
      </c>
      <c r="L66" s="5" t="n"/>
    </row>
    <row r="67">
      <c r="A67" s="13" t="n"/>
      <c r="B67" s="10" t="n"/>
      <c r="C67" s="14" t="n"/>
      <c r="D67" s="14" t="n"/>
      <c r="E67" s="9">
        <f>IF(OR(C67="",D67=""),"",(D67-C67)*100)</f>
        <v/>
      </c>
      <c r="F67" s="25">
        <f>IF($B67="","",IFERROR(INDEX('07_Stage_Calc'!$K:$K,MATCH($B67,'07_Stage_Calc'!$A:$A,0)),""))</f>
        <v/>
      </c>
      <c r="G67" s="25">
        <f>IF($B67="","",IFERROR(INDEX('07_Stage_Calc'!$L:$L,MATCH($B67,'07_Stage_Calc'!$A:$A,0)),""))</f>
        <v/>
      </c>
      <c r="H67" s="9">
        <f>IF(OR(C67="",F67=""),"",(C67-F67)*100)</f>
        <v/>
      </c>
      <c r="I67" s="9">
        <f>IF(OR(D67="",G67=""),"",(D67-G67)*100)</f>
        <v/>
      </c>
      <c r="J67" s="9">
        <f>IF(OR(E67="",F67="",G67=""),"",E67-(G67-F67)*100)</f>
        <v/>
      </c>
      <c r="K67" s="9">
        <f>IF(OR(H67="",I67="",J67=""),"",IF(MAX(ABS(H67),ABS(I67),ABS(J67))&lt;=$B$2,"GO",IF(MAX(ABS(H67),ABS(I67),ABS(J67))&lt;=$B$3,"RECALC","STOP")))</f>
        <v/>
      </c>
      <c r="L67" s="5" t="n"/>
    </row>
    <row r="68">
      <c r="A68" s="13" t="n"/>
      <c r="B68" s="10" t="n"/>
      <c r="C68" s="14" t="n"/>
      <c r="D68" s="14" t="n"/>
      <c r="E68" s="9">
        <f>IF(OR(C68="",D68=""),"",(D68-C68)*100)</f>
        <v/>
      </c>
      <c r="F68" s="25">
        <f>IF($B68="","",IFERROR(INDEX('07_Stage_Calc'!$K:$K,MATCH($B68,'07_Stage_Calc'!$A:$A,0)),""))</f>
        <v/>
      </c>
      <c r="G68" s="25">
        <f>IF($B68="","",IFERROR(INDEX('07_Stage_Calc'!$L:$L,MATCH($B68,'07_Stage_Calc'!$A:$A,0)),""))</f>
        <v/>
      </c>
      <c r="H68" s="9">
        <f>IF(OR(C68="",F68=""),"",(C68-F68)*100)</f>
        <v/>
      </c>
      <c r="I68" s="9">
        <f>IF(OR(D68="",G68=""),"",(D68-G68)*100)</f>
        <v/>
      </c>
      <c r="J68" s="9">
        <f>IF(OR(E68="",F68="",G68=""),"",E68-(G68-F68)*100)</f>
        <v/>
      </c>
      <c r="K68" s="9">
        <f>IF(OR(H68="",I68="",J68=""),"",IF(MAX(ABS(H68),ABS(I68),ABS(J68))&lt;=$B$2,"GO",IF(MAX(ABS(H68),ABS(I68),ABS(J68))&lt;=$B$3,"RECALC","STOP")))</f>
        <v/>
      </c>
      <c r="L68" s="5" t="n"/>
    </row>
    <row r="69">
      <c r="A69" s="13" t="n"/>
      <c r="B69" s="10" t="n"/>
      <c r="C69" s="14" t="n"/>
      <c r="D69" s="14" t="n"/>
      <c r="E69" s="9">
        <f>IF(OR(C69="",D69=""),"",(D69-C69)*100)</f>
        <v/>
      </c>
      <c r="F69" s="25">
        <f>IF($B69="","",IFERROR(INDEX('07_Stage_Calc'!$K:$K,MATCH($B69,'07_Stage_Calc'!$A:$A,0)),""))</f>
        <v/>
      </c>
      <c r="G69" s="25">
        <f>IF($B69="","",IFERROR(INDEX('07_Stage_Calc'!$L:$L,MATCH($B69,'07_Stage_Calc'!$A:$A,0)),""))</f>
        <v/>
      </c>
      <c r="H69" s="9">
        <f>IF(OR(C69="",F69=""),"",(C69-F69)*100)</f>
        <v/>
      </c>
      <c r="I69" s="9">
        <f>IF(OR(D69="",G69=""),"",(D69-G69)*100)</f>
        <v/>
      </c>
      <c r="J69" s="9">
        <f>IF(OR(E69="",F69="",G69=""),"",E69-(G69-F69)*100)</f>
        <v/>
      </c>
      <c r="K69" s="9">
        <f>IF(OR(H69="",I69="",J69=""),"",IF(MAX(ABS(H69),ABS(I69),ABS(J69))&lt;=$B$2,"GO",IF(MAX(ABS(H69),ABS(I69),ABS(J69))&lt;=$B$3,"RECALC","STOP")))</f>
        <v/>
      </c>
      <c r="L69" s="5" t="n"/>
    </row>
    <row r="70">
      <c r="A70" s="13" t="n"/>
      <c r="B70" s="10" t="n"/>
      <c r="C70" s="14" t="n"/>
      <c r="D70" s="14" t="n"/>
      <c r="E70" s="9">
        <f>IF(OR(C70="",D70=""),"",(D70-C70)*100)</f>
        <v/>
      </c>
      <c r="F70" s="25">
        <f>IF($B70="","",IFERROR(INDEX('07_Stage_Calc'!$K:$K,MATCH($B70,'07_Stage_Calc'!$A:$A,0)),""))</f>
        <v/>
      </c>
      <c r="G70" s="25">
        <f>IF($B70="","",IFERROR(INDEX('07_Stage_Calc'!$L:$L,MATCH($B70,'07_Stage_Calc'!$A:$A,0)),""))</f>
        <v/>
      </c>
      <c r="H70" s="9">
        <f>IF(OR(C70="",F70=""),"",(C70-F70)*100)</f>
        <v/>
      </c>
      <c r="I70" s="9">
        <f>IF(OR(D70="",G70=""),"",(D70-G70)*100)</f>
        <v/>
      </c>
      <c r="J70" s="9">
        <f>IF(OR(E70="",F70="",G70=""),"",E70-(G70-F70)*100)</f>
        <v/>
      </c>
      <c r="K70" s="9">
        <f>IF(OR(H70="",I70="",J70=""),"",IF(MAX(ABS(H70),ABS(I70),ABS(J70))&lt;=$B$2,"GO",IF(MAX(ABS(H70),ABS(I70),ABS(J70))&lt;=$B$3,"RECALC","STOP")))</f>
        <v/>
      </c>
      <c r="L70" s="5" t="n"/>
    </row>
    <row r="71">
      <c r="A71" s="13" t="n"/>
      <c r="B71" s="10" t="n"/>
      <c r="C71" s="14" t="n"/>
      <c r="D71" s="14" t="n"/>
      <c r="E71" s="9">
        <f>IF(OR(C71="",D71=""),"",(D71-C71)*100)</f>
        <v/>
      </c>
      <c r="F71" s="25">
        <f>IF($B71="","",IFERROR(INDEX('07_Stage_Calc'!$K:$K,MATCH($B71,'07_Stage_Calc'!$A:$A,0)),""))</f>
        <v/>
      </c>
      <c r="G71" s="25">
        <f>IF($B71="","",IFERROR(INDEX('07_Stage_Calc'!$L:$L,MATCH($B71,'07_Stage_Calc'!$A:$A,0)),""))</f>
        <v/>
      </c>
      <c r="H71" s="9">
        <f>IF(OR(C71="",F71=""),"",(C71-F71)*100)</f>
        <v/>
      </c>
      <c r="I71" s="9">
        <f>IF(OR(D71="",G71=""),"",(D71-G71)*100)</f>
        <v/>
      </c>
      <c r="J71" s="9">
        <f>IF(OR(E71="",F71="",G71=""),"",E71-(G71-F71)*100)</f>
        <v/>
      </c>
      <c r="K71" s="9">
        <f>IF(OR(H71="",I71="",J71=""),"",IF(MAX(ABS(H71),ABS(I71),ABS(J71))&lt;=$B$2,"GO",IF(MAX(ABS(H71),ABS(I71),ABS(J71))&lt;=$B$3,"RECALC","STOP")))</f>
        <v/>
      </c>
      <c r="L71" s="5" t="n"/>
    </row>
    <row r="72">
      <c r="A72" s="13" t="n"/>
      <c r="B72" s="10" t="n"/>
      <c r="C72" s="14" t="n"/>
      <c r="D72" s="14" t="n"/>
      <c r="E72" s="9">
        <f>IF(OR(C72="",D72=""),"",(D72-C72)*100)</f>
        <v/>
      </c>
      <c r="F72" s="25">
        <f>IF($B72="","",IFERROR(INDEX('07_Stage_Calc'!$K:$K,MATCH($B72,'07_Stage_Calc'!$A:$A,0)),""))</f>
        <v/>
      </c>
      <c r="G72" s="25">
        <f>IF($B72="","",IFERROR(INDEX('07_Stage_Calc'!$L:$L,MATCH($B72,'07_Stage_Calc'!$A:$A,0)),""))</f>
        <v/>
      </c>
      <c r="H72" s="9">
        <f>IF(OR(C72="",F72=""),"",(C72-F72)*100)</f>
        <v/>
      </c>
      <c r="I72" s="9">
        <f>IF(OR(D72="",G72=""),"",(D72-G72)*100)</f>
        <v/>
      </c>
      <c r="J72" s="9">
        <f>IF(OR(E72="",F72="",G72=""),"",E72-(G72-F72)*100)</f>
        <v/>
      </c>
      <c r="K72" s="9">
        <f>IF(OR(H72="",I72="",J72=""),"",IF(MAX(ABS(H72),ABS(I72),ABS(J72))&lt;=$B$2,"GO",IF(MAX(ABS(H72),ABS(I72),ABS(J72))&lt;=$B$3,"RECALC","STOP")))</f>
        <v/>
      </c>
      <c r="L72" s="5" t="n"/>
    </row>
    <row r="73">
      <c r="A73" s="13" t="n"/>
      <c r="B73" s="10" t="n"/>
      <c r="C73" s="14" t="n"/>
      <c r="D73" s="14" t="n"/>
      <c r="E73" s="9">
        <f>IF(OR(C73="",D73=""),"",(D73-C73)*100)</f>
        <v/>
      </c>
      <c r="F73" s="25">
        <f>IF($B73="","",IFERROR(INDEX('07_Stage_Calc'!$K:$K,MATCH($B73,'07_Stage_Calc'!$A:$A,0)),""))</f>
        <v/>
      </c>
      <c r="G73" s="25">
        <f>IF($B73="","",IFERROR(INDEX('07_Stage_Calc'!$L:$L,MATCH($B73,'07_Stage_Calc'!$A:$A,0)),""))</f>
        <v/>
      </c>
      <c r="H73" s="9">
        <f>IF(OR(C73="",F73=""),"",(C73-F73)*100)</f>
        <v/>
      </c>
      <c r="I73" s="9">
        <f>IF(OR(D73="",G73=""),"",(D73-G73)*100)</f>
        <v/>
      </c>
      <c r="J73" s="9">
        <f>IF(OR(E73="",F73="",G73=""),"",E73-(G73-F73)*100)</f>
        <v/>
      </c>
      <c r="K73" s="9">
        <f>IF(OR(H73="",I73="",J73=""),"",IF(MAX(ABS(H73),ABS(I73),ABS(J73))&lt;=$B$2,"GO",IF(MAX(ABS(H73),ABS(I73),ABS(J73))&lt;=$B$3,"RECALC","STOP")))</f>
        <v/>
      </c>
      <c r="L73" s="5" t="n"/>
    </row>
    <row r="74">
      <c r="A74" s="13" t="n"/>
      <c r="B74" s="10" t="n"/>
      <c r="C74" s="14" t="n"/>
      <c r="D74" s="14" t="n"/>
      <c r="E74" s="9">
        <f>IF(OR(C74="",D74=""),"",(D74-C74)*100)</f>
        <v/>
      </c>
      <c r="F74" s="25">
        <f>IF($B74="","",IFERROR(INDEX('07_Stage_Calc'!$K:$K,MATCH($B74,'07_Stage_Calc'!$A:$A,0)),""))</f>
        <v/>
      </c>
      <c r="G74" s="25">
        <f>IF($B74="","",IFERROR(INDEX('07_Stage_Calc'!$L:$L,MATCH($B74,'07_Stage_Calc'!$A:$A,0)),""))</f>
        <v/>
      </c>
      <c r="H74" s="9">
        <f>IF(OR(C74="",F74=""),"",(C74-F74)*100)</f>
        <v/>
      </c>
      <c r="I74" s="9">
        <f>IF(OR(D74="",G74=""),"",(D74-G74)*100)</f>
        <v/>
      </c>
      <c r="J74" s="9">
        <f>IF(OR(E74="",F74="",G74=""),"",E74-(G74-F74)*100)</f>
        <v/>
      </c>
      <c r="K74" s="9">
        <f>IF(OR(H74="",I74="",J74=""),"",IF(MAX(ABS(H74),ABS(I74),ABS(J74))&lt;=$B$2,"GO",IF(MAX(ABS(H74),ABS(I74),ABS(J74))&lt;=$B$3,"RECALC","STOP")))</f>
        <v/>
      </c>
      <c r="L74" s="5" t="n"/>
    </row>
    <row r="75">
      <c r="A75" s="13" t="n"/>
      <c r="B75" s="10" t="n"/>
      <c r="C75" s="14" t="n"/>
      <c r="D75" s="14" t="n"/>
      <c r="E75" s="9">
        <f>IF(OR(C75="",D75=""),"",(D75-C75)*100)</f>
        <v/>
      </c>
      <c r="F75" s="25">
        <f>IF($B75="","",IFERROR(INDEX('07_Stage_Calc'!$K:$K,MATCH($B75,'07_Stage_Calc'!$A:$A,0)),""))</f>
        <v/>
      </c>
      <c r="G75" s="25">
        <f>IF($B75="","",IFERROR(INDEX('07_Stage_Calc'!$L:$L,MATCH($B75,'07_Stage_Calc'!$A:$A,0)),""))</f>
        <v/>
      </c>
      <c r="H75" s="9">
        <f>IF(OR(C75="",F75=""),"",(C75-F75)*100)</f>
        <v/>
      </c>
      <c r="I75" s="9">
        <f>IF(OR(D75="",G75=""),"",(D75-G75)*100)</f>
        <v/>
      </c>
      <c r="J75" s="9">
        <f>IF(OR(E75="",F75="",G75=""),"",E75-(G75-F75)*100)</f>
        <v/>
      </c>
      <c r="K75" s="9">
        <f>IF(OR(H75="",I75="",J75=""),"",IF(MAX(ABS(H75),ABS(I75),ABS(J75))&lt;=$B$2,"GO",IF(MAX(ABS(H75),ABS(I75),ABS(J75))&lt;=$B$3,"RECALC","STOP")))</f>
        <v/>
      </c>
      <c r="L75" s="5" t="n"/>
    </row>
    <row r="76">
      <c r="A76" s="13" t="n"/>
      <c r="B76" s="10" t="n"/>
      <c r="C76" s="14" t="n"/>
      <c r="D76" s="14" t="n"/>
      <c r="E76" s="9">
        <f>IF(OR(C76="",D76=""),"",(D76-C76)*100)</f>
        <v/>
      </c>
      <c r="F76" s="25">
        <f>IF($B76="","",IFERROR(INDEX('07_Stage_Calc'!$K:$K,MATCH($B76,'07_Stage_Calc'!$A:$A,0)),""))</f>
        <v/>
      </c>
      <c r="G76" s="25">
        <f>IF($B76="","",IFERROR(INDEX('07_Stage_Calc'!$L:$L,MATCH($B76,'07_Stage_Calc'!$A:$A,0)),""))</f>
        <v/>
      </c>
      <c r="H76" s="9">
        <f>IF(OR(C76="",F76=""),"",(C76-F76)*100)</f>
        <v/>
      </c>
      <c r="I76" s="9">
        <f>IF(OR(D76="",G76=""),"",(D76-G76)*100)</f>
        <v/>
      </c>
      <c r="J76" s="9">
        <f>IF(OR(E76="",F76="",G76=""),"",E76-(G76-F76)*100)</f>
        <v/>
      </c>
      <c r="K76" s="9">
        <f>IF(OR(H76="",I76="",J76=""),"",IF(MAX(ABS(H76),ABS(I76),ABS(J76))&lt;=$B$2,"GO",IF(MAX(ABS(H76),ABS(I76),ABS(J76))&lt;=$B$3,"RECALC","STOP")))</f>
        <v/>
      </c>
      <c r="L76" s="5" t="n"/>
    </row>
    <row r="77">
      <c r="A77" s="13" t="n"/>
      <c r="B77" s="10" t="n"/>
      <c r="C77" s="14" t="n"/>
      <c r="D77" s="14" t="n"/>
      <c r="E77" s="9">
        <f>IF(OR(C77="",D77=""),"",(D77-C77)*100)</f>
        <v/>
      </c>
      <c r="F77" s="25">
        <f>IF($B77="","",IFERROR(INDEX('07_Stage_Calc'!$K:$K,MATCH($B77,'07_Stage_Calc'!$A:$A,0)),""))</f>
        <v/>
      </c>
      <c r="G77" s="25">
        <f>IF($B77="","",IFERROR(INDEX('07_Stage_Calc'!$L:$L,MATCH($B77,'07_Stage_Calc'!$A:$A,0)),""))</f>
        <v/>
      </c>
      <c r="H77" s="9">
        <f>IF(OR(C77="",F77=""),"",(C77-F77)*100)</f>
        <v/>
      </c>
      <c r="I77" s="9">
        <f>IF(OR(D77="",G77=""),"",(D77-G77)*100)</f>
        <v/>
      </c>
      <c r="J77" s="9">
        <f>IF(OR(E77="",F77="",G77=""),"",E77-(G77-F77)*100)</f>
        <v/>
      </c>
      <c r="K77" s="9">
        <f>IF(OR(H77="",I77="",J77=""),"",IF(MAX(ABS(H77),ABS(I77),ABS(J77))&lt;=$B$2,"GO",IF(MAX(ABS(H77),ABS(I77),ABS(J77))&lt;=$B$3,"RECALC","STOP")))</f>
        <v/>
      </c>
      <c r="L77" s="5" t="n"/>
    </row>
    <row r="78">
      <c r="A78" s="13" t="n"/>
      <c r="B78" s="10" t="n"/>
      <c r="C78" s="14" t="n"/>
      <c r="D78" s="14" t="n"/>
      <c r="E78" s="9">
        <f>IF(OR(C78="",D78=""),"",(D78-C78)*100)</f>
        <v/>
      </c>
      <c r="F78" s="25">
        <f>IF($B78="","",IFERROR(INDEX('07_Stage_Calc'!$K:$K,MATCH($B78,'07_Stage_Calc'!$A:$A,0)),""))</f>
        <v/>
      </c>
      <c r="G78" s="25">
        <f>IF($B78="","",IFERROR(INDEX('07_Stage_Calc'!$L:$L,MATCH($B78,'07_Stage_Calc'!$A:$A,0)),""))</f>
        <v/>
      </c>
      <c r="H78" s="9">
        <f>IF(OR(C78="",F78=""),"",(C78-F78)*100)</f>
        <v/>
      </c>
      <c r="I78" s="9">
        <f>IF(OR(D78="",G78=""),"",(D78-G78)*100)</f>
        <v/>
      </c>
      <c r="J78" s="9">
        <f>IF(OR(E78="",F78="",G78=""),"",E78-(G78-F78)*100)</f>
        <v/>
      </c>
      <c r="K78" s="9">
        <f>IF(OR(H78="",I78="",J78=""),"",IF(MAX(ABS(H78),ABS(I78),ABS(J78))&lt;=$B$2,"GO",IF(MAX(ABS(H78),ABS(I78),ABS(J78))&lt;=$B$3,"RECALC","STOP")))</f>
        <v/>
      </c>
      <c r="L78" s="5" t="n"/>
    </row>
    <row r="79">
      <c r="A79" s="13" t="n"/>
      <c r="B79" s="10" t="n"/>
      <c r="C79" s="14" t="n"/>
      <c r="D79" s="14" t="n"/>
      <c r="E79" s="9">
        <f>IF(OR(C79="",D79=""),"",(D79-C79)*100)</f>
        <v/>
      </c>
      <c r="F79" s="25">
        <f>IF($B79="","",IFERROR(INDEX('07_Stage_Calc'!$K:$K,MATCH($B79,'07_Stage_Calc'!$A:$A,0)),""))</f>
        <v/>
      </c>
      <c r="G79" s="25">
        <f>IF($B79="","",IFERROR(INDEX('07_Stage_Calc'!$L:$L,MATCH($B79,'07_Stage_Calc'!$A:$A,0)),""))</f>
        <v/>
      </c>
      <c r="H79" s="9">
        <f>IF(OR(C79="",F79=""),"",(C79-F79)*100)</f>
        <v/>
      </c>
      <c r="I79" s="9">
        <f>IF(OR(D79="",G79=""),"",(D79-G79)*100)</f>
        <v/>
      </c>
      <c r="J79" s="9">
        <f>IF(OR(E79="",F79="",G79=""),"",E79-(G79-F79)*100)</f>
        <v/>
      </c>
      <c r="K79" s="9">
        <f>IF(OR(H79="",I79="",J79=""),"",IF(MAX(ABS(H79),ABS(I79),ABS(J79))&lt;=$B$2,"GO",IF(MAX(ABS(H79),ABS(I79),ABS(J79))&lt;=$B$3,"RECALC","STOP")))</f>
        <v/>
      </c>
      <c r="L79" s="5" t="n"/>
    </row>
    <row r="80">
      <c r="A80" s="13" t="n"/>
      <c r="B80" s="10" t="n"/>
      <c r="C80" s="14" t="n"/>
      <c r="D80" s="14" t="n"/>
      <c r="E80" s="9">
        <f>IF(OR(C80="",D80=""),"",(D80-C80)*100)</f>
        <v/>
      </c>
      <c r="F80" s="25">
        <f>IF($B80="","",IFERROR(INDEX('07_Stage_Calc'!$K:$K,MATCH($B80,'07_Stage_Calc'!$A:$A,0)),""))</f>
        <v/>
      </c>
      <c r="G80" s="25">
        <f>IF($B80="","",IFERROR(INDEX('07_Stage_Calc'!$L:$L,MATCH($B80,'07_Stage_Calc'!$A:$A,0)),""))</f>
        <v/>
      </c>
      <c r="H80" s="9">
        <f>IF(OR(C80="",F80=""),"",(C80-F80)*100)</f>
        <v/>
      </c>
      <c r="I80" s="9">
        <f>IF(OR(D80="",G80=""),"",(D80-G80)*100)</f>
        <v/>
      </c>
      <c r="J80" s="9">
        <f>IF(OR(E80="",F80="",G80=""),"",E80-(G80-F80)*100)</f>
        <v/>
      </c>
      <c r="K80" s="9">
        <f>IF(OR(H80="",I80="",J80=""),"",IF(MAX(ABS(H80),ABS(I80),ABS(J80))&lt;=$B$2,"GO",IF(MAX(ABS(H80),ABS(I80),ABS(J80))&lt;=$B$3,"RECALC","STOP")))</f>
        <v/>
      </c>
      <c r="L80" s="5" t="n"/>
    </row>
    <row r="81">
      <c r="A81" s="13" t="n"/>
      <c r="B81" s="10" t="n"/>
      <c r="C81" s="14" t="n"/>
      <c r="D81" s="14" t="n"/>
      <c r="E81" s="9">
        <f>IF(OR(C81="",D81=""),"",(D81-C81)*100)</f>
        <v/>
      </c>
      <c r="F81" s="25">
        <f>IF($B81="","",IFERROR(INDEX('07_Stage_Calc'!$K:$K,MATCH($B81,'07_Stage_Calc'!$A:$A,0)),""))</f>
        <v/>
      </c>
      <c r="G81" s="25">
        <f>IF($B81="","",IFERROR(INDEX('07_Stage_Calc'!$L:$L,MATCH($B81,'07_Stage_Calc'!$A:$A,0)),""))</f>
        <v/>
      </c>
      <c r="H81" s="9">
        <f>IF(OR(C81="",F81=""),"",(C81-F81)*100)</f>
        <v/>
      </c>
      <c r="I81" s="9">
        <f>IF(OR(D81="",G81=""),"",(D81-G81)*100)</f>
        <v/>
      </c>
      <c r="J81" s="9">
        <f>IF(OR(E81="",F81="",G81=""),"",E81-(G81-F81)*100)</f>
        <v/>
      </c>
      <c r="K81" s="9">
        <f>IF(OR(H81="",I81="",J81=""),"",IF(MAX(ABS(H81),ABS(I81),ABS(J81))&lt;=$B$2,"GO",IF(MAX(ABS(H81),ABS(I81),ABS(J81))&lt;=$B$3,"RECALC","STOP")))</f>
        <v/>
      </c>
      <c r="L81" s="5" t="n"/>
    </row>
    <row r="82">
      <c r="A82" s="13" t="n"/>
      <c r="B82" s="10" t="n"/>
      <c r="C82" s="14" t="n"/>
      <c r="D82" s="14" t="n"/>
      <c r="E82" s="9">
        <f>IF(OR(C82="",D82=""),"",(D82-C82)*100)</f>
        <v/>
      </c>
      <c r="F82" s="25">
        <f>IF($B82="","",IFERROR(INDEX('07_Stage_Calc'!$K:$K,MATCH($B82,'07_Stage_Calc'!$A:$A,0)),""))</f>
        <v/>
      </c>
      <c r="G82" s="25">
        <f>IF($B82="","",IFERROR(INDEX('07_Stage_Calc'!$L:$L,MATCH($B82,'07_Stage_Calc'!$A:$A,0)),""))</f>
        <v/>
      </c>
      <c r="H82" s="9">
        <f>IF(OR(C82="",F82=""),"",(C82-F82)*100)</f>
        <v/>
      </c>
      <c r="I82" s="9">
        <f>IF(OR(D82="",G82=""),"",(D82-G82)*100)</f>
        <v/>
      </c>
      <c r="J82" s="9">
        <f>IF(OR(E82="",F82="",G82=""),"",E82-(G82-F82)*100)</f>
        <v/>
      </c>
      <c r="K82" s="9">
        <f>IF(OR(H82="",I82="",J82=""),"",IF(MAX(ABS(H82),ABS(I82),ABS(J82))&lt;=$B$2,"GO",IF(MAX(ABS(H82),ABS(I82),ABS(J82))&lt;=$B$3,"RECALC","STOP")))</f>
        <v/>
      </c>
      <c r="L82" s="5" t="n"/>
    </row>
    <row r="83">
      <c r="A83" s="13" t="n"/>
      <c r="B83" s="10" t="n"/>
      <c r="C83" s="14" t="n"/>
      <c r="D83" s="14" t="n"/>
      <c r="E83" s="9">
        <f>IF(OR(C83="",D83=""),"",(D83-C83)*100)</f>
        <v/>
      </c>
      <c r="F83" s="25">
        <f>IF($B83="","",IFERROR(INDEX('07_Stage_Calc'!$K:$K,MATCH($B83,'07_Stage_Calc'!$A:$A,0)),""))</f>
        <v/>
      </c>
      <c r="G83" s="25">
        <f>IF($B83="","",IFERROR(INDEX('07_Stage_Calc'!$L:$L,MATCH($B83,'07_Stage_Calc'!$A:$A,0)),""))</f>
        <v/>
      </c>
      <c r="H83" s="9">
        <f>IF(OR(C83="",F83=""),"",(C83-F83)*100)</f>
        <v/>
      </c>
      <c r="I83" s="9">
        <f>IF(OR(D83="",G83=""),"",(D83-G83)*100)</f>
        <v/>
      </c>
      <c r="J83" s="9">
        <f>IF(OR(E83="",F83="",G83=""),"",E83-(G83-F83)*100)</f>
        <v/>
      </c>
      <c r="K83" s="9">
        <f>IF(OR(H83="",I83="",J83=""),"",IF(MAX(ABS(H83),ABS(I83),ABS(J83))&lt;=$B$2,"GO",IF(MAX(ABS(H83),ABS(I83),ABS(J83))&lt;=$B$3,"RECALC","STOP")))</f>
        <v/>
      </c>
      <c r="L83" s="5" t="n"/>
    </row>
    <row r="84">
      <c r="A84" s="13" t="n"/>
      <c r="B84" s="10" t="n"/>
      <c r="C84" s="14" t="n"/>
      <c r="D84" s="14" t="n"/>
      <c r="E84" s="9">
        <f>IF(OR(C84="",D84=""),"",(D84-C84)*100)</f>
        <v/>
      </c>
      <c r="F84" s="25">
        <f>IF($B84="","",IFERROR(INDEX('07_Stage_Calc'!$K:$K,MATCH($B84,'07_Stage_Calc'!$A:$A,0)),""))</f>
        <v/>
      </c>
      <c r="G84" s="25">
        <f>IF($B84="","",IFERROR(INDEX('07_Stage_Calc'!$L:$L,MATCH($B84,'07_Stage_Calc'!$A:$A,0)),""))</f>
        <v/>
      </c>
      <c r="H84" s="9">
        <f>IF(OR(C84="",F84=""),"",(C84-F84)*100)</f>
        <v/>
      </c>
      <c r="I84" s="9">
        <f>IF(OR(D84="",G84=""),"",(D84-G84)*100)</f>
        <v/>
      </c>
      <c r="J84" s="9">
        <f>IF(OR(E84="",F84="",G84=""),"",E84-(G84-F84)*100)</f>
        <v/>
      </c>
      <c r="K84" s="9">
        <f>IF(OR(H84="",I84="",J84=""),"",IF(MAX(ABS(H84),ABS(I84),ABS(J84))&lt;=$B$2,"GO",IF(MAX(ABS(H84),ABS(I84),ABS(J84))&lt;=$B$3,"RECALC","STOP")))</f>
        <v/>
      </c>
      <c r="L84" s="5" t="n"/>
    </row>
    <row r="85">
      <c r="A85" s="13" t="n"/>
      <c r="B85" s="10" t="n"/>
      <c r="C85" s="14" t="n"/>
      <c r="D85" s="14" t="n"/>
      <c r="E85" s="9">
        <f>IF(OR(C85="",D85=""),"",(D85-C85)*100)</f>
        <v/>
      </c>
      <c r="F85" s="25">
        <f>IF($B85="","",IFERROR(INDEX('07_Stage_Calc'!$K:$K,MATCH($B85,'07_Stage_Calc'!$A:$A,0)),""))</f>
        <v/>
      </c>
      <c r="G85" s="25">
        <f>IF($B85="","",IFERROR(INDEX('07_Stage_Calc'!$L:$L,MATCH($B85,'07_Stage_Calc'!$A:$A,0)),""))</f>
        <v/>
      </c>
      <c r="H85" s="9">
        <f>IF(OR(C85="",F85=""),"",(C85-F85)*100)</f>
        <v/>
      </c>
      <c r="I85" s="9">
        <f>IF(OR(D85="",G85=""),"",(D85-G85)*100)</f>
        <v/>
      </c>
      <c r="J85" s="9">
        <f>IF(OR(E85="",F85="",G85=""),"",E85-(G85-F85)*100)</f>
        <v/>
      </c>
      <c r="K85" s="9">
        <f>IF(OR(H85="",I85="",J85=""),"",IF(MAX(ABS(H85),ABS(I85),ABS(J85))&lt;=$B$2,"GO",IF(MAX(ABS(H85),ABS(I85),ABS(J85))&lt;=$B$3,"RECALC","STOP")))</f>
        <v/>
      </c>
      <c r="L85" s="5" t="n"/>
    </row>
    <row r="86">
      <c r="A86" s="13" t="n"/>
      <c r="B86" s="10" t="n"/>
      <c r="C86" s="14" t="n"/>
      <c r="D86" s="14" t="n"/>
      <c r="E86" s="9">
        <f>IF(OR(C86="",D86=""),"",(D86-C86)*100)</f>
        <v/>
      </c>
      <c r="F86" s="25">
        <f>IF($B86="","",IFERROR(INDEX('07_Stage_Calc'!$K:$K,MATCH($B86,'07_Stage_Calc'!$A:$A,0)),""))</f>
        <v/>
      </c>
      <c r="G86" s="25">
        <f>IF($B86="","",IFERROR(INDEX('07_Stage_Calc'!$L:$L,MATCH($B86,'07_Stage_Calc'!$A:$A,0)),""))</f>
        <v/>
      </c>
      <c r="H86" s="9">
        <f>IF(OR(C86="",F86=""),"",(C86-F86)*100)</f>
        <v/>
      </c>
      <c r="I86" s="9">
        <f>IF(OR(D86="",G86=""),"",(D86-G86)*100)</f>
        <v/>
      </c>
      <c r="J86" s="9">
        <f>IF(OR(E86="",F86="",G86=""),"",E86-(G86-F86)*100)</f>
        <v/>
      </c>
      <c r="K86" s="9">
        <f>IF(OR(H86="",I86="",J86=""),"",IF(MAX(ABS(H86),ABS(I86),ABS(J86))&lt;=$B$2,"GO",IF(MAX(ABS(H86),ABS(I86),ABS(J86))&lt;=$B$3,"RECALC","STOP")))</f>
        <v/>
      </c>
      <c r="L86" s="5" t="n"/>
    </row>
    <row r="87">
      <c r="A87" s="13" t="n"/>
      <c r="B87" s="10" t="n"/>
      <c r="C87" s="14" t="n"/>
      <c r="D87" s="14" t="n"/>
      <c r="E87" s="9">
        <f>IF(OR(C87="",D87=""),"",(D87-C87)*100)</f>
        <v/>
      </c>
      <c r="F87" s="25">
        <f>IF($B87="","",IFERROR(INDEX('07_Stage_Calc'!$K:$K,MATCH($B87,'07_Stage_Calc'!$A:$A,0)),""))</f>
        <v/>
      </c>
      <c r="G87" s="25">
        <f>IF($B87="","",IFERROR(INDEX('07_Stage_Calc'!$L:$L,MATCH($B87,'07_Stage_Calc'!$A:$A,0)),""))</f>
        <v/>
      </c>
      <c r="H87" s="9">
        <f>IF(OR(C87="",F87=""),"",(C87-F87)*100)</f>
        <v/>
      </c>
      <c r="I87" s="9">
        <f>IF(OR(D87="",G87=""),"",(D87-G87)*100)</f>
        <v/>
      </c>
      <c r="J87" s="9">
        <f>IF(OR(E87="",F87="",G87=""),"",E87-(G87-F87)*100)</f>
        <v/>
      </c>
      <c r="K87" s="9">
        <f>IF(OR(H87="",I87="",J87=""),"",IF(MAX(ABS(H87),ABS(I87),ABS(J87))&lt;=$B$2,"GO",IF(MAX(ABS(H87),ABS(I87),ABS(J87))&lt;=$B$3,"RECALC","STOP")))</f>
        <v/>
      </c>
      <c r="L87" s="5" t="n"/>
    </row>
    <row r="88">
      <c r="A88" s="13" t="n"/>
      <c r="B88" s="10" t="n"/>
      <c r="C88" s="14" t="n"/>
      <c r="D88" s="14" t="n"/>
      <c r="E88" s="9">
        <f>IF(OR(C88="",D88=""),"",(D88-C88)*100)</f>
        <v/>
      </c>
      <c r="F88" s="25">
        <f>IF($B88="","",IFERROR(INDEX('07_Stage_Calc'!$K:$K,MATCH($B88,'07_Stage_Calc'!$A:$A,0)),""))</f>
        <v/>
      </c>
      <c r="G88" s="25">
        <f>IF($B88="","",IFERROR(INDEX('07_Stage_Calc'!$L:$L,MATCH($B88,'07_Stage_Calc'!$A:$A,0)),""))</f>
        <v/>
      </c>
      <c r="H88" s="9">
        <f>IF(OR(C88="",F88=""),"",(C88-F88)*100)</f>
        <v/>
      </c>
      <c r="I88" s="9">
        <f>IF(OR(D88="",G88=""),"",(D88-G88)*100)</f>
        <v/>
      </c>
      <c r="J88" s="9">
        <f>IF(OR(E88="",F88="",G88=""),"",E88-(G88-F88)*100)</f>
        <v/>
      </c>
      <c r="K88" s="9">
        <f>IF(OR(H88="",I88="",J88=""),"",IF(MAX(ABS(H88),ABS(I88),ABS(J88))&lt;=$B$2,"GO",IF(MAX(ABS(H88),ABS(I88),ABS(J88))&lt;=$B$3,"RECALC","STOP")))</f>
        <v/>
      </c>
      <c r="L88" s="5" t="n"/>
    </row>
    <row r="89">
      <c r="A89" s="13" t="n"/>
      <c r="B89" s="10" t="n"/>
      <c r="C89" s="14" t="n"/>
      <c r="D89" s="14" t="n"/>
      <c r="E89" s="9">
        <f>IF(OR(C89="",D89=""),"",(D89-C89)*100)</f>
        <v/>
      </c>
      <c r="F89" s="25">
        <f>IF($B89="","",IFERROR(INDEX('07_Stage_Calc'!$K:$K,MATCH($B89,'07_Stage_Calc'!$A:$A,0)),""))</f>
        <v/>
      </c>
      <c r="G89" s="25">
        <f>IF($B89="","",IFERROR(INDEX('07_Stage_Calc'!$L:$L,MATCH($B89,'07_Stage_Calc'!$A:$A,0)),""))</f>
        <v/>
      </c>
      <c r="H89" s="9">
        <f>IF(OR(C89="",F89=""),"",(C89-F89)*100)</f>
        <v/>
      </c>
      <c r="I89" s="9">
        <f>IF(OR(D89="",G89=""),"",(D89-G89)*100)</f>
        <v/>
      </c>
      <c r="J89" s="9">
        <f>IF(OR(E89="",F89="",G89=""),"",E89-(G89-F89)*100)</f>
        <v/>
      </c>
      <c r="K89" s="9">
        <f>IF(OR(H89="",I89="",J89=""),"",IF(MAX(ABS(H89),ABS(I89),ABS(J89))&lt;=$B$2,"GO",IF(MAX(ABS(H89),ABS(I89),ABS(J89))&lt;=$B$3,"RECALC","STOP")))</f>
        <v/>
      </c>
      <c r="L89" s="5" t="n"/>
    </row>
    <row r="90">
      <c r="A90" s="13" t="n"/>
      <c r="B90" s="10" t="n"/>
      <c r="C90" s="14" t="n"/>
      <c r="D90" s="14" t="n"/>
      <c r="E90" s="9">
        <f>IF(OR(C90="",D90=""),"",(D90-C90)*100)</f>
        <v/>
      </c>
      <c r="F90" s="25">
        <f>IF($B90="","",IFERROR(INDEX('07_Stage_Calc'!$K:$K,MATCH($B90,'07_Stage_Calc'!$A:$A,0)),""))</f>
        <v/>
      </c>
      <c r="G90" s="25">
        <f>IF($B90="","",IFERROR(INDEX('07_Stage_Calc'!$L:$L,MATCH($B90,'07_Stage_Calc'!$A:$A,0)),""))</f>
        <v/>
      </c>
      <c r="H90" s="9">
        <f>IF(OR(C90="",F90=""),"",(C90-F90)*100)</f>
        <v/>
      </c>
      <c r="I90" s="9">
        <f>IF(OR(D90="",G90=""),"",(D90-G90)*100)</f>
        <v/>
      </c>
      <c r="J90" s="9">
        <f>IF(OR(E90="",F90="",G90=""),"",E90-(G90-F90)*100)</f>
        <v/>
      </c>
      <c r="K90" s="9">
        <f>IF(OR(H90="",I90="",J90=""),"",IF(MAX(ABS(H90),ABS(I90),ABS(J90))&lt;=$B$2,"GO",IF(MAX(ABS(H90),ABS(I90),ABS(J90))&lt;=$B$3,"RECALC","STOP")))</f>
        <v/>
      </c>
      <c r="L90" s="5" t="n"/>
    </row>
    <row r="91">
      <c r="A91" s="13" t="n"/>
      <c r="B91" s="10" t="n"/>
      <c r="C91" s="14" t="n"/>
      <c r="D91" s="14" t="n"/>
      <c r="E91" s="9">
        <f>IF(OR(C91="",D91=""),"",(D91-C91)*100)</f>
        <v/>
      </c>
      <c r="F91" s="25">
        <f>IF($B91="","",IFERROR(INDEX('07_Stage_Calc'!$K:$K,MATCH($B91,'07_Stage_Calc'!$A:$A,0)),""))</f>
        <v/>
      </c>
      <c r="G91" s="25">
        <f>IF($B91="","",IFERROR(INDEX('07_Stage_Calc'!$L:$L,MATCH($B91,'07_Stage_Calc'!$A:$A,0)),""))</f>
        <v/>
      </c>
      <c r="H91" s="9">
        <f>IF(OR(C91="",F91=""),"",(C91-F91)*100)</f>
        <v/>
      </c>
      <c r="I91" s="9">
        <f>IF(OR(D91="",G91=""),"",(D91-G91)*100)</f>
        <v/>
      </c>
      <c r="J91" s="9">
        <f>IF(OR(E91="",F91="",G91=""),"",E91-(G91-F91)*100)</f>
        <v/>
      </c>
      <c r="K91" s="9">
        <f>IF(OR(H91="",I91="",J91=""),"",IF(MAX(ABS(H91),ABS(I91),ABS(J91))&lt;=$B$2,"GO",IF(MAX(ABS(H91),ABS(I91),ABS(J91))&lt;=$B$3,"RECALC","STOP")))</f>
        <v/>
      </c>
      <c r="L91" s="5" t="n"/>
    </row>
    <row r="92">
      <c r="A92" s="13" t="n"/>
      <c r="B92" s="10" t="n"/>
      <c r="C92" s="14" t="n"/>
      <c r="D92" s="14" t="n"/>
      <c r="E92" s="9">
        <f>IF(OR(C92="",D92=""),"",(D92-C92)*100)</f>
        <v/>
      </c>
      <c r="F92" s="25">
        <f>IF($B92="","",IFERROR(INDEX('07_Stage_Calc'!$K:$K,MATCH($B92,'07_Stage_Calc'!$A:$A,0)),""))</f>
        <v/>
      </c>
      <c r="G92" s="25">
        <f>IF($B92="","",IFERROR(INDEX('07_Stage_Calc'!$L:$L,MATCH($B92,'07_Stage_Calc'!$A:$A,0)),""))</f>
        <v/>
      </c>
      <c r="H92" s="9">
        <f>IF(OR(C92="",F92=""),"",(C92-F92)*100)</f>
        <v/>
      </c>
      <c r="I92" s="9">
        <f>IF(OR(D92="",G92=""),"",(D92-G92)*100)</f>
        <v/>
      </c>
      <c r="J92" s="9">
        <f>IF(OR(E92="",F92="",G92=""),"",E92-(G92-F92)*100)</f>
        <v/>
      </c>
      <c r="K92" s="9">
        <f>IF(OR(H92="",I92="",J92=""),"",IF(MAX(ABS(H92),ABS(I92),ABS(J92))&lt;=$B$2,"GO",IF(MAX(ABS(H92),ABS(I92),ABS(J92))&lt;=$B$3,"RECALC","STOP")))</f>
        <v/>
      </c>
      <c r="L92" s="5" t="n"/>
    </row>
    <row r="93">
      <c r="A93" s="13" t="n"/>
      <c r="B93" s="10" t="n"/>
      <c r="C93" s="14" t="n"/>
      <c r="D93" s="14" t="n"/>
      <c r="E93" s="9">
        <f>IF(OR(C93="",D93=""),"",(D93-C93)*100)</f>
        <v/>
      </c>
      <c r="F93" s="25">
        <f>IF($B93="","",IFERROR(INDEX('07_Stage_Calc'!$K:$K,MATCH($B93,'07_Stage_Calc'!$A:$A,0)),""))</f>
        <v/>
      </c>
      <c r="G93" s="25">
        <f>IF($B93="","",IFERROR(INDEX('07_Stage_Calc'!$L:$L,MATCH($B93,'07_Stage_Calc'!$A:$A,0)),""))</f>
        <v/>
      </c>
      <c r="H93" s="9">
        <f>IF(OR(C93="",F93=""),"",(C93-F93)*100)</f>
        <v/>
      </c>
      <c r="I93" s="9">
        <f>IF(OR(D93="",G93=""),"",(D93-G93)*100)</f>
        <v/>
      </c>
      <c r="J93" s="9">
        <f>IF(OR(E93="",F93="",G93=""),"",E93-(G93-F93)*100)</f>
        <v/>
      </c>
      <c r="K93" s="9">
        <f>IF(OR(H93="",I93="",J93=""),"",IF(MAX(ABS(H93),ABS(I93),ABS(J93))&lt;=$B$2,"GO",IF(MAX(ABS(H93),ABS(I93),ABS(J93))&lt;=$B$3,"RECALC","STOP")))</f>
        <v/>
      </c>
      <c r="L93" s="5" t="n"/>
    </row>
    <row r="94">
      <c r="A94" s="13" t="n"/>
      <c r="B94" s="10" t="n"/>
      <c r="C94" s="14" t="n"/>
      <c r="D94" s="14" t="n"/>
      <c r="E94" s="9">
        <f>IF(OR(C94="",D94=""),"",(D94-C94)*100)</f>
        <v/>
      </c>
      <c r="F94" s="25">
        <f>IF($B94="","",IFERROR(INDEX('07_Stage_Calc'!$K:$K,MATCH($B94,'07_Stage_Calc'!$A:$A,0)),""))</f>
        <v/>
      </c>
      <c r="G94" s="25">
        <f>IF($B94="","",IFERROR(INDEX('07_Stage_Calc'!$L:$L,MATCH($B94,'07_Stage_Calc'!$A:$A,0)),""))</f>
        <v/>
      </c>
      <c r="H94" s="9">
        <f>IF(OR(C94="",F94=""),"",(C94-F94)*100)</f>
        <v/>
      </c>
      <c r="I94" s="9">
        <f>IF(OR(D94="",G94=""),"",(D94-G94)*100)</f>
        <v/>
      </c>
      <c r="J94" s="9">
        <f>IF(OR(E94="",F94="",G94=""),"",E94-(G94-F94)*100)</f>
        <v/>
      </c>
      <c r="K94" s="9">
        <f>IF(OR(H94="",I94="",J94=""),"",IF(MAX(ABS(H94),ABS(I94),ABS(J94))&lt;=$B$2,"GO",IF(MAX(ABS(H94),ABS(I94),ABS(J94))&lt;=$B$3,"RECALC","STOP")))</f>
        <v/>
      </c>
      <c r="L94" s="5" t="n"/>
    </row>
    <row r="95">
      <c r="A95" s="13" t="n"/>
      <c r="B95" s="10" t="n"/>
      <c r="C95" s="14" t="n"/>
      <c r="D95" s="14" t="n"/>
      <c r="E95" s="9">
        <f>IF(OR(C95="",D95=""),"",(D95-C95)*100)</f>
        <v/>
      </c>
      <c r="F95" s="25">
        <f>IF($B95="","",IFERROR(INDEX('07_Stage_Calc'!$K:$K,MATCH($B95,'07_Stage_Calc'!$A:$A,0)),""))</f>
        <v/>
      </c>
      <c r="G95" s="25">
        <f>IF($B95="","",IFERROR(INDEX('07_Stage_Calc'!$L:$L,MATCH($B95,'07_Stage_Calc'!$A:$A,0)),""))</f>
        <v/>
      </c>
      <c r="H95" s="9">
        <f>IF(OR(C95="",F95=""),"",(C95-F95)*100)</f>
        <v/>
      </c>
      <c r="I95" s="9">
        <f>IF(OR(D95="",G95=""),"",(D95-G95)*100)</f>
        <v/>
      </c>
      <c r="J95" s="9">
        <f>IF(OR(E95="",F95="",G95=""),"",E95-(G95-F95)*100)</f>
        <v/>
      </c>
      <c r="K95" s="9">
        <f>IF(OR(H95="",I95="",J95=""),"",IF(MAX(ABS(H95),ABS(I95),ABS(J95))&lt;=$B$2,"GO",IF(MAX(ABS(H95),ABS(I95),ABS(J95))&lt;=$B$3,"RECALC","STOP")))</f>
        <v/>
      </c>
      <c r="L95" s="5" t="n"/>
    </row>
    <row r="96">
      <c r="A96" s="13" t="n"/>
      <c r="B96" s="10" t="n"/>
      <c r="C96" s="14" t="n"/>
      <c r="D96" s="14" t="n"/>
      <c r="E96" s="9">
        <f>IF(OR(C96="",D96=""),"",(D96-C96)*100)</f>
        <v/>
      </c>
      <c r="F96" s="25">
        <f>IF($B96="","",IFERROR(INDEX('07_Stage_Calc'!$K:$K,MATCH($B96,'07_Stage_Calc'!$A:$A,0)),""))</f>
        <v/>
      </c>
      <c r="G96" s="25">
        <f>IF($B96="","",IFERROR(INDEX('07_Stage_Calc'!$L:$L,MATCH($B96,'07_Stage_Calc'!$A:$A,0)),""))</f>
        <v/>
      </c>
      <c r="H96" s="9">
        <f>IF(OR(C96="",F96=""),"",(C96-F96)*100)</f>
        <v/>
      </c>
      <c r="I96" s="9">
        <f>IF(OR(D96="",G96=""),"",(D96-G96)*100)</f>
        <v/>
      </c>
      <c r="J96" s="9">
        <f>IF(OR(E96="",F96="",G96=""),"",E96-(G96-F96)*100)</f>
        <v/>
      </c>
      <c r="K96" s="9">
        <f>IF(OR(H96="",I96="",J96=""),"",IF(MAX(ABS(H96),ABS(I96),ABS(J96))&lt;=$B$2,"GO",IF(MAX(ABS(H96),ABS(I96),ABS(J96))&lt;=$B$3,"RECALC","STOP")))</f>
        <v/>
      </c>
      <c r="L96" s="5" t="n"/>
    </row>
    <row r="97">
      <c r="A97" s="13" t="n"/>
      <c r="B97" s="10" t="n"/>
      <c r="C97" s="14" t="n"/>
      <c r="D97" s="14" t="n"/>
      <c r="E97" s="9">
        <f>IF(OR(C97="",D97=""),"",(D97-C97)*100)</f>
        <v/>
      </c>
      <c r="F97" s="25">
        <f>IF($B97="","",IFERROR(INDEX('07_Stage_Calc'!$K:$K,MATCH($B97,'07_Stage_Calc'!$A:$A,0)),""))</f>
        <v/>
      </c>
      <c r="G97" s="25">
        <f>IF($B97="","",IFERROR(INDEX('07_Stage_Calc'!$L:$L,MATCH($B97,'07_Stage_Calc'!$A:$A,0)),""))</f>
        <v/>
      </c>
      <c r="H97" s="9">
        <f>IF(OR(C97="",F97=""),"",(C97-F97)*100)</f>
        <v/>
      </c>
      <c r="I97" s="9">
        <f>IF(OR(D97="",G97=""),"",(D97-G97)*100)</f>
        <v/>
      </c>
      <c r="J97" s="9">
        <f>IF(OR(E97="",F97="",G97=""),"",E97-(G97-F97)*100)</f>
        <v/>
      </c>
      <c r="K97" s="9">
        <f>IF(OR(H97="",I97="",J97=""),"",IF(MAX(ABS(H97),ABS(I97),ABS(J97))&lt;=$B$2,"GO",IF(MAX(ABS(H97),ABS(I97),ABS(J97))&lt;=$B$3,"RECALC","STOP")))</f>
        <v/>
      </c>
      <c r="L97" s="5" t="n"/>
    </row>
    <row r="98">
      <c r="A98" s="13" t="n"/>
      <c r="B98" s="10" t="n"/>
      <c r="C98" s="14" t="n"/>
      <c r="D98" s="14" t="n"/>
      <c r="E98" s="9">
        <f>IF(OR(C98="",D98=""),"",(D98-C98)*100)</f>
        <v/>
      </c>
      <c r="F98" s="25">
        <f>IF($B98="","",IFERROR(INDEX('07_Stage_Calc'!$K:$K,MATCH($B98,'07_Stage_Calc'!$A:$A,0)),""))</f>
        <v/>
      </c>
      <c r="G98" s="25">
        <f>IF($B98="","",IFERROR(INDEX('07_Stage_Calc'!$L:$L,MATCH($B98,'07_Stage_Calc'!$A:$A,0)),""))</f>
        <v/>
      </c>
      <c r="H98" s="9">
        <f>IF(OR(C98="",F98=""),"",(C98-F98)*100)</f>
        <v/>
      </c>
      <c r="I98" s="9">
        <f>IF(OR(D98="",G98=""),"",(D98-G98)*100)</f>
        <v/>
      </c>
      <c r="J98" s="9">
        <f>IF(OR(E98="",F98="",G98=""),"",E98-(G98-F98)*100)</f>
        <v/>
      </c>
      <c r="K98" s="9">
        <f>IF(OR(H98="",I98="",J98=""),"",IF(MAX(ABS(H98),ABS(I98),ABS(J98))&lt;=$B$2,"GO",IF(MAX(ABS(H98),ABS(I98),ABS(J98))&lt;=$B$3,"RECALC","STOP")))</f>
        <v/>
      </c>
      <c r="L98" s="5" t="n"/>
    </row>
    <row r="99">
      <c r="A99" s="13" t="n"/>
      <c r="B99" s="10" t="n"/>
      <c r="C99" s="14" t="n"/>
      <c r="D99" s="14" t="n"/>
      <c r="E99" s="9">
        <f>IF(OR(C99="",D99=""),"",(D99-C99)*100)</f>
        <v/>
      </c>
      <c r="F99" s="25">
        <f>IF($B99="","",IFERROR(INDEX('07_Stage_Calc'!$K:$K,MATCH($B99,'07_Stage_Calc'!$A:$A,0)),""))</f>
        <v/>
      </c>
      <c r="G99" s="25">
        <f>IF($B99="","",IFERROR(INDEX('07_Stage_Calc'!$L:$L,MATCH($B99,'07_Stage_Calc'!$A:$A,0)),""))</f>
        <v/>
      </c>
      <c r="H99" s="9">
        <f>IF(OR(C99="",F99=""),"",(C99-F99)*100)</f>
        <v/>
      </c>
      <c r="I99" s="9">
        <f>IF(OR(D99="",G99=""),"",(D99-G99)*100)</f>
        <v/>
      </c>
      <c r="J99" s="9">
        <f>IF(OR(E99="",F99="",G99=""),"",E99-(G99-F99)*100)</f>
        <v/>
      </c>
      <c r="K99" s="9">
        <f>IF(OR(H99="",I99="",J99=""),"",IF(MAX(ABS(H99),ABS(I99),ABS(J99))&lt;=$B$2,"GO",IF(MAX(ABS(H99),ABS(I99),ABS(J99))&lt;=$B$3,"RECALC","STOP")))</f>
        <v/>
      </c>
      <c r="L99" s="5" t="n"/>
    </row>
    <row r="100">
      <c r="A100" s="13" t="n"/>
      <c r="B100" s="10" t="n"/>
      <c r="C100" s="14" t="n"/>
      <c r="D100" s="14" t="n"/>
      <c r="E100" s="9">
        <f>IF(OR(C100="",D100=""),"",(D100-C100)*100)</f>
        <v/>
      </c>
      <c r="F100" s="25">
        <f>IF($B100="","",IFERROR(INDEX('07_Stage_Calc'!$K:$K,MATCH($B100,'07_Stage_Calc'!$A:$A,0)),""))</f>
        <v/>
      </c>
      <c r="G100" s="25">
        <f>IF($B100="","",IFERROR(INDEX('07_Stage_Calc'!$L:$L,MATCH($B100,'07_Stage_Calc'!$A:$A,0)),""))</f>
        <v/>
      </c>
      <c r="H100" s="9">
        <f>IF(OR(C100="",F100=""),"",(C100-F100)*100)</f>
        <v/>
      </c>
      <c r="I100" s="9">
        <f>IF(OR(D100="",G100=""),"",(D100-G100)*100)</f>
        <v/>
      </c>
      <c r="J100" s="9">
        <f>IF(OR(E100="",F100="",G100=""),"",E100-(G100-F100)*100)</f>
        <v/>
      </c>
      <c r="K100" s="9">
        <f>IF(OR(H100="",I100="",J100=""),"",IF(MAX(ABS(H100),ABS(I100),ABS(J100))&lt;=$B$2,"GO",IF(MAX(ABS(H100),ABS(I100),ABS(J100))&lt;=$B$3,"RECALC","STOP")))</f>
        <v/>
      </c>
      <c r="L100" s="5" t="n"/>
    </row>
    <row r="101">
      <c r="A101" s="13" t="n"/>
      <c r="B101" s="10" t="n"/>
      <c r="C101" s="14" t="n"/>
      <c r="D101" s="14" t="n"/>
      <c r="E101" s="9">
        <f>IF(OR(C101="",D101=""),"",(D101-C101)*100)</f>
        <v/>
      </c>
      <c r="F101" s="25">
        <f>IF($B101="","",IFERROR(INDEX('07_Stage_Calc'!$K:$K,MATCH($B101,'07_Stage_Calc'!$A:$A,0)),""))</f>
        <v/>
      </c>
      <c r="G101" s="25">
        <f>IF($B101="","",IFERROR(INDEX('07_Stage_Calc'!$L:$L,MATCH($B101,'07_Stage_Calc'!$A:$A,0)),""))</f>
        <v/>
      </c>
      <c r="H101" s="9">
        <f>IF(OR(C101="",F101=""),"",(C101-F101)*100)</f>
        <v/>
      </c>
      <c r="I101" s="9">
        <f>IF(OR(D101="",G101=""),"",(D101-G101)*100)</f>
        <v/>
      </c>
      <c r="J101" s="9">
        <f>IF(OR(E101="",F101="",G101=""),"",E101-(G101-F101)*100)</f>
        <v/>
      </c>
      <c r="K101" s="9">
        <f>IF(OR(H101="",I101="",J101=""),"",IF(MAX(ABS(H101),ABS(I101),ABS(J101))&lt;=$B$2,"GO",IF(MAX(ABS(H101),ABS(I101),ABS(J101))&lt;=$B$3,"RECALC","STOP")))</f>
        <v/>
      </c>
      <c r="L101" s="5" t="n"/>
    </row>
    <row r="102">
      <c r="A102" s="13" t="n"/>
      <c r="B102" s="10" t="n"/>
      <c r="C102" s="14" t="n"/>
      <c r="D102" s="14" t="n"/>
      <c r="E102" s="9">
        <f>IF(OR(C102="",D102=""),"",(D102-C102)*100)</f>
        <v/>
      </c>
      <c r="F102" s="25">
        <f>IF($B102="","",IFERROR(INDEX('07_Stage_Calc'!$K:$K,MATCH($B102,'07_Stage_Calc'!$A:$A,0)),""))</f>
        <v/>
      </c>
      <c r="G102" s="25">
        <f>IF($B102="","",IFERROR(INDEX('07_Stage_Calc'!$L:$L,MATCH($B102,'07_Stage_Calc'!$A:$A,0)),""))</f>
        <v/>
      </c>
      <c r="H102" s="9">
        <f>IF(OR(C102="",F102=""),"",(C102-F102)*100)</f>
        <v/>
      </c>
      <c r="I102" s="9">
        <f>IF(OR(D102="",G102=""),"",(D102-G102)*100)</f>
        <v/>
      </c>
      <c r="J102" s="9">
        <f>IF(OR(E102="",F102="",G102=""),"",E102-(G102-F102)*100)</f>
        <v/>
      </c>
      <c r="K102" s="9">
        <f>IF(OR(H102="",I102="",J102=""),"",IF(MAX(ABS(H102),ABS(I102),ABS(J102))&lt;=$B$2,"GO",IF(MAX(ABS(H102),ABS(I102),ABS(J102))&lt;=$B$3,"RECALC","STOP")))</f>
        <v/>
      </c>
      <c r="L102" s="5" t="n"/>
    </row>
    <row r="103">
      <c r="A103" s="13" t="n"/>
      <c r="B103" s="10" t="n"/>
      <c r="C103" s="14" t="n"/>
      <c r="D103" s="14" t="n"/>
      <c r="E103" s="9">
        <f>IF(OR(C103="",D103=""),"",(D103-C103)*100)</f>
        <v/>
      </c>
      <c r="F103" s="25">
        <f>IF($B103="","",IFERROR(INDEX('07_Stage_Calc'!$K:$K,MATCH($B103,'07_Stage_Calc'!$A:$A,0)),""))</f>
        <v/>
      </c>
      <c r="G103" s="25">
        <f>IF($B103="","",IFERROR(INDEX('07_Stage_Calc'!$L:$L,MATCH($B103,'07_Stage_Calc'!$A:$A,0)),""))</f>
        <v/>
      </c>
      <c r="H103" s="9">
        <f>IF(OR(C103="",F103=""),"",(C103-F103)*100)</f>
        <v/>
      </c>
      <c r="I103" s="9">
        <f>IF(OR(D103="",G103=""),"",(D103-G103)*100)</f>
        <v/>
      </c>
      <c r="J103" s="9">
        <f>IF(OR(E103="",F103="",G103=""),"",E103-(G103-F103)*100)</f>
        <v/>
      </c>
      <c r="K103" s="9">
        <f>IF(OR(H103="",I103="",J103=""),"",IF(MAX(ABS(H103),ABS(I103),ABS(J103))&lt;=$B$2,"GO",IF(MAX(ABS(H103),ABS(I103),ABS(J103))&lt;=$B$3,"RECALC","STOP")))</f>
        <v/>
      </c>
      <c r="L103" s="5" t="n"/>
    </row>
    <row r="104">
      <c r="A104" s="13" t="n"/>
      <c r="B104" s="10" t="n"/>
      <c r="C104" s="14" t="n"/>
      <c r="D104" s="14" t="n"/>
      <c r="E104" s="9">
        <f>IF(OR(C104="",D104=""),"",(D104-C104)*100)</f>
        <v/>
      </c>
      <c r="F104" s="25">
        <f>IF($B104="","",IFERROR(INDEX('07_Stage_Calc'!$K:$K,MATCH($B104,'07_Stage_Calc'!$A:$A,0)),""))</f>
        <v/>
      </c>
      <c r="G104" s="25">
        <f>IF($B104="","",IFERROR(INDEX('07_Stage_Calc'!$L:$L,MATCH($B104,'07_Stage_Calc'!$A:$A,0)),""))</f>
        <v/>
      </c>
      <c r="H104" s="9">
        <f>IF(OR(C104="",F104=""),"",(C104-F104)*100)</f>
        <v/>
      </c>
      <c r="I104" s="9">
        <f>IF(OR(D104="",G104=""),"",(D104-G104)*100)</f>
        <v/>
      </c>
      <c r="J104" s="9">
        <f>IF(OR(E104="",F104="",G104=""),"",E104-(G104-F104)*100)</f>
        <v/>
      </c>
      <c r="K104" s="9">
        <f>IF(OR(H104="",I104="",J104=""),"",IF(MAX(ABS(H104),ABS(I104),ABS(J104))&lt;=$B$2,"GO",IF(MAX(ABS(H104),ABS(I104),ABS(J104))&lt;=$B$3,"RECALC","STOP")))</f>
        <v/>
      </c>
      <c r="L104" s="5" t="n"/>
    </row>
    <row r="105">
      <c r="A105" s="13" t="n"/>
      <c r="B105" s="10" t="n"/>
      <c r="C105" s="14" t="n"/>
      <c r="D105" s="14" t="n"/>
      <c r="E105" s="9">
        <f>IF(OR(C105="",D105=""),"",(D105-C105)*100)</f>
        <v/>
      </c>
      <c r="F105" s="25">
        <f>IF($B105="","",IFERROR(INDEX('07_Stage_Calc'!$K:$K,MATCH($B105,'07_Stage_Calc'!$A:$A,0)),""))</f>
        <v/>
      </c>
      <c r="G105" s="25">
        <f>IF($B105="","",IFERROR(INDEX('07_Stage_Calc'!$L:$L,MATCH($B105,'07_Stage_Calc'!$A:$A,0)),""))</f>
        <v/>
      </c>
      <c r="H105" s="9">
        <f>IF(OR(C105="",F105=""),"",(C105-F105)*100)</f>
        <v/>
      </c>
      <c r="I105" s="9">
        <f>IF(OR(D105="",G105=""),"",(D105-G105)*100)</f>
        <v/>
      </c>
      <c r="J105" s="9">
        <f>IF(OR(E105="",F105="",G105=""),"",E105-(G105-F105)*100)</f>
        <v/>
      </c>
      <c r="K105" s="9">
        <f>IF(OR(H105="",I105="",J105=""),"",IF(MAX(ABS(H105),ABS(I105),ABS(J105))&lt;=$B$2,"GO",IF(MAX(ABS(H105),ABS(I105),ABS(J105))&lt;=$B$3,"RECALC","STOP")))</f>
        <v/>
      </c>
      <c r="L105" s="5" t="n"/>
    </row>
    <row r="106">
      <c r="A106" s="13" t="n"/>
      <c r="B106" s="10" t="n"/>
      <c r="C106" s="14" t="n"/>
      <c r="D106" s="14" t="n"/>
      <c r="E106" s="9">
        <f>IF(OR(C106="",D106=""),"",(D106-C106)*100)</f>
        <v/>
      </c>
      <c r="F106" s="25">
        <f>IF($B106="","",IFERROR(INDEX('07_Stage_Calc'!$K:$K,MATCH($B106,'07_Stage_Calc'!$A:$A,0)),""))</f>
        <v/>
      </c>
      <c r="G106" s="25">
        <f>IF($B106="","",IFERROR(INDEX('07_Stage_Calc'!$L:$L,MATCH($B106,'07_Stage_Calc'!$A:$A,0)),""))</f>
        <v/>
      </c>
      <c r="H106" s="9">
        <f>IF(OR(C106="",F106=""),"",(C106-F106)*100)</f>
        <v/>
      </c>
      <c r="I106" s="9">
        <f>IF(OR(D106="",G106=""),"",(D106-G106)*100)</f>
        <v/>
      </c>
      <c r="J106" s="9">
        <f>IF(OR(E106="",F106="",G106=""),"",E106-(G106-F106)*100)</f>
        <v/>
      </c>
      <c r="K106" s="9">
        <f>IF(OR(H106="",I106="",J106=""),"",IF(MAX(ABS(H106),ABS(I106),ABS(J106))&lt;=$B$2,"GO",IF(MAX(ABS(H106),ABS(I106),ABS(J106))&lt;=$B$3,"RECALC","STOP")))</f>
        <v/>
      </c>
      <c r="L106" s="5" t="n"/>
    </row>
    <row r="107">
      <c r="A107" s="13" t="n"/>
      <c r="B107" s="10" t="n"/>
      <c r="C107" s="14" t="n"/>
      <c r="D107" s="14" t="n"/>
      <c r="E107" s="9">
        <f>IF(OR(C107="",D107=""),"",(D107-C107)*100)</f>
        <v/>
      </c>
      <c r="F107" s="25">
        <f>IF($B107="","",IFERROR(INDEX('07_Stage_Calc'!$K:$K,MATCH($B107,'07_Stage_Calc'!$A:$A,0)),""))</f>
        <v/>
      </c>
      <c r="G107" s="25">
        <f>IF($B107="","",IFERROR(INDEX('07_Stage_Calc'!$L:$L,MATCH($B107,'07_Stage_Calc'!$A:$A,0)),""))</f>
        <v/>
      </c>
      <c r="H107" s="9">
        <f>IF(OR(C107="",F107=""),"",(C107-F107)*100)</f>
        <v/>
      </c>
      <c r="I107" s="9">
        <f>IF(OR(D107="",G107=""),"",(D107-G107)*100)</f>
        <v/>
      </c>
      <c r="J107" s="9">
        <f>IF(OR(E107="",F107="",G107=""),"",E107-(G107-F107)*100)</f>
        <v/>
      </c>
      <c r="K107" s="9">
        <f>IF(OR(H107="",I107="",J107=""),"",IF(MAX(ABS(H107),ABS(I107),ABS(J107))&lt;=$B$2,"GO",IF(MAX(ABS(H107),ABS(I107),ABS(J107))&lt;=$B$3,"RECALC","STOP")))</f>
        <v/>
      </c>
      <c r="L107" s="5" t="n"/>
    </row>
    <row r="108">
      <c r="A108" s="13" t="n"/>
      <c r="B108" s="10" t="n"/>
      <c r="C108" s="14" t="n"/>
      <c r="D108" s="14" t="n"/>
      <c r="E108" s="9">
        <f>IF(OR(C108="",D108=""),"",(D108-C108)*100)</f>
        <v/>
      </c>
      <c r="F108" s="25">
        <f>IF($B108="","",IFERROR(INDEX('07_Stage_Calc'!$K:$K,MATCH($B108,'07_Stage_Calc'!$A:$A,0)),""))</f>
        <v/>
      </c>
      <c r="G108" s="25">
        <f>IF($B108="","",IFERROR(INDEX('07_Stage_Calc'!$L:$L,MATCH($B108,'07_Stage_Calc'!$A:$A,0)),""))</f>
        <v/>
      </c>
      <c r="H108" s="9">
        <f>IF(OR(C108="",F108=""),"",(C108-F108)*100)</f>
        <v/>
      </c>
      <c r="I108" s="9">
        <f>IF(OR(D108="",G108=""),"",(D108-G108)*100)</f>
        <v/>
      </c>
      <c r="J108" s="9">
        <f>IF(OR(E108="",F108="",G108=""),"",E108-(G108-F108)*100)</f>
        <v/>
      </c>
      <c r="K108" s="9">
        <f>IF(OR(H108="",I108="",J108=""),"",IF(MAX(ABS(H108),ABS(I108),ABS(J108))&lt;=$B$2,"GO",IF(MAX(ABS(H108),ABS(I108),ABS(J108))&lt;=$B$3,"RECALC","STOP")))</f>
        <v/>
      </c>
      <c r="L108" s="5" t="n"/>
    </row>
    <row r="109">
      <c r="A109" s="13" t="n"/>
      <c r="B109" s="10" t="n"/>
      <c r="C109" s="14" t="n"/>
      <c r="D109" s="14" t="n"/>
      <c r="E109" s="9">
        <f>IF(OR(C109="",D109=""),"",(D109-C109)*100)</f>
        <v/>
      </c>
      <c r="F109" s="25">
        <f>IF($B109="","",IFERROR(INDEX('07_Stage_Calc'!$K:$K,MATCH($B109,'07_Stage_Calc'!$A:$A,0)),""))</f>
        <v/>
      </c>
      <c r="G109" s="25">
        <f>IF($B109="","",IFERROR(INDEX('07_Stage_Calc'!$L:$L,MATCH($B109,'07_Stage_Calc'!$A:$A,0)),""))</f>
        <v/>
      </c>
      <c r="H109" s="9">
        <f>IF(OR(C109="",F109=""),"",(C109-F109)*100)</f>
        <v/>
      </c>
      <c r="I109" s="9">
        <f>IF(OR(D109="",G109=""),"",(D109-G109)*100)</f>
        <v/>
      </c>
      <c r="J109" s="9">
        <f>IF(OR(E109="",F109="",G109=""),"",E109-(G109-F109)*100)</f>
        <v/>
      </c>
      <c r="K109" s="9">
        <f>IF(OR(H109="",I109="",J109=""),"",IF(MAX(ABS(H109),ABS(I109),ABS(J109))&lt;=$B$2,"GO",IF(MAX(ABS(H109),ABS(I109),ABS(J109))&lt;=$B$3,"RECALC","STOP")))</f>
        <v/>
      </c>
      <c r="L109" s="5" t="n"/>
    </row>
    <row r="110">
      <c r="A110" s="13" t="n"/>
      <c r="B110" s="10" t="n"/>
      <c r="C110" s="14" t="n"/>
      <c r="D110" s="14" t="n"/>
      <c r="E110" s="9">
        <f>IF(OR(C110="",D110=""),"",(D110-C110)*100)</f>
        <v/>
      </c>
      <c r="F110" s="25">
        <f>IF($B110="","",IFERROR(INDEX('07_Stage_Calc'!$K:$K,MATCH($B110,'07_Stage_Calc'!$A:$A,0)),""))</f>
        <v/>
      </c>
      <c r="G110" s="25">
        <f>IF($B110="","",IFERROR(INDEX('07_Stage_Calc'!$L:$L,MATCH($B110,'07_Stage_Calc'!$A:$A,0)),""))</f>
        <v/>
      </c>
      <c r="H110" s="9">
        <f>IF(OR(C110="",F110=""),"",(C110-F110)*100)</f>
        <v/>
      </c>
      <c r="I110" s="9">
        <f>IF(OR(D110="",G110=""),"",(D110-G110)*100)</f>
        <v/>
      </c>
      <c r="J110" s="9">
        <f>IF(OR(E110="",F110="",G110=""),"",E110-(G110-F110)*100)</f>
        <v/>
      </c>
      <c r="K110" s="9">
        <f>IF(OR(H110="",I110="",J110=""),"",IF(MAX(ABS(H110),ABS(I110),ABS(J110))&lt;=$B$2,"GO",IF(MAX(ABS(H110),ABS(I110),ABS(J110))&lt;=$B$3,"RECALC","STOP")))</f>
        <v/>
      </c>
      <c r="L110" s="5" t="n"/>
    </row>
    <row r="111">
      <c r="A111" s="13" t="n"/>
      <c r="B111" s="10" t="n"/>
      <c r="C111" s="14" t="n"/>
      <c r="D111" s="14" t="n"/>
      <c r="E111" s="9">
        <f>IF(OR(C111="",D111=""),"",(D111-C111)*100)</f>
        <v/>
      </c>
      <c r="F111" s="25">
        <f>IF($B111="","",IFERROR(INDEX('07_Stage_Calc'!$K:$K,MATCH($B111,'07_Stage_Calc'!$A:$A,0)),""))</f>
        <v/>
      </c>
      <c r="G111" s="25">
        <f>IF($B111="","",IFERROR(INDEX('07_Stage_Calc'!$L:$L,MATCH($B111,'07_Stage_Calc'!$A:$A,0)),""))</f>
        <v/>
      </c>
      <c r="H111" s="9">
        <f>IF(OR(C111="",F111=""),"",(C111-F111)*100)</f>
        <v/>
      </c>
      <c r="I111" s="9">
        <f>IF(OR(D111="",G111=""),"",(D111-G111)*100)</f>
        <v/>
      </c>
      <c r="J111" s="9">
        <f>IF(OR(E111="",F111="",G111=""),"",E111-(G111-F111)*100)</f>
        <v/>
      </c>
      <c r="K111" s="9">
        <f>IF(OR(H111="",I111="",J111=""),"",IF(MAX(ABS(H111),ABS(I111),ABS(J111))&lt;=$B$2,"GO",IF(MAX(ABS(H111),ABS(I111),ABS(J111))&lt;=$B$3,"RECALC","STOP")))</f>
        <v/>
      </c>
      <c r="L111" s="5" t="n"/>
    </row>
    <row r="112">
      <c r="A112" s="13" t="n"/>
      <c r="B112" s="10" t="n"/>
      <c r="C112" s="14" t="n"/>
      <c r="D112" s="14" t="n"/>
      <c r="E112" s="9">
        <f>IF(OR(C112="",D112=""),"",(D112-C112)*100)</f>
        <v/>
      </c>
      <c r="F112" s="25">
        <f>IF($B112="","",IFERROR(INDEX('07_Stage_Calc'!$K:$K,MATCH($B112,'07_Stage_Calc'!$A:$A,0)),""))</f>
        <v/>
      </c>
      <c r="G112" s="25">
        <f>IF($B112="","",IFERROR(INDEX('07_Stage_Calc'!$L:$L,MATCH($B112,'07_Stage_Calc'!$A:$A,0)),""))</f>
        <v/>
      </c>
      <c r="H112" s="9">
        <f>IF(OR(C112="",F112=""),"",(C112-F112)*100)</f>
        <v/>
      </c>
      <c r="I112" s="9">
        <f>IF(OR(D112="",G112=""),"",(D112-G112)*100)</f>
        <v/>
      </c>
      <c r="J112" s="9">
        <f>IF(OR(E112="",F112="",G112=""),"",E112-(G112-F112)*100)</f>
        <v/>
      </c>
      <c r="K112" s="9">
        <f>IF(OR(H112="",I112="",J112=""),"",IF(MAX(ABS(H112),ABS(I112),ABS(J112))&lt;=$B$2,"GO",IF(MAX(ABS(H112),ABS(I112),ABS(J112))&lt;=$B$3,"RECALC","STOP")))</f>
        <v/>
      </c>
      <c r="L112" s="5" t="n"/>
    </row>
    <row r="113">
      <c r="A113" s="13" t="n"/>
      <c r="B113" s="10" t="n"/>
      <c r="C113" s="14" t="n"/>
      <c r="D113" s="14" t="n"/>
      <c r="E113" s="9">
        <f>IF(OR(C113="",D113=""),"",(D113-C113)*100)</f>
        <v/>
      </c>
      <c r="F113" s="25">
        <f>IF($B113="","",IFERROR(INDEX('07_Stage_Calc'!$K:$K,MATCH($B113,'07_Stage_Calc'!$A:$A,0)),""))</f>
        <v/>
      </c>
      <c r="G113" s="25">
        <f>IF($B113="","",IFERROR(INDEX('07_Stage_Calc'!$L:$L,MATCH($B113,'07_Stage_Calc'!$A:$A,0)),""))</f>
        <v/>
      </c>
      <c r="H113" s="9">
        <f>IF(OR(C113="",F113=""),"",(C113-F113)*100)</f>
        <v/>
      </c>
      <c r="I113" s="9">
        <f>IF(OR(D113="",G113=""),"",(D113-G113)*100)</f>
        <v/>
      </c>
      <c r="J113" s="9">
        <f>IF(OR(E113="",F113="",G113=""),"",E113-(G113-F113)*100)</f>
        <v/>
      </c>
      <c r="K113" s="9">
        <f>IF(OR(H113="",I113="",J113=""),"",IF(MAX(ABS(H113),ABS(I113),ABS(J113))&lt;=$B$2,"GO",IF(MAX(ABS(H113),ABS(I113),ABS(J113))&lt;=$B$3,"RECALC","STOP")))</f>
        <v/>
      </c>
      <c r="L113" s="5" t="n"/>
    </row>
    <row r="114">
      <c r="A114" s="13" t="n"/>
      <c r="B114" s="10" t="n"/>
      <c r="C114" s="14" t="n"/>
      <c r="D114" s="14" t="n"/>
      <c r="E114" s="9">
        <f>IF(OR(C114="",D114=""),"",(D114-C114)*100)</f>
        <v/>
      </c>
      <c r="F114" s="25">
        <f>IF($B114="","",IFERROR(INDEX('07_Stage_Calc'!$K:$K,MATCH($B114,'07_Stage_Calc'!$A:$A,0)),""))</f>
        <v/>
      </c>
      <c r="G114" s="25">
        <f>IF($B114="","",IFERROR(INDEX('07_Stage_Calc'!$L:$L,MATCH($B114,'07_Stage_Calc'!$A:$A,0)),""))</f>
        <v/>
      </c>
      <c r="H114" s="9">
        <f>IF(OR(C114="",F114=""),"",(C114-F114)*100)</f>
        <v/>
      </c>
      <c r="I114" s="9">
        <f>IF(OR(D114="",G114=""),"",(D114-G114)*100)</f>
        <v/>
      </c>
      <c r="J114" s="9">
        <f>IF(OR(E114="",F114="",G114=""),"",E114-(G114-F114)*100)</f>
        <v/>
      </c>
      <c r="K114" s="9">
        <f>IF(OR(H114="",I114="",J114=""),"",IF(MAX(ABS(H114),ABS(I114),ABS(J114))&lt;=$B$2,"GO",IF(MAX(ABS(H114),ABS(I114),ABS(J114))&lt;=$B$3,"RECALC","STOP")))</f>
        <v/>
      </c>
      <c r="L114" s="5" t="n"/>
    </row>
    <row r="115">
      <c r="A115" s="13" t="n"/>
      <c r="B115" s="10" t="n"/>
      <c r="C115" s="14" t="n"/>
      <c r="D115" s="14" t="n"/>
      <c r="E115" s="9">
        <f>IF(OR(C115="",D115=""),"",(D115-C115)*100)</f>
        <v/>
      </c>
      <c r="F115" s="25">
        <f>IF($B115="","",IFERROR(INDEX('07_Stage_Calc'!$K:$K,MATCH($B115,'07_Stage_Calc'!$A:$A,0)),""))</f>
        <v/>
      </c>
      <c r="G115" s="25">
        <f>IF($B115="","",IFERROR(INDEX('07_Stage_Calc'!$L:$L,MATCH($B115,'07_Stage_Calc'!$A:$A,0)),""))</f>
        <v/>
      </c>
      <c r="H115" s="9">
        <f>IF(OR(C115="",F115=""),"",(C115-F115)*100)</f>
        <v/>
      </c>
      <c r="I115" s="9">
        <f>IF(OR(D115="",G115=""),"",(D115-G115)*100)</f>
        <v/>
      </c>
      <c r="J115" s="9">
        <f>IF(OR(E115="",F115="",G115=""),"",E115-(G115-F115)*100)</f>
        <v/>
      </c>
      <c r="K115" s="9">
        <f>IF(OR(H115="",I115="",J115=""),"",IF(MAX(ABS(H115),ABS(I115),ABS(J115))&lt;=$B$2,"GO",IF(MAX(ABS(H115),ABS(I115),ABS(J115))&lt;=$B$3,"RECALC","STOP")))</f>
        <v/>
      </c>
      <c r="L115" s="5" t="n"/>
    </row>
    <row r="116">
      <c r="A116" s="13" t="n"/>
      <c r="B116" s="10" t="n"/>
      <c r="C116" s="14" t="n"/>
      <c r="D116" s="14" t="n"/>
      <c r="E116" s="9">
        <f>IF(OR(C116="",D116=""),"",(D116-C116)*100)</f>
        <v/>
      </c>
      <c r="F116" s="25">
        <f>IF($B116="","",IFERROR(INDEX('07_Stage_Calc'!$K:$K,MATCH($B116,'07_Stage_Calc'!$A:$A,0)),""))</f>
        <v/>
      </c>
      <c r="G116" s="25">
        <f>IF($B116="","",IFERROR(INDEX('07_Stage_Calc'!$L:$L,MATCH($B116,'07_Stage_Calc'!$A:$A,0)),""))</f>
        <v/>
      </c>
      <c r="H116" s="9">
        <f>IF(OR(C116="",F116=""),"",(C116-F116)*100)</f>
        <v/>
      </c>
      <c r="I116" s="9">
        <f>IF(OR(D116="",G116=""),"",(D116-G116)*100)</f>
        <v/>
      </c>
      <c r="J116" s="9">
        <f>IF(OR(E116="",F116="",G116=""),"",E116-(G116-F116)*100)</f>
        <v/>
      </c>
      <c r="K116" s="9">
        <f>IF(OR(H116="",I116="",J116=""),"",IF(MAX(ABS(H116),ABS(I116),ABS(J116))&lt;=$B$2,"GO",IF(MAX(ABS(H116),ABS(I116),ABS(J116))&lt;=$B$3,"RECALC","STOP")))</f>
        <v/>
      </c>
      <c r="L116" s="5" t="n"/>
    </row>
    <row r="117">
      <c r="A117" s="13" t="n"/>
      <c r="B117" s="10" t="n"/>
      <c r="C117" s="14" t="n"/>
      <c r="D117" s="14" t="n"/>
      <c r="E117" s="9">
        <f>IF(OR(C117="",D117=""),"",(D117-C117)*100)</f>
        <v/>
      </c>
      <c r="F117" s="25">
        <f>IF($B117="","",IFERROR(INDEX('07_Stage_Calc'!$K:$K,MATCH($B117,'07_Stage_Calc'!$A:$A,0)),""))</f>
        <v/>
      </c>
      <c r="G117" s="25">
        <f>IF($B117="","",IFERROR(INDEX('07_Stage_Calc'!$L:$L,MATCH($B117,'07_Stage_Calc'!$A:$A,0)),""))</f>
        <v/>
      </c>
      <c r="H117" s="9">
        <f>IF(OR(C117="",F117=""),"",(C117-F117)*100)</f>
        <v/>
      </c>
      <c r="I117" s="9">
        <f>IF(OR(D117="",G117=""),"",(D117-G117)*100)</f>
        <v/>
      </c>
      <c r="J117" s="9">
        <f>IF(OR(E117="",F117="",G117=""),"",E117-(G117-F117)*100)</f>
        <v/>
      </c>
      <c r="K117" s="9">
        <f>IF(OR(H117="",I117="",J117=""),"",IF(MAX(ABS(H117),ABS(I117),ABS(J117))&lt;=$B$2,"GO",IF(MAX(ABS(H117),ABS(I117),ABS(J117))&lt;=$B$3,"RECALC","STOP")))</f>
        <v/>
      </c>
      <c r="L117" s="5" t="n"/>
    </row>
    <row r="118">
      <c r="A118" s="13" t="n"/>
      <c r="B118" s="10" t="n"/>
      <c r="C118" s="14" t="n"/>
      <c r="D118" s="14" t="n"/>
      <c r="E118" s="9">
        <f>IF(OR(C118="",D118=""),"",(D118-C118)*100)</f>
        <v/>
      </c>
      <c r="F118" s="25">
        <f>IF($B118="","",IFERROR(INDEX('07_Stage_Calc'!$K:$K,MATCH($B118,'07_Stage_Calc'!$A:$A,0)),""))</f>
        <v/>
      </c>
      <c r="G118" s="25">
        <f>IF($B118="","",IFERROR(INDEX('07_Stage_Calc'!$L:$L,MATCH($B118,'07_Stage_Calc'!$A:$A,0)),""))</f>
        <v/>
      </c>
      <c r="H118" s="9">
        <f>IF(OR(C118="",F118=""),"",(C118-F118)*100)</f>
        <v/>
      </c>
      <c r="I118" s="9">
        <f>IF(OR(D118="",G118=""),"",(D118-G118)*100)</f>
        <v/>
      </c>
      <c r="J118" s="9">
        <f>IF(OR(E118="",F118="",G118=""),"",E118-(G118-F118)*100)</f>
        <v/>
      </c>
      <c r="K118" s="9">
        <f>IF(OR(H118="",I118="",J118=""),"",IF(MAX(ABS(H118),ABS(I118),ABS(J118))&lt;=$B$2,"GO",IF(MAX(ABS(H118),ABS(I118),ABS(J118))&lt;=$B$3,"RECALC","STOP")))</f>
        <v/>
      </c>
      <c r="L118" s="5" t="n"/>
    </row>
    <row r="119">
      <c r="A119" s="13" t="n"/>
      <c r="B119" s="10" t="n"/>
      <c r="C119" s="14" t="n"/>
      <c r="D119" s="14" t="n"/>
      <c r="E119" s="9">
        <f>IF(OR(C119="",D119=""),"",(D119-C119)*100)</f>
        <v/>
      </c>
      <c r="F119" s="25">
        <f>IF($B119="","",IFERROR(INDEX('07_Stage_Calc'!$K:$K,MATCH($B119,'07_Stage_Calc'!$A:$A,0)),""))</f>
        <v/>
      </c>
      <c r="G119" s="25">
        <f>IF($B119="","",IFERROR(INDEX('07_Stage_Calc'!$L:$L,MATCH($B119,'07_Stage_Calc'!$A:$A,0)),""))</f>
        <v/>
      </c>
      <c r="H119" s="9">
        <f>IF(OR(C119="",F119=""),"",(C119-F119)*100)</f>
        <v/>
      </c>
      <c r="I119" s="9">
        <f>IF(OR(D119="",G119=""),"",(D119-G119)*100)</f>
        <v/>
      </c>
      <c r="J119" s="9">
        <f>IF(OR(E119="",F119="",G119=""),"",E119-(G119-F119)*100)</f>
        <v/>
      </c>
      <c r="K119" s="9">
        <f>IF(OR(H119="",I119="",J119=""),"",IF(MAX(ABS(H119),ABS(I119),ABS(J119))&lt;=$B$2,"GO",IF(MAX(ABS(H119),ABS(I119),ABS(J119))&lt;=$B$3,"RECALC","STOP")))</f>
        <v/>
      </c>
      <c r="L119" s="5" t="n"/>
    </row>
    <row r="120">
      <c r="A120" s="13" t="n"/>
      <c r="B120" s="10" t="n"/>
      <c r="C120" s="14" t="n"/>
      <c r="D120" s="14" t="n"/>
      <c r="E120" s="9">
        <f>IF(OR(C120="",D120=""),"",(D120-C120)*100)</f>
        <v/>
      </c>
      <c r="F120" s="25">
        <f>IF($B120="","",IFERROR(INDEX('07_Stage_Calc'!$K:$K,MATCH($B120,'07_Stage_Calc'!$A:$A,0)),""))</f>
        <v/>
      </c>
      <c r="G120" s="25">
        <f>IF($B120="","",IFERROR(INDEX('07_Stage_Calc'!$L:$L,MATCH($B120,'07_Stage_Calc'!$A:$A,0)),""))</f>
        <v/>
      </c>
      <c r="H120" s="9">
        <f>IF(OR(C120="",F120=""),"",(C120-F120)*100)</f>
        <v/>
      </c>
      <c r="I120" s="9">
        <f>IF(OR(D120="",G120=""),"",(D120-G120)*100)</f>
        <v/>
      </c>
      <c r="J120" s="9">
        <f>IF(OR(E120="",F120="",G120=""),"",E120-(G120-F120)*100)</f>
        <v/>
      </c>
      <c r="K120" s="9">
        <f>IF(OR(H120="",I120="",J120=""),"",IF(MAX(ABS(H120),ABS(I120),ABS(J120))&lt;=$B$2,"GO",IF(MAX(ABS(H120),ABS(I120),ABS(J120))&lt;=$B$3,"RECALC","STOP")))</f>
        <v/>
      </c>
      <c r="L120" s="5" t="n"/>
    </row>
    <row r="121">
      <c r="A121" s="13" t="n"/>
      <c r="B121" s="10" t="n"/>
      <c r="C121" s="14" t="n"/>
      <c r="D121" s="14" t="n"/>
      <c r="E121" s="9">
        <f>IF(OR(C121="",D121=""),"",(D121-C121)*100)</f>
        <v/>
      </c>
      <c r="F121" s="25">
        <f>IF($B121="","",IFERROR(INDEX('07_Stage_Calc'!$K:$K,MATCH($B121,'07_Stage_Calc'!$A:$A,0)),""))</f>
        <v/>
      </c>
      <c r="G121" s="25">
        <f>IF($B121="","",IFERROR(INDEX('07_Stage_Calc'!$L:$L,MATCH($B121,'07_Stage_Calc'!$A:$A,0)),""))</f>
        <v/>
      </c>
      <c r="H121" s="9">
        <f>IF(OR(C121="",F121=""),"",(C121-F121)*100)</f>
        <v/>
      </c>
      <c r="I121" s="9">
        <f>IF(OR(D121="",G121=""),"",(D121-G121)*100)</f>
        <v/>
      </c>
      <c r="J121" s="9">
        <f>IF(OR(E121="",F121="",G121=""),"",E121-(G121-F121)*100)</f>
        <v/>
      </c>
      <c r="K121" s="9">
        <f>IF(OR(H121="",I121="",J121=""),"",IF(MAX(ABS(H121),ABS(I121),ABS(J121))&lt;=$B$2,"GO",IF(MAX(ABS(H121),ABS(I121),ABS(J121))&lt;=$B$3,"RECALC","STOP")))</f>
        <v/>
      </c>
      <c r="L121" s="5" t="n"/>
    </row>
    <row r="122">
      <c r="A122" s="13" t="n"/>
      <c r="B122" s="10" t="n"/>
      <c r="C122" s="14" t="n"/>
      <c r="D122" s="14" t="n"/>
      <c r="E122" s="9">
        <f>IF(OR(C122="",D122=""),"",(D122-C122)*100)</f>
        <v/>
      </c>
      <c r="F122" s="25">
        <f>IF($B122="","",IFERROR(INDEX('07_Stage_Calc'!$K:$K,MATCH($B122,'07_Stage_Calc'!$A:$A,0)),""))</f>
        <v/>
      </c>
      <c r="G122" s="25">
        <f>IF($B122="","",IFERROR(INDEX('07_Stage_Calc'!$L:$L,MATCH($B122,'07_Stage_Calc'!$A:$A,0)),""))</f>
        <v/>
      </c>
      <c r="H122" s="9">
        <f>IF(OR(C122="",F122=""),"",(C122-F122)*100)</f>
        <v/>
      </c>
      <c r="I122" s="9">
        <f>IF(OR(D122="",G122=""),"",(D122-G122)*100)</f>
        <v/>
      </c>
      <c r="J122" s="9">
        <f>IF(OR(E122="",F122="",G122=""),"",E122-(G122-F122)*100)</f>
        <v/>
      </c>
      <c r="K122" s="9">
        <f>IF(OR(H122="",I122="",J122=""),"",IF(MAX(ABS(H122),ABS(I122),ABS(J122))&lt;=$B$2,"GO",IF(MAX(ABS(H122),ABS(I122),ABS(J122))&lt;=$B$3,"RECALC","STOP")))</f>
        <v/>
      </c>
      <c r="L122" s="5" t="n"/>
    </row>
    <row r="123">
      <c r="A123" s="13" t="n"/>
      <c r="B123" s="10" t="n"/>
      <c r="C123" s="14" t="n"/>
      <c r="D123" s="14" t="n"/>
      <c r="E123" s="9">
        <f>IF(OR(C123="",D123=""),"",(D123-C123)*100)</f>
        <v/>
      </c>
      <c r="F123" s="25">
        <f>IF($B123="","",IFERROR(INDEX('07_Stage_Calc'!$K:$K,MATCH($B123,'07_Stage_Calc'!$A:$A,0)),""))</f>
        <v/>
      </c>
      <c r="G123" s="25">
        <f>IF($B123="","",IFERROR(INDEX('07_Stage_Calc'!$L:$L,MATCH($B123,'07_Stage_Calc'!$A:$A,0)),""))</f>
        <v/>
      </c>
      <c r="H123" s="9">
        <f>IF(OR(C123="",F123=""),"",(C123-F123)*100)</f>
        <v/>
      </c>
      <c r="I123" s="9">
        <f>IF(OR(D123="",G123=""),"",(D123-G123)*100)</f>
        <v/>
      </c>
      <c r="J123" s="9">
        <f>IF(OR(E123="",F123="",G123=""),"",E123-(G123-F123)*100)</f>
        <v/>
      </c>
      <c r="K123" s="9">
        <f>IF(OR(H123="",I123="",J123=""),"",IF(MAX(ABS(H123),ABS(I123),ABS(J123))&lt;=$B$2,"GO",IF(MAX(ABS(H123),ABS(I123),ABS(J123))&lt;=$B$3,"RECALC","STOP")))</f>
        <v/>
      </c>
      <c r="L123" s="5" t="n"/>
    </row>
    <row r="124">
      <c r="A124" s="13" t="n"/>
      <c r="B124" s="10" t="n"/>
      <c r="C124" s="14" t="n"/>
      <c r="D124" s="14" t="n"/>
      <c r="E124" s="9">
        <f>IF(OR(C124="",D124=""),"",(D124-C124)*100)</f>
        <v/>
      </c>
      <c r="F124" s="25">
        <f>IF($B124="","",IFERROR(INDEX('07_Stage_Calc'!$K:$K,MATCH($B124,'07_Stage_Calc'!$A:$A,0)),""))</f>
        <v/>
      </c>
      <c r="G124" s="25">
        <f>IF($B124="","",IFERROR(INDEX('07_Stage_Calc'!$L:$L,MATCH($B124,'07_Stage_Calc'!$A:$A,0)),""))</f>
        <v/>
      </c>
      <c r="H124" s="9">
        <f>IF(OR(C124="",F124=""),"",(C124-F124)*100)</f>
        <v/>
      </c>
      <c r="I124" s="9">
        <f>IF(OR(D124="",G124=""),"",(D124-G124)*100)</f>
        <v/>
      </c>
      <c r="J124" s="9">
        <f>IF(OR(E124="",F124="",G124=""),"",E124-(G124-F124)*100)</f>
        <v/>
      </c>
      <c r="K124" s="9">
        <f>IF(OR(H124="",I124="",J124=""),"",IF(MAX(ABS(H124),ABS(I124),ABS(J124))&lt;=$B$2,"GO",IF(MAX(ABS(H124),ABS(I124),ABS(J124))&lt;=$B$3,"RECALC","STOP")))</f>
        <v/>
      </c>
      <c r="L124" s="5" t="n"/>
    </row>
    <row r="125">
      <c r="A125" s="13" t="n"/>
      <c r="B125" s="10" t="n"/>
      <c r="C125" s="14" t="n"/>
      <c r="D125" s="14" t="n"/>
      <c r="E125" s="9">
        <f>IF(OR(C125="",D125=""),"",(D125-C125)*100)</f>
        <v/>
      </c>
      <c r="F125" s="25">
        <f>IF($B125="","",IFERROR(INDEX('07_Stage_Calc'!$K:$K,MATCH($B125,'07_Stage_Calc'!$A:$A,0)),""))</f>
        <v/>
      </c>
      <c r="G125" s="25">
        <f>IF($B125="","",IFERROR(INDEX('07_Stage_Calc'!$L:$L,MATCH($B125,'07_Stage_Calc'!$A:$A,0)),""))</f>
        <v/>
      </c>
      <c r="H125" s="9">
        <f>IF(OR(C125="",F125=""),"",(C125-F125)*100)</f>
        <v/>
      </c>
      <c r="I125" s="9">
        <f>IF(OR(D125="",G125=""),"",(D125-G125)*100)</f>
        <v/>
      </c>
      <c r="J125" s="9">
        <f>IF(OR(E125="",F125="",G125=""),"",E125-(G125-F125)*100)</f>
        <v/>
      </c>
      <c r="K125" s="9">
        <f>IF(OR(H125="",I125="",J125=""),"",IF(MAX(ABS(H125),ABS(I125),ABS(J125))&lt;=$B$2,"GO",IF(MAX(ABS(H125),ABS(I125),ABS(J125))&lt;=$B$3,"RECALC","STOP")))</f>
        <v/>
      </c>
      <c r="L125" s="5" t="n"/>
    </row>
    <row r="126">
      <c r="A126" s="13" t="n"/>
      <c r="B126" s="10" t="n"/>
      <c r="C126" s="14" t="n"/>
      <c r="D126" s="14" t="n"/>
      <c r="E126" s="9">
        <f>IF(OR(C126="",D126=""),"",(D126-C126)*100)</f>
        <v/>
      </c>
      <c r="F126" s="25">
        <f>IF($B126="","",IFERROR(INDEX('07_Stage_Calc'!$K:$K,MATCH($B126,'07_Stage_Calc'!$A:$A,0)),""))</f>
        <v/>
      </c>
      <c r="G126" s="25">
        <f>IF($B126="","",IFERROR(INDEX('07_Stage_Calc'!$L:$L,MATCH($B126,'07_Stage_Calc'!$A:$A,0)),""))</f>
        <v/>
      </c>
      <c r="H126" s="9">
        <f>IF(OR(C126="",F126=""),"",(C126-F126)*100)</f>
        <v/>
      </c>
      <c r="I126" s="9">
        <f>IF(OR(D126="",G126=""),"",(D126-G126)*100)</f>
        <v/>
      </c>
      <c r="J126" s="9">
        <f>IF(OR(E126="",F126="",G126=""),"",E126-(G126-F126)*100)</f>
        <v/>
      </c>
      <c r="K126" s="9">
        <f>IF(OR(H126="",I126="",J126=""),"",IF(MAX(ABS(H126),ABS(I126),ABS(J126))&lt;=$B$2,"GO",IF(MAX(ABS(H126),ABS(I126),ABS(J126))&lt;=$B$3,"RECALC","STOP")))</f>
        <v/>
      </c>
      <c r="L126" s="5" t="n"/>
    </row>
    <row r="127">
      <c r="A127" s="13" t="n"/>
      <c r="B127" s="10" t="n"/>
      <c r="C127" s="14" t="n"/>
      <c r="D127" s="14" t="n"/>
      <c r="E127" s="9">
        <f>IF(OR(C127="",D127=""),"",(D127-C127)*100)</f>
        <v/>
      </c>
      <c r="F127" s="25">
        <f>IF($B127="","",IFERROR(INDEX('07_Stage_Calc'!$K:$K,MATCH($B127,'07_Stage_Calc'!$A:$A,0)),""))</f>
        <v/>
      </c>
      <c r="G127" s="25">
        <f>IF($B127="","",IFERROR(INDEX('07_Stage_Calc'!$L:$L,MATCH($B127,'07_Stage_Calc'!$A:$A,0)),""))</f>
        <v/>
      </c>
      <c r="H127" s="9">
        <f>IF(OR(C127="",F127=""),"",(C127-F127)*100)</f>
        <v/>
      </c>
      <c r="I127" s="9">
        <f>IF(OR(D127="",G127=""),"",(D127-G127)*100)</f>
        <v/>
      </c>
      <c r="J127" s="9">
        <f>IF(OR(E127="",F127="",G127=""),"",E127-(G127-F127)*100)</f>
        <v/>
      </c>
      <c r="K127" s="9">
        <f>IF(OR(H127="",I127="",J127=""),"",IF(MAX(ABS(H127),ABS(I127),ABS(J127))&lt;=$B$2,"GO",IF(MAX(ABS(H127),ABS(I127),ABS(J127))&lt;=$B$3,"RECALC","STOP")))</f>
        <v/>
      </c>
      <c r="L127" s="5" t="n"/>
    </row>
    <row r="128">
      <c r="A128" s="13" t="n"/>
      <c r="B128" s="10" t="n"/>
      <c r="C128" s="14" t="n"/>
      <c r="D128" s="14" t="n"/>
      <c r="E128" s="9">
        <f>IF(OR(C128="",D128=""),"",(D128-C128)*100)</f>
        <v/>
      </c>
      <c r="F128" s="25">
        <f>IF($B128="","",IFERROR(INDEX('07_Stage_Calc'!$K:$K,MATCH($B128,'07_Stage_Calc'!$A:$A,0)),""))</f>
        <v/>
      </c>
      <c r="G128" s="25">
        <f>IF($B128="","",IFERROR(INDEX('07_Stage_Calc'!$L:$L,MATCH($B128,'07_Stage_Calc'!$A:$A,0)),""))</f>
        <v/>
      </c>
      <c r="H128" s="9">
        <f>IF(OR(C128="",F128=""),"",(C128-F128)*100)</f>
        <v/>
      </c>
      <c r="I128" s="9">
        <f>IF(OR(D128="",G128=""),"",(D128-G128)*100)</f>
        <v/>
      </c>
      <c r="J128" s="9">
        <f>IF(OR(E128="",F128="",G128=""),"",E128-(G128-F128)*100)</f>
        <v/>
      </c>
      <c r="K128" s="9">
        <f>IF(OR(H128="",I128="",J128=""),"",IF(MAX(ABS(H128),ABS(I128),ABS(J128))&lt;=$B$2,"GO",IF(MAX(ABS(H128),ABS(I128),ABS(J128))&lt;=$B$3,"RECALC","STOP")))</f>
        <v/>
      </c>
      <c r="L128" s="5" t="n"/>
    </row>
    <row r="129">
      <c r="A129" s="13" t="n"/>
      <c r="B129" s="10" t="n"/>
      <c r="C129" s="14" t="n"/>
      <c r="D129" s="14" t="n"/>
      <c r="E129" s="9">
        <f>IF(OR(C129="",D129=""),"",(D129-C129)*100)</f>
        <v/>
      </c>
      <c r="F129" s="25">
        <f>IF($B129="","",IFERROR(INDEX('07_Stage_Calc'!$K:$K,MATCH($B129,'07_Stage_Calc'!$A:$A,0)),""))</f>
        <v/>
      </c>
      <c r="G129" s="25">
        <f>IF($B129="","",IFERROR(INDEX('07_Stage_Calc'!$L:$L,MATCH($B129,'07_Stage_Calc'!$A:$A,0)),""))</f>
        <v/>
      </c>
      <c r="H129" s="9">
        <f>IF(OR(C129="",F129=""),"",(C129-F129)*100)</f>
        <v/>
      </c>
      <c r="I129" s="9">
        <f>IF(OR(D129="",G129=""),"",(D129-G129)*100)</f>
        <v/>
      </c>
      <c r="J129" s="9">
        <f>IF(OR(E129="",F129="",G129=""),"",E129-(G129-F129)*100)</f>
        <v/>
      </c>
      <c r="K129" s="9">
        <f>IF(OR(H129="",I129="",J129=""),"",IF(MAX(ABS(H129),ABS(I129),ABS(J129))&lt;=$B$2,"GO",IF(MAX(ABS(H129),ABS(I129),ABS(J129))&lt;=$B$3,"RECALC","STOP")))</f>
        <v/>
      </c>
      <c r="L129" s="5" t="n"/>
    </row>
    <row r="130">
      <c r="A130" s="13" t="n"/>
      <c r="B130" s="10" t="n"/>
      <c r="C130" s="14" t="n"/>
      <c r="D130" s="14" t="n"/>
      <c r="E130" s="9">
        <f>IF(OR(C130="",D130=""),"",(D130-C130)*100)</f>
        <v/>
      </c>
      <c r="F130" s="25">
        <f>IF($B130="","",IFERROR(INDEX('07_Stage_Calc'!$K:$K,MATCH($B130,'07_Stage_Calc'!$A:$A,0)),""))</f>
        <v/>
      </c>
      <c r="G130" s="25">
        <f>IF($B130="","",IFERROR(INDEX('07_Stage_Calc'!$L:$L,MATCH($B130,'07_Stage_Calc'!$A:$A,0)),""))</f>
        <v/>
      </c>
      <c r="H130" s="9">
        <f>IF(OR(C130="",F130=""),"",(C130-F130)*100)</f>
        <v/>
      </c>
      <c r="I130" s="9">
        <f>IF(OR(D130="",G130=""),"",(D130-G130)*100)</f>
        <v/>
      </c>
      <c r="J130" s="9">
        <f>IF(OR(E130="",F130="",G130=""),"",E130-(G130-F130)*100)</f>
        <v/>
      </c>
      <c r="K130" s="9">
        <f>IF(OR(H130="",I130="",J130=""),"",IF(MAX(ABS(H130),ABS(I130),ABS(J130))&lt;=$B$2,"GO",IF(MAX(ABS(H130),ABS(I130),ABS(J130))&lt;=$B$3,"RECALC","STOP")))</f>
        <v/>
      </c>
      <c r="L130" s="5" t="n"/>
    </row>
    <row r="131">
      <c r="A131" s="13" t="n"/>
      <c r="B131" s="10" t="n"/>
      <c r="C131" s="14" t="n"/>
      <c r="D131" s="14" t="n"/>
      <c r="E131" s="9">
        <f>IF(OR(C131="",D131=""),"",(D131-C131)*100)</f>
        <v/>
      </c>
      <c r="F131" s="25">
        <f>IF($B131="","",IFERROR(INDEX('07_Stage_Calc'!$K:$K,MATCH($B131,'07_Stage_Calc'!$A:$A,0)),""))</f>
        <v/>
      </c>
      <c r="G131" s="25">
        <f>IF($B131="","",IFERROR(INDEX('07_Stage_Calc'!$L:$L,MATCH($B131,'07_Stage_Calc'!$A:$A,0)),""))</f>
        <v/>
      </c>
      <c r="H131" s="9">
        <f>IF(OR(C131="",F131=""),"",(C131-F131)*100)</f>
        <v/>
      </c>
      <c r="I131" s="9">
        <f>IF(OR(D131="",G131=""),"",(D131-G131)*100)</f>
        <v/>
      </c>
      <c r="J131" s="9">
        <f>IF(OR(E131="",F131="",G131=""),"",E131-(G131-F131)*100)</f>
        <v/>
      </c>
      <c r="K131" s="9">
        <f>IF(OR(H131="",I131="",J131=""),"",IF(MAX(ABS(H131),ABS(I131),ABS(J131))&lt;=$B$2,"GO",IF(MAX(ABS(H131),ABS(I131),ABS(J131))&lt;=$B$3,"RECALC","STOP")))</f>
        <v/>
      </c>
      <c r="L131" s="5" t="n"/>
    </row>
    <row r="132">
      <c r="A132" s="13" t="n"/>
      <c r="B132" s="10" t="n"/>
      <c r="C132" s="14" t="n"/>
      <c r="D132" s="14" t="n"/>
      <c r="E132" s="9">
        <f>IF(OR(C132="",D132=""),"",(D132-C132)*100)</f>
        <v/>
      </c>
      <c r="F132" s="25">
        <f>IF($B132="","",IFERROR(INDEX('07_Stage_Calc'!$K:$K,MATCH($B132,'07_Stage_Calc'!$A:$A,0)),""))</f>
        <v/>
      </c>
      <c r="G132" s="25">
        <f>IF($B132="","",IFERROR(INDEX('07_Stage_Calc'!$L:$L,MATCH($B132,'07_Stage_Calc'!$A:$A,0)),""))</f>
        <v/>
      </c>
      <c r="H132" s="9">
        <f>IF(OR(C132="",F132=""),"",(C132-F132)*100)</f>
        <v/>
      </c>
      <c r="I132" s="9">
        <f>IF(OR(D132="",G132=""),"",(D132-G132)*100)</f>
        <v/>
      </c>
      <c r="J132" s="9">
        <f>IF(OR(E132="",F132="",G132=""),"",E132-(G132-F132)*100)</f>
        <v/>
      </c>
      <c r="K132" s="9">
        <f>IF(OR(H132="",I132="",J132=""),"",IF(MAX(ABS(H132),ABS(I132),ABS(J132))&lt;=$B$2,"GO",IF(MAX(ABS(H132),ABS(I132),ABS(J132))&lt;=$B$3,"RECALC","STOP")))</f>
        <v/>
      </c>
      <c r="L132" s="5" t="n"/>
    </row>
    <row r="133">
      <c r="A133" s="13" t="n"/>
      <c r="B133" s="10" t="n"/>
      <c r="C133" s="14" t="n"/>
      <c r="D133" s="14" t="n"/>
      <c r="E133" s="9">
        <f>IF(OR(C133="",D133=""),"",(D133-C133)*100)</f>
        <v/>
      </c>
      <c r="F133" s="25">
        <f>IF($B133="","",IFERROR(INDEX('07_Stage_Calc'!$K:$K,MATCH($B133,'07_Stage_Calc'!$A:$A,0)),""))</f>
        <v/>
      </c>
      <c r="G133" s="25">
        <f>IF($B133="","",IFERROR(INDEX('07_Stage_Calc'!$L:$L,MATCH($B133,'07_Stage_Calc'!$A:$A,0)),""))</f>
        <v/>
      </c>
      <c r="H133" s="9">
        <f>IF(OR(C133="",F133=""),"",(C133-F133)*100)</f>
        <v/>
      </c>
      <c r="I133" s="9">
        <f>IF(OR(D133="",G133=""),"",(D133-G133)*100)</f>
        <v/>
      </c>
      <c r="J133" s="9">
        <f>IF(OR(E133="",F133="",G133=""),"",E133-(G133-F133)*100)</f>
        <v/>
      </c>
      <c r="K133" s="9">
        <f>IF(OR(H133="",I133="",J133=""),"",IF(MAX(ABS(H133),ABS(I133),ABS(J133))&lt;=$B$2,"GO",IF(MAX(ABS(H133),ABS(I133),ABS(J133))&lt;=$B$3,"RECALC","STOP")))</f>
        <v/>
      </c>
      <c r="L133" s="5" t="n"/>
    </row>
    <row r="134">
      <c r="A134" s="13" t="n"/>
      <c r="B134" s="10" t="n"/>
      <c r="C134" s="14" t="n"/>
      <c r="D134" s="14" t="n"/>
      <c r="E134" s="9">
        <f>IF(OR(C134="",D134=""),"",(D134-C134)*100)</f>
        <v/>
      </c>
      <c r="F134" s="25">
        <f>IF($B134="","",IFERROR(INDEX('07_Stage_Calc'!$K:$K,MATCH($B134,'07_Stage_Calc'!$A:$A,0)),""))</f>
        <v/>
      </c>
      <c r="G134" s="25">
        <f>IF($B134="","",IFERROR(INDEX('07_Stage_Calc'!$L:$L,MATCH($B134,'07_Stage_Calc'!$A:$A,0)),""))</f>
        <v/>
      </c>
      <c r="H134" s="9">
        <f>IF(OR(C134="",F134=""),"",(C134-F134)*100)</f>
        <v/>
      </c>
      <c r="I134" s="9">
        <f>IF(OR(D134="",G134=""),"",(D134-G134)*100)</f>
        <v/>
      </c>
      <c r="J134" s="9">
        <f>IF(OR(E134="",F134="",G134=""),"",E134-(G134-F134)*100)</f>
        <v/>
      </c>
      <c r="K134" s="9">
        <f>IF(OR(H134="",I134="",J134=""),"",IF(MAX(ABS(H134),ABS(I134),ABS(J134))&lt;=$B$2,"GO",IF(MAX(ABS(H134),ABS(I134),ABS(J134))&lt;=$B$3,"RECALC","STOP")))</f>
        <v/>
      </c>
      <c r="L134" s="5" t="n"/>
    </row>
    <row r="135">
      <c r="A135" s="13" t="n"/>
      <c r="B135" s="10" t="n"/>
      <c r="C135" s="14" t="n"/>
      <c r="D135" s="14" t="n"/>
      <c r="E135" s="9">
        <f>IF(OR(C135="",D135=""),"",(D135-C135)*100)</f>
        <v/>
      </c>
      <c r="F135" s="25">
        <f>IF($B135="","",IFERROR(INDEX('07_Stage_Calc'!$K:$K,MATCH($B135,'07_Stage_Calc'!$A:$A,0)),""))</f>
        <v/>
      </c>
      <c r="G135" s="25">
        <f>IF($B135="","",IFERROR(INDEX('07_Stage_Calc'!$L:$L,MATCH($B135,'07_Stage_Calc'!$A:$A,0)),""))</f>
        <v/>
      </c>
      <c r="H135" s="9">
        <f>IF(OR(C135="",F135=""),"",(C135-F135)*100)</f>
        <v/>
      </c>
      <c r="I135" s="9">
        <f>IF(OR(D135="",G135=""),"",(D135-G135)*100)</f>
        <v/>
      </c>
      <c r="J135" s="9">
        <f>IF(OR(E135="",F135="",G135=""),"",E135-(G135-F135)*100)</f>
        <v/>
      </c>
      <c r="K135" s="9">
        <f>IF(OR(H135="",I135="",J135=""),"",IF(MAX(ABS(H135),ABS(I135),ABS(J135))&lt;=$B$2,"GO",IF(MAX(ABS(H135),ABS(I135),ABS(J135))&lt;=$B$3,"RECALC","STOP")))</f>
        <v/>
      </c>
      <c r="L135" s="5" t="n"/>
    </row>
    <row r="136">
      <c r="A136" s="13" t="n"/>
      <c r="B136" s="10" t="n"/>
      <c r="C136" s="14" t="n"/>
      <c r="D136" s="14" t="n"/>
      <c r="E136" s="9">
        <f>IF(OR(C136="",D136=""),"",(D136-C136)*100)</f>
        <v/>
      </c>
      <c r="F136" s="25">
        <f>IF($B136="","",IFERROR(INDEX('07_Stage_Calc'!$K:$K,MATCH($B136,'07_Stage_Calc'!$A:$A,0)),""))</f>
        <v/>
      </c>
      <c r="G136" s="25">
        <f>IF($B136="","",IFERROR(INDEX('07_Stage_Calc'!$L:$L,MATCH($B136,'07_Stage_Calc'!$A:$A,0)),""))</f>
        <v/>
      </c>
      <c r="H136" s="9">
        <f>IF(OR(C136="",F136=""),"",(C136-F136)*100)</f>
        <v/>
      </c>
      <c r="I136" s="9">
        <f>IF(OR(D136="",G136=""),"",(D136-G136)*100)</f>
        <v/>
      </c>
      <c r="J136" s="9">
        <f>IF(OR(E136="",F136="",G136=""),"",E136-(G136-F136)*100)</f>
        <v/>
      </c>
      <c r="K136" s="9">
        <f>IF(OR(H136="",I136="",J136=""),"",IF(MAX(ABS(H136),ABS(I136),ABS(J136))&lt;=$B$2,"GO",IF(MAX(ABS(H136),ABS(I136),ABS(J136))&lt;=$B$3,"RECALC","STOP")))</f>
        <v/>
      </c>
      <c r="L136" s="5" t="n"/>
    </row>
    <row r="137">
      <c r="A137" s="13" t="n"/>
      <c r="B137" s="10" t="n"/>
      <c r="C137" s="14" t="n"/>
      <c r="D137" s="14" t="n"/>
      <c r="E137" s="9">
        <f>IF(OR(C137="",D137=""),"",(D137-C137)*100)</f>
        <v/>
      </c>
      <c r="F137" s="25">
        <f>IF($B137="","",IFERROR(INDEX('07_Stage_Calc'!$K:$K,MATCH($B137,'07_Stage_Calc'!$A:$A,0)),""))</f>
        <v/>
      </c>
      <c r="G137" s="25">
        <f>IF($B137="","",IFERROR(INDEX('07_Stage_Calc'!$L:$L,MATCH($B137,'07_Stage_Calc'!$A:$A,0)),""))</f>
        <v/>
      </c>
      <c r="H137" s="9">
        <f>IF(OR(C137="",F137=""),"",(C137-F137)*100)</f>
        <v/>
      </c>
      <c r="I137" s="9">
        <f>IF(OR(D137="",G137=""),"",(D137-G137)*100)</f>
        <v/>
      </c>
      <c r="J137" s="9">
        <f>IF(OR(E137="",F137="",G137=""),"",E137-(G137-F137)*100)</f>
        <v/>
      </c>
      <c r="K137" s="9">
        <f>IF(OR(H137="",I137="",J137=""),"",IF(MAX(ABS(H137),ABS(I137),ABS(J137))&lt;=$B$2,"GO",IF(MAX(ABS(H137),ABS(I137),ABS(J137))&lt;=$B$3,"RECALC","STOP")))</f>
        <v/>
      </c>
      <c r="L137" s="5" t="n"/>
    </row>
    <row r="138">
      <c r="A138" s="13" t="n"/>
      <c r="B138" s="10" t="n"/>
      <c r="C138" s="14" t="n"/>
      <c r="D138" s="14" t="n"/>
      <c r="E138" s="9">
        <f>IF(OR(C138="",D138=""),"",(D138-C138)*100)</f>
        <v/>
      </c>
      <c r="F138" s="25">
        <f>IF($B138="","",IFERROR(INDEX('07_Stage_Calc'!$K:$K,MATCH($B138,'07_Stage_Calc'!$A:$A,0)),""))</f>
        <v/>
      </c>
      <c r="G138" s="25">
        <f>IF($B138="","",IFERROR(INDEX('07_Stage_Calc'!$L:$L,MATCH($B138,'07_Stage_Calc'!$A:$A,0)),""))</f>
        <v/>
      </c>
      <c r="H138" s="9">
        <f>IF(OR(C138="",F138=""),"",(C138-F138)*100)</f>
        <v/>
      </c>
      <c r="I138" s="9">
        <f>IF(OR(D138="",G138=""),"",(D138-G138)*100)</f>
        <v/>
      </c>
      <c r="J138" s="9">
        <f>IF(OR(E138="",F138="",G138=""),"",E138-(G138-F138)*100)</f>
        <v/>
      </c>
      <c r="K138" s="9">
        <f>IF(OR(H138="",I138="",J138=""),"",IF(MAX(ABS(H138),ABS(I138),ABS(J138))&lt;=$B$2,"GO",IF(MAX(ABS(H138),ABS(I138),ABS(J138))&lt;=$B$3,"RECALC","STOP")))</f>
        <v/>
      </c>
      <c r="L138" s="5" t="n"/>
    </row>
    <row r="139">
      <c r="A139" s="13" t="n"/>
      <c r="B139" s="10" t="n"/>
      <c r="C139" s="14" t="n"/>
      <c r="D139" s="14" t="n"/>
      <c r="E139" s="9">
        <f>IF(OR(C139="",D139=""),"",(D139-C139)*100)</f>
        <v/>
      </c>
      <c r="F139" s="25">
        <f>IF($B139="","",IFERROR(INDEX('07_Stage_Calc'!$K:$K,MATCH($B139,'07_Stage_Calc'!$A:$A,0)),""))</f>
        <v/>
      </c>
      <c r="G139" s="25">
        <f>IF($B139="","",IFERROR(INDEX('07_Stage_Calc'!$L:$L,MATCH($B139,'07_Stage_Calc'!$A:$A,0)),""))</f>
        <v/>
      </c>
      <c r="H139" s="9">
        <f>IF(OR(C139="",F139=""),"",(C139-F139)*100)</f>
        <v/>
      </c>
      <c r="I139" s="9">
        <f>IF(OR(D139="",G139=""),"",(D139-G139)*100)</f>
        <v/>
      </c>
      <c r="J139" s="9">
        <f>IF(OR(E139="",F139="",G139=""),"",E139-(G139-F139)*100)</f>
        <v/>
      </c>
      <c r="K139" s="9">
        <f>IF(OR(H139="",I139="",J139=""),"",IF(MAX(ABS(H139),ABS(I139),ABS(J139))&lt;=$B$2,"GO",IF(MAX(ABS(H139),ABS(I139),ABS(J139))&lt;=$B$3,"RECALC","STOP")))</f>
        <v/>
      </c>
      <c r="L139" s="5" t="n"/>
    </row>
    <row r="140">
      <c r="A140" s="13" t="n"/>
      <c r="B140" s="10" t="n"/>
      <c r="C140" s="14" t="n"/>
      <c r="D140" s="14" t="n"/>
      <c r="E140" s="9">
        <f>IF(OR(C140="",D140=""),"",(D140-C140)*100)</f>
        <v/>
      </c>
      <c r="F140" s="25">
        <f>IF($B140="","",IFERROR(INDEX('07_Stage_Calc'!$K:$K,MATCH($B140,'07_Stage_Calc'!$A:$A,0)),""))</f>
        <v/>
      </c>
      <c r="G140" s="25">
        <f>IF($B140="","",IFERROR(INDEX('07_Stage_Calc'!$L:$L,MATCH($B140,'07_Stage_Calc'!$A:$A,0)),""))</f>
        <v/>
      </c>
      <c r="H140" s="9">
        <f>IF(OR(C140="",F140=""),"",(C140-F140)*100)</f>
        <v/>
      </c>
      <c r="I140" s="9">
        <f>IF(OR(D140="",G140=""),"",(D140-G140)*100)</f>
        <v/>
      </c>
      <c r="J140" s="9">
        <f>IF(OR(E140="",F140="",G140=""),"",E140-(G140-F140)*100)</f>
        <v/>
      </c>
      <c r="K140" s="9">
        <f>IF(OR(H140="",I140="",J140=""),"",IF(MAX(ABS(H140),ABS(I140),ABS(J140))&lt;=$B$2,"GO",IF(MAX(ABS(H140),ABS(I140),ABS(J140))&lt;=$B$3,"RECALC","STOP")))</f>
        <v/>
      </c>
      <c r="L140" s="5" t="n"/>
    </row>
    <row r="141">
      <c r="A141" s="13" t="n"/>
      <c r="B141" s="10" t="n"/>
      <c r="C141" s="14" t="n"/>
      <c r="D141" s="14" t="n"/>
      <c r="E141" s="9">
        <f>IF(OR(C141="",D141=""),"",(D141-C141)*100)</f>
        <v/>
      </c>
      <c r="F141" s="25">
        <f>IF($B141="","",IFERROR(INDEX('07_Stage_Calc'!$K:$K,MATCH($B141,'07_Stage_Calc'!$A:$A,0)),""))</f>
        <v/>
      </c>
      <c r="G141" s="25">
        <f>IF($B141="","",IFERROR(INDEX('07_Stage_Calc'!$L:$L,MATCH($B141,'07_Stage_Calc'!$A:$A,0)),""))</f>
        <v/>
      </c>
      <c r="H141" s="9">
        <f>IF(OR(C141="",F141=""),"",(C141-F141)*100)</f>
        <v/>
      </c>
      <c r="I141" s="9">
        <f>IF(OR(D141="",G141=""),"",(D141-G141)*100)</f>
        <v/>
      </c>
      <c r="J141" s="9">
        <f>IF(OR(E141="",F141="",G141=""),"",E141-(G141-F141)*100)</f>
        <v/>
      </c>
      <c r="K141" s="9">
        <f>IF(OR(H141="",I141="",J141=""),"",IF(MAX(ABS(H141),ABS(I141),ABS(J141))&lt;=$B$2,"GO",IF(MAX(ABS(H141),ABS(I141),ABS(J141))&lt;=$B$3,"RECALC","STOP")))</f>
        <v/>
      </c>
      <c r="L141" s="5" t="n"/>
    </row>
    <row r="142">
      <c r="A142" s="13" t="n"/>
      <c r="B142" s="10" t="n"/>
      <c r="C142" s="14" t="n"/>
      <c r="D142" s="14" t="n"/>
      <c r="E142" s="9">
        <f>IF(OR(C142="",D142=""),"",(D142-C142)*100)</f>
        <v/>
      </c>
      <c r="F142" s="25">
        <f>IF($B142="","",IFERROR(INDEX('07_Stage_Calc'!$K:$K,MATCH($B142,'07_Stage_Calc'!$A:$A,0)),""))</f>
        <v/>
      </c>
      <c r="G142" s="25">
        <f>IF($B142="","",IFERROR(INDEX('07_Stage_Calc'!$L:$L,MATCH($B142,'07_Stage_Calc'!$A:$A,0)),""))</f>
        <v/>
      </c>
      <c r="H142" s="9">
        <f>IF(OR(C142="",F142=""),"",(C142-F142)*100)</f>
        <v/>
      </c>
      <c r="I142" s="9">
        <f>IF(OR(D142="",G142=""),"",(D142-G142)*100)</f>
        <v/>
      </c>
      <c r="J142" s="9">
        <f>IF(OR(E142="",F142="",G142=""),"",E142-(G142-F142)*100)</f>
        <v/>
      </c>
      <c r="K142" s="9">
        <f>IF(OR(H142="",I142="",J142=""),"",IF(MAX(ABS(H142),ABS(I142),ABS(J142))&lt;=$B$2,"GO",IF(MAX(ABS(H142),ABS(I142),ABS(J142))&lt;=$B$3,"RECALC","STOP")))</f>
        <v/>
      </c>
      <c r="L142" s="5" t="n"/>
    </row>
    <row r="143">
      <c r="A143" s="13" t="n"/>
      <c r="B143" s="10" t="n"/>
      <c r="C143" s="14" t="n"/>
      <c r="D143" s="14" t="n"/>
      <c r="E143" s="9">
        <f>IF(OR(C143="",D143=""),"",(D143-C143)*100)</f>
        <v/>
      </c>
      <c r="F143" s="25">
        <f>IF($B143="","",IFERROR(INDEX('07_Stage_Calc'!$K:$K,MATCH($B143,'07_Stage_Calc'!$A:$A,0)),""))</f>
        <v/>
      </c>
      <c r="G143" s="25">
        <f>IF($B143="","",IFERROR(INDEX('07_Stage_Calc'!$L:$L,MATCH($B143,'07_Stage_Calc'!$A:$A,0)),""))</f>
        <v/>
      </c>
      <c r="H143" s="9">
        <f>IF(OR(C143="",F143=""),"",(C143-F143)*100)</f>
        <v/>
      </c>
      <c r="I143" s="9">
        <f>IF(OR(D143="",G143=""),"",(D143-G143)*100)</f>
        <v/>
      </c>
      <c r="J143" s="9">
        <f>IF(OR(E143="",F143="",G143=""),"",E143-(G143-F143)*100)</f>
        <v/>
      </c>
      <c r="K143" s="9">
        <f>IF(OR(H143="",I143="",J143=""),"",IF(MAX(ABS(H143),ABS(I143),ABS(J143))&lt;=$B$2,"GO",IF(MAX(ABS(H143),ABS(I143),ABS(J143))&lt;=$B$3,"RECALC","STOP")))</f>
        <v/>
      </c>
      <c r="L143" s="5" t="n"/>
    </row>
    <row r="144">
      <c r="A144" s="13" t="n"/>
      <c r="B144" s="10" t="n"/>
      <c r="C144" s="14" t="n"/>
      <c r="D144" s="14" t="n"/>
      <c r="E144" s="9">
        <f>IF(OR(C144="",D144=""),"",(D144-C144)*100)</f>
        <v/>
      </c>
      <c r="F144" s="25">
        <f>IF($B144="","",IFERROR(INDEX('07_Stage_Calc'!$K:$K,MATCH($B144,'07_Stage_Calc'!$A:$A,0)),""))</f>
        <v/>
      </c>
      <c r="G144" s="25">
        <f>IF($B144="","",IFERROR(INDEX('07_Stage_Calc'!$L:$L,MATCH($B144,'07_Stage_Calc'!$A:$A,0)),""))</f>
        <v/>
      </c>
      <c r="H144" s="9">
        <f>IF(OR(C144="",F144=""),"",(C144-F144)*100)</f>
        <v/>
      </c>
      <c r="I144" s="9">
        <f>IF(OR(D144="",G144=""),"",(D144-G144)*100)</f>
        <v/>
      </c>
      <c r="J144" s="9">
        <f>IF(OR(E144="",F144="",G144=""),"",E144-(G144-F144)*100)</f>
        <v/>
      </c>
      <c r="K144" s="9">
        <f>IF(OR(H144="",I144="",J144=""),"",IF(MAX(ABS(H144),ABS(I144),ABS(J144))&lt;=$B$2,"GO",IF(MAX(ABS(H144),ABS(I144),ABS(J144))&lt;=$B$3,"RECALC","STOP")))</f>
        <v/>
      </c>
      <c r="L144" s="5" t="n"/>
    </row>
    <row r="145">
      <c r="A145" s="13" t="n"/>
      <c r="B145" s="10" t="n"/>
      <c r="C145" s="14" t="n"/>
      <c r="D145" s="14" t="n"/>
      <c r="E145" s="9">
        <f>IF(OR(C145="",D145=""),"",(D145-C145)*100)</f>
        <v/>
      </c>
      <c r="F145" s="25">
        <f>IF($B145="","",IFERROR(INDEX('07_Stage_Calc'!$K:$K,MATCH($B145,'07_Stage_Calc'!$A:$A,0)),""))</f>
        <v/>
      </c>
      <c r="G145" s="25">
        <f>IF($B145="","",IFERROR(INDEX('07_Stage_Calc'!$L:$L,MATCH($B145,'07_Stage_Calc'!$A:$A,0)),""))</f>
        <v/>
      </c>
      <c r="H145" s="9">
        <f>IF(OR(C145="",F145=""),"",(C145-F145)*100)</f>
        <v/>
      </c>
      <c r="I145" s="9">
        <f>IF(OR(D145="",G145=""),"",(D145-G145)*100)</f>
        <v/>
      </c>
      <c r="J145" s="9">
        <f>IF(OR(E145="",F145="",G145=""),"",E145-(G145-F145)*100)</f>
        <v/>
      </c>
      <c r="K145" s="9">
        <f>IF(OR(H145="",I145="",J145=""),"",IF(MAX(ABS(H145),ABS(I145),ABS(J145))&lt;=$B$2,"GO",IF(MAX(ABS(H145),ABS(I145),ABS(J145))&lt;=$B$3,"RECALC","STOP")))</f>
        <v/>
      </c>
      <c r="L145" s="5" t="n"/>
    </row>
    <row r="146">
      <c r="A146" s="13" t="n"/>
      <c r="B146" s="10" t="n"/>
      <c r="C146" s="14" t="n"/>
      <c r="D146" s="14" t="n"/>
      <c r="E146" s="9">
        <f>IF(OR(C146="",D146=""),"",(D146-C146)*100)</f>
        <v/>
      </c>
      <c r="F146" s="25">
        <f>IF($B146="","",IFERROR(INDEX('07_Stage_Calc'!$K:$K,MATCH($B146,'07_Stage_Calc'!$A:$A,0)),""))</f>
        <v/>
      </c>
      <c r="G146" s="25">
        <f>IF($B146="","",IFERROR(INDEX('07_Stage_Calc'!$L:$L,MATCH($B146,'07_Stage_Calc'!$A:$A,0)),""))</f>
        <v/>
      </c>
      <c r="H146" s="9">
        <f>IF(OR(C146="",F146=""),"",(C146-F146)*100)</f>
        <v/>
      </c>
      <c r="I146" s="9">
        <f>IF(OR(D146="",G146=""),"",(D146-G146)*100)</f>
        <v/>
      </c>
      <c r="J146" s="9">
        <f>IF(OR(E146="",F146="",G146=""),"",E146-(G146-F146)*100)</f>
        <v/>
      </c>
      <c r="K146" s="9">
        <f>IF(OR(H146="",I146="",J146=""),"",IF(MAX(ABS(H146),ABS(I146),ABS(J146))&lt;=$B$2,"GO",IF(MAX(ABS(H146),ABS(I146),ABS(J146))&lt;=$B$3,"RECALC","STOP")))</f>
        <v/>
      </c>
      <c r="L146" s="5" t="n"/>
    </row>
    <row r="147">
      <c r="A147" s="13" t="n"/>
      <c r="B147" s="10" t="n"/>
      <c r="C147" s="14" t="n"/>
      <c r="D147" s="14" t="n"/>
      <c r="E147" s="9">
        <f>IF(OR(C147="",D147=""),"",(D147-C147)*100)</f>
        <v/>
      </c>
      <c r="F147" s="25">
        <f>IF($B147="","",IFERROR(INDEX('07_Stage_Calc'!$K:$K,MATCH($B147,'07_Stage_Calc'!$A:$A,0)),""))</f>
        <v/>
      </c>
      <c r="G147" s="25">
        <f>IF($B147="","",IFERROR(INDEX('07_Stage_Calc'!$L:$L,MATCH($B147,'07_Stage_Calc'!$A:$A,0)),""))</f>
        <v/>
      </c>
      <c r="H147" s="9">
        <f>IF(OR(C147="",F147=""),"",(C147-F147)*100)</f>
        <v/>
      </c>
      <c r="I147" s="9">
        <f>IF(OR(D147="",G147=""),"",(D147-G147)*100)</f>
        <v/>
      </c>
      <c r="J147" s="9">
        <f>IF(OR(E147="",F147="",G147=""),"",E147-(G147-F147)*100)</f>
        <v/>
      </c>
      <c r="K147" s="9">
        <f>IF(OR(H147="",I147="",J147=""),"",IF(MAX(ABS(H147),ABS(I147),ABS(J147))&lt;=$B$2,"GO",IF(MAX(ABS(H147),ABS(I147),ABS(J147))&lt;=$B$3,"RECALC","STOP")))</f>
        <v/>
      </c>
      <c r="L147" s="5" t="n"/>
    </row>
    <row r="148">
      <c r="A148" s="13" t="n"/>
      <c r="B148" s="10" t="n"/>
      <c r="C148" s="14" t="n"/>
      <c r="D148" s="14" t="n"/>
      <c r="E148" s="9">
        <f>IF(OR(C148="",D148=""),"",(D148-C148)*100)</f>
        <v/>
      </c>
      <c r="F148" s="25">
        <f>IF($B148="","",IFERROR(INDEX('07_Stage_Calc'!$K:$K,MATCH($B148,'07_Stage_Calc'!$A:$A,0)),""))</f>
        <v/>
      </c>
      <c r="G148" s="25">
        <f>IF($B148="","",IFERROR(INDEX('07_Stage_Calc'!$L:$L,MATCH($B148,'07_Stage_Calc'!$A:$A,0)),""))</f>
        <v/>
      </c>
      <c r="H148" s="9">
        <f>IF(OR(C148="",F148=""),"",(C148-F148)*100)</f>
        <v/>
      </c>
      <c r="I148" s="9">
        <f>IF(OR(D148="",G148=""),"",(D148-G148)*100)</f>
        <v/>
      </c>
      <c r="J148" s="9">
        <f>IF(OR(E148="",F148="",G148=""),"",E148-(G148-F148)*100)</f>
        <v/>
      </c>
      <c r="K148" s="9">
        <f>IF(OR(H148="",I148="",J148=""),"",IF(MAX(ABS(H148),ABS(I148),ABS(J148))&lt;=$B$2,"GO",IF(MAX(ABS(H148),ABS(I148),ABS(J148))&lt;=$B$3,"RECALC","STOP")))</f>
        <v/>
      </c>
      <c r="L148" s="5" t="n"/>
    </row>
    <row r="149">
      <c r="A149" s="13" t="n"/>
      <c r="B149" s="10" t="n"/>
      <c r="C149" s="14" t="n"/>
      <c r="D149" s="14" t="n"/>
      <c r="E149" s="9">
        <f>IF(OR(C149="",D149=""),"",(D149-C149)*100)</f>
        <v/>
      </c>
      <c r="F149" s="25">
        <f>IF($B149="","",IFERROR(INDEX('07_Stage_Calc'!$K:$K,MATCH($B149,'07_Stage_Calc'!$A:$A,0)),""))</f>
        <v/>
      </c>
      <c r="G149" s="25">
        <f>IF($B149="","",IFERROR(INDEX('07_Stage_Calc'!$L:$L,MATCH($B149,'07_Stage_Calc'!$A:$A,0)),""))</f>
        <v/>
      </c>
      <c r="H149" s="9">
        <f>IF(OR(C149="",F149=""),"",(C149-F149)*100)</f>
        <v/>
      </c>
      <c r="I149" s="9">
        <f>IF(OR(D149="",G149=""),"",(D149-G149)*100)</f>
        <v/>
      </c>
      <c r="J149" s="9">
        <f>IF(OR(E149="",F149="",G149=""),"",E149-(G149-F149)*100)</f>
        <v/>
      </c>
      <c r="K149" s="9">
        <f>IF(OR(H149="",I149="",J149=""),"",IF(MAX(ABS(H149),ABS(I149),ABS(J149))&lt;=$B$2,"GO",IF(MAX(ABS(H149),ABS(I149),ABS(J149))&lt;=$B$3,"RECALC","STOP")))</f>
        <v/>
      </c>
      <c r="L149" s="5" t="n"/>
    </row>
    <row r="150">
      <c r="A150" s="13" t="n"/>
      <c r="B150" s="10" t="n"/>
      <c r="C150" s="14" t="n"/>
      <c r="D150" s="14" t="n"/>
      <c r="E150" s="9">
        <f>IF(OR(C150="",D150=""),"",(D150-C150)*100)</f>
        <v/>
      </c>
      <c r="F150" s="25">
        <f>IF($B150="","",IFERROR(INDEX('07_Stage_Calc'!$K:$K,MATCH($B150,'07_Stage_Calc'!$A:$A,0)),""))</f>
        <v/>
      </c>
      <c r="G150" s="25">
        <f>IF($B150="","",IFERROR(INDEX('07_Stage_Calc'!$L:$L,MATCH($B150,'07_Stage_Calc'!$A:$A,0)),""))</f>
        <v/>
      </c>
      <c r="H150" s="9">
        <f>IF(OR(C150="",F150=""),"",(C150-F150)*100)</f>
        <v/>
      </c>
      <c r="I150" s="9">
        <f>IF(OR(D150="",G150=""),"",(D150-G150)*100)</f>
        <v/>
      </c>
      <c r="J150" s="9">
        <f>IF(OR(E150="",F150="",G150=""),"",E150-(G150-F150)*100)</f>
        <v/>
      </c>
      <c r="K150" s="9">
        <f>IF(OR(H150="",I150="",J150=""),"",IF(MAX(ABS(H150),ABS(I150),ABS(J150))&lt;=$B$2,"GO",IF(MAX(ABS(H150),ABS(I150),ABS(J150))&lt;=$B$3,"RECALC","STOP")))</f>
        <v/>
      </c>
      <c r="L150" s="5" t="n"/>
    </row>
    <row r="151">
      <c r="A151" s="13" t="n"/>
      <c r="B151" s="10" t="n"/>
      <c r="C151" s="14" t="n"/>
      <c r="D151" s="14" t="n"/>
      <c r="E151" s="9">
        <f>IF(OR(C151="",D151=""),"",(D151-C151)*100)</f>
        <v/>
      </c>
      <c r="F151" s="25">
        <f>IF($B151="","",IFERROR(INDEX('07_Stage_Calc'!$K:$K,MATCH($B151,'07_Stage_Calc'!$A:$A,0)),""))</f>
        <v/>
      </c>
      <c r="G151" s="25">
        <f>IF($B151="","",IFERROR(INDEX('07_Stage_Calc'!$L:$L,MATCH($B151,'07_Stage_Calc'!$A:$A,0)),""))</f>
        <v/>
      </c>
      <c r="H151" s="9">
        <f>IF(OR(C151="",F151=""),"",(C151-F151)*100)</f>
        <v/>
      </c>
      <c r="I151" s="9">
        <f>IF(OR(D151="",G151=""),"",(D151-G151)*100)</f>
        <v/>
      </c>
      <c r="J151" s="9">
        <f>IF(OR(E151="",F151="",G151=""),"",E151-(G151-F151)*100)</f>
        <v/>
      </c>
      <c r="K151" s="9">
        <f>IF(OR(H151="",I151="",J151=""),"",IF(MAX(ABS(H151),ABS(I151),ABS(J151))&lt;=$B$2,"GO",IF(MAX(ABS(H151),ABS(I151),ABS(J151))&lt;=$B$3,"RECALC","STOP")))</f>
        <v/>
      </c>
      <c r="L151" s="5" t="n"/>
    </row>
    <row r="152">
      <c r="A152" s="13" t="n"/>
      <c r="B152" s="10" t="n"/>
      <c r="C152" s="14" t="n"/>
      <c r="D152" s="14" t="n"/>
      <c r="E152" s="9">
        <f>IF(OR(C152="",D152=""),"",(D152-C152)*100)</f>
        <v/>
      </c>
      <c r="F152" s="25">
        <f>IF($B152="","",IFERROR(INDEX('07_Stage_Calc'!$K:$K,MATCH($B152,'07_Stage_Calc'!$A:$A,0)),""))</f>
        <v/>
      </c>
      <c r="G152" s="25">
        <f>IF($B152="","",IFERROR(INDEX('07_Stage_Calc'!$L:$L,MATCH($B152,'07_Stage_Calc'!$A:$A,0)),""))</f>
        <v/>
      </c>
      <c r="H152" s="9">
        <f>IF(OR(C152="",F152=""),"",(C152-F152)*100)</f>
        <v/>
      </c>
      <c r="I152" s="9">
        <f>IF(OR(D152="",G152=""),"",(D152-G152)*100)</f>
        <v/>
      </c>
      <c r="J152" s="9">
        <f>IF(OR(E152="",F152="",G152=""),"",E152-(G152-F152)*100)</f>
        <v/>
      </c>
      <c r="K152" s="9">
        <f>IF(OR(H152="",I152="",J152=""),"",IF(MAX(ABS(H152),ABS(I152),ABS(J152))&lt;=$B$2,"GO",IF(MAX(ABS(H152),ABS(I152),ABS(J152))&lt;=$B$3,"RECALC","STOP")))</f>
        <v/>
      </c>
      <c r="L152" s="5" t="n"/>
    </row>
    <row r="153">
      <c r="A153" s="13" t="n"/>
      <c r="B153" s="10" t="n"/>
      <c r="C153" s="14" t="n"/>
      <c r="D153" s="14" t="n"/>
      <c r="E153" s="9">
        <f>IF(OR(C153="",D153=""),"",(D153-C153)*100)</f>
        <v/>
      </c>
      <c r="F153" s="25">
        <f>IF($B153="","",IFERROR(INDEX('07_Stage_Calc'!$K:$K,MATCH($B153,'07_Stage_Calc'!$A:$A,0)),""))</f>
        <v/>
      </c>
      <c r="G153" s="25">
        <f>IF($B153="","",IFERROR(INDEX('07_Stage_Calc'!$L:$L,MATCH($B153,'07_Stage_Calc'!$A:$A,0)),""))</f>
        <v/>
      </c>
      <c r="H153" s="9">
        <f>IF(OR(C153="",F153=""),"",(C153-F153)*100)</f>
        <v/>
      </c>
      <c r="I153" s="9">
        <f>IF(OR(D153="",G153=""),"",(D153-G153)*100)</f>
        <v/>
      </c>
      <c r="J153" s="9">
        <f>IF(OR(E153="",F153="",G153=""),"",E153-(G153-F153)*100)</f>
        <v/>
      </c>
      <c r="K153" s="9">
        <f>IF(OR(H153="",I153="",J153=""),"",IF(MAX(ABS(H153),ABS(I153),ABS(J153))&lt;=$B$2,"GO",IF(MAX(ABS(H153),ABS(I153),ABS(J153))&lt;=$B$3,"RECALC","STOP")))</f>
        <v/>
      </c>
      <c r="L153" s="5" t="n"/>
    </row>
    <row r="154">
      <c r="A154" s="13" t="n"/>
      <c r="B154" s="10" t="n"/>
      <c r="C154" s="14" t="n"/>
      <c r="D154" s="14" t="n"/>
      <c r="E154" s="9">
        <f>IF(OR(C154="",D154=""),"",(D154-C154)*100)</f>
        <v/>
      </c>
      <c r="F154" s="25">
        <f>IF($B154="","",IFERROR(INDEX('07_Stage_Calc'!$K:$K,MATCH($B154,'07_Stage_Calc'!$A:$A,0)),""))</f>
        <v/>
      </c>
      <c r="G154" s="25">
        <f>IF($B154="","",IFERROR(INDEX('07_Stage_Calc'!$L:$L,MATCH($B154,'07_Stage_Calc'!$A:$A,0)),""))</f>
        <v/>
      </c>
      <c r="H154" s="9">
        <f>IF(OR(C154="",F154=""),"",(C154-F154)*100)</f>
        <v/>
      </c>
      <c r="I154" s="9">
        <f>IF(OR(D154="",G154=""),"",(D154-G154)*100)</f>
        <v/>
      </c>
      <c r="J154" s="9">
        <f>IF(OR(E154="",F154="",G154=""),"",E154-(G154-F154)*100)</f>
        <v/>
      </c>
      <c r="K154" s="9">
        <f>IF(OR(H154="",I154="",J154=""),"",IF(MAX(ABS(H154),ABS(I154),ABS(J154))&lt;=$B$2,"GO",IF(MAX(ABS(H154),ABS(I154),ABS(J154))&lt;=$B$3,"RECALC","STOP")))</f>
        <v/>
      </c>
      <c r="L154" s="5" t="n"/>
    </row>
    <row r="155">
      <c r="A155" s="13" t="n"/>
      <c r="B155" s="10" t="n"/>
      <c r="C155" s="14" t="n"/>
      <c r="D155" s="14" t="n"/>
      <c r="E155" s="9">
        <f>IF(OR(C155="",D155=""),"",(D155-C155)*100)</f>
        <v/>
      </c>
      <c r="F155" s="25">
        <f>IF($B155="","",IFERROR(INDEX('07_Stage_Calc'!$K:$K,MATCH($B155,'07_Stage_Calc'!$A:$A,0)),""))</f>
        <v/>
      </c>
      <c r="G155" s="25">
        <f>IF($B155="","",IFERROR(INDEX('07_Stage_Calc'!$L:$L,MATCH($B155,'07_Stage_Calc'!$A:$A,0)),""))</f>
        <v/>
      </c>
      <c r="H155" s="9">
        <f>IF(OR(C155="",F155=""),"",(C155-F155)*100)</f>
        <v/>
      </c>
      <c r="I155" s="9">
        <f>IF(OR(D155="",G155=""),"",(D155-G155)*100)</f>
        <v/>
      </c>
      <c r="J155" s="9">
        <f>IF(OR(E155="",F155="",G155=""),"",E155-(G155-F155)*100)</f>
        <v/>
      </c>
      <c r="K155" s="9">
        <f>IF(OR(H155="",I155="",J155=""),"",IF(MAX(ABS(H155),ABS(I155),ABS(J155))&lt;=$B$2,"GO",IF(MAX(ABS(H155),ABS(I155),ABS(J155))&lt;=$B$3,"RECALC","STOP")))</f>
        <v/>
      </c>
      <c r="L155" s="5" t="n"/>
    </row>
    <row r="156">
      <c r="A156" s="13" t="n"/>
      <c r="B156" s="10" t="n"/>
      <c r="C156" s="14" t="n"/>
      <c r="D156" s="14" t="n"/>
      <c r="E156" s="9">
        <f>IF(OR(C156="",D156=""),"",(D156-C156)*100)</f>
        <v/>
      </c>
      <c r="F156" s="25">
        <f>IF($B156="","",IFERROR(INDEX('07_Stage_Calc'!$K:$K,MATCH($B156,'07_Stage_Calc'!$A:$A,0)),""))</f>
        <v/>
      </c>
      <c r="G156" s="25">
        <f>IF($B156="","",IFERROR(INDEX('07_Stage_Calc'!$L:$L,MATCH($B156,'07_Stage_Calc'!$A:$A,0)),""))</f>
        <v/>
      </c>
      <c r="H156" s="9">
        <f>IF(OR(C156="",F156=""),"",(C156-F156)*100)</f>
        <v/>
      </c>
      <c r="I156" s="9">
        <f>IF(OR(D156="",G156=""),"",(D156-G156)*100)</f>
        <v/>
      </c>
      <c r="J156" s="9">
        <f>IF(OR(E156="",F156="",G156=""),"",E156-(G156-F156)*100)</f>
        <v/>
      </c>
      <c r="K156" s="9">
        <f>IF(OR(H156="",I156="",J156=""),"",IF(MAX(ABS(H156),ABS(I156),ABS(J156))&lt;=$B$2,"GO",IF(MAX(ABS(H156),ABS(I156),ABS(J156))&lt;=$B$3,"RECALC","STOP")))</f>
        <v/>
      </c>
      <c r="L156" s="5" t="n"/>
    </row>
    <row r="157">
      <c r="A157" s="13" t="n"/>
      <c r="B157" s="10" t="n"/>
      <c r="C157" s="14" t="n"/>
      <c r="D157" s="14" t="n"/>
      <c r="E157" s="9">
        <f>IF(OR(C157="",D157=""),"",(D157-C157)*100)</f>
        <v/>
      </c>
      <c r="F157" s="25">
        <f>IF($B157="","",IFERROR(INDEX('07_Stage_Calc'!$K:$K,MATCH($B157,'07_Stage_Calc'!$A:$A,0)),""))</f>
        <v/>
      </c>
      <c r="G157" s="25">
        <f>IF($B157="","",IFERROR(INDEX('07_Stage_Calc'!$L:$L,MATCH($B157,'07_Stage_Calc'!$A:$A,0)),""))</f>
        <v/>
      </c>
      <c r="H157" s="9">
        <f>IF(OR(C157="",F157=""),"",(C157-F157)*100)</f>
        <v/>
      </c>
      <c r="I157" s="9">
        <f>IF(OR(D157="",G157=""),"",(D157-G157)*100)</f>
        <v/>
      </c>
      <c r="J157" s="9">
        <f>IF(OR(E157="",F157="",G157=""),"",E157-(G157-F157)*100)</f>
        <v/>
      </c>
      <c r="K157" s="9">
        <f>IF(OR(H157="",I157="",J157=""),"",IF(MAX(ABS(H157),ABS(I157),ABS(J157))&lt;=$B$2,"GO",IF(MAX(ABS(H157),ABS(I157),ABS(J157))&lt;=$B$3,"RECALC","STOP")))</f>
        <v/>
      </c>
      <c r="L157" s="5" t="n"/>
    </row>
    <row r="158">
      <c r="A158" s="13" t="n"/>
      <c r="B158" s="10" t="n"/>
      <c r="C158" s="14" t="n"/>
      <c r="D158" s="14" t="n"/>
      <c r="E158" s="9">
        <f>IF(OR(C158="",D158=""),"",(D158-C158)*100)</f>
        <v/>
      </c>
      <c r="F158" s="25">
        <f>IF($B158="","",IFERROR(INDEX('07_Stage_Calc'!$K:$K,MATCH($B158,'07_Stage_Calc'!$A:$A,0)),""))</f>
        <v/>
      </c>
      <c r="G158" s="25">
        <f>IF($B158="","",IFERROR(INDEX('07_Stage_Calc'!$L:$L,MATCH($B158,'07_Stage_Calc'!$A:$A,0)),""))</f>
        <v/>
      </c>
      <c r="H158" s="9">
        <f>IF(OR(C158="",F158=""),"",(C158-F158)*100)</f>
        <v/>
      </c>
      <c r="I158" s="9">
        <f>IF(OR(D158="",G158=""),"",(D158-G158)*100)</f>
        <v/>
      </c>
      <c r="J158" s="9">
        <f>IF(OR(E158="",F158="",G158=""),"",E158-(G158-F158)*100)</f>
        <v/>
      </c>
      <c r="K158" s="9">
        <f>IF(OR(H158="",I158="",J158=""),"",IF(MAX(ABS(H158),ABS(I158),ABS(J158))&lt;=$B$2,"GO",IF(MAX(ABS(H158),ABS(I158),ABS(J158))&lt;=$B$3,"RECALC","STOP")))</f>
        <v/>
      </c>
      <c r="L158" s="5" t="n"/>
    </row>
    <row r="159">
      <c r="A159" s="13" t="n"/>
      <c r="B159" s="10" t="n"/>
      <c r="C159" s="14" t="n"/>
      <c r="D159" s="14" t="n"/>
      <c r="E159" s="9">
        <f>IF(OR(C159="",D159=""),"",(D159-C159)*100)</f>
        <v/>
      </c>
      <c r="F159" s="25">
        <f>IF($B159="","",IFERROR(INDEX('07_Stage_Calc'!$K:$K,MATCH($B159,'07_Stage_Calc'!$A:$A,0)),""))</f>
        <v/>
      </c>
      <c r="G159" s="25">
        <f>IF($B159="","",IFERROR(INDEX('07_Stage_Calc'!$L:$L,MATCH($B159,'07_Stage_Calc'!$A:$A,0)),""))</f>
        <v/>
      </c>
      <c r="H159" s="9">
        <f>IF(OR(C159="",F159=""),"",(C159-F159)*100)</f>
        <v/>
      </c>
      <c r="I159" s="9">
        <f>IF(OR(D159="",G159=""),"",(D159-G159)*100)</f>
        <v/>
      </c>
      <c r="J159" s="9">
        <f>IF(OR(E159="",F159="",G159=""),"",E159-(G159-F159)*100)</f>
        <v/>
      </c>
      <c r="K159" s="9">
        <f>IF(OR(H159="",I159="",J159=""),"",IF(MAX(ABS(H159),ABS(I159),ABS(J159))&lt;=$B$2,"GO",IF(MAX(ABS(H159),ABS(I159),ABS(J159))&lt;=$B$3,"RECALC","STOP")))</f>
        <v/>
      </c>
      <c r="L159" s="5" t="n"/>
    </row>
    <row r="160">
      <c r="A160" s="13" t="n"/>
      <c r="B160" s="10" t="n"/>
      <c r="C160" s="14" t="n"/>
      <c r="D160" s="14" t="n"/>
      <c r="E160" s="9">
        <f>IF(OR(C160="",D160=""),"",(D160-C160)*100)</f>
        <v/>
      </c>
      <c r="F160" s="25">
        <f>IF($B160="","",IFERROR(INDEX('07_Stage_Calc'!$K:$K,MATCH($B160,'07_Stage_Calc'!$A:$A,0)),""))</f>
        <v/>
      </c>
      <c r="G160" s="25">
        <f>IF($B160="","",IFERROR(INDEX('07_Stage_Calc'!$L:$L,MATCH($B160,'07_Stage_Calc'!$A:$A,0)),""))</f>
        <v/>
      </c>
      <c r="H160" s="9">
        <f>IF(OR(C160="",F160=""),"",(C160-F160)*100)</f>
        <v/>
      </c>
      <c r="I160" s="9">
        <f>IF(OR(D160="",G160=""),"",(D160-G160)*100)</f>
        <v/>
      </c>
      <c r="J160" s="9">
        <f>IF(OR(E160="",F160="",G160=""),"",E160-(G160-F160)*100)</f>
        <v/>
      </c>
      <c r="K160" s="9">
        <f>IF(OR(H160="",I160="",J160=""),"",IF(MAX(ABS(H160),ABS(I160),ABS(J160))&lt;=$B$2,"GO",IF(MAX(ABS(H160),ABS(I160),ABS(J160))&lt;=$B$3,"RECALC","STOP")))</f>
        <v/>
      </c>
      <c r="L160" s="5" t="n"/>
    </row>
    <row r="161">
      <c r="A161" s="13" t="n"/>
      <c r="B161" s="10" t="n"/>
      <c r="C161" s="14" t="n"/>
      <c r="D161" s="14" t="n"/>
      <c r="E161" s="9">
        <f>IF(OR(C161="",D161=""),"",(D161-C161)*100)</f>
        <v/>
      </c>
      <c r="F161" s="25">
        <f>IF($B161="","",IFERROR(INDEX('07_Stage_Calc'!$K:$K,MATCH($B161,'07_Stage_Calc'!$A:$A,0)),""))</f>
        <v/>
      </c>
      <c r="G161" s="25">
        <f>IF($B161="","",IFERROR(INDEX('07_Stage_Calc'!$L:$L,MATCH($B161,'07_Stage_Calc'!$A:$A,0)),""))</f>
        <v/>
      </c>
      <c r="H161" s="9">
        <f>IF(OR(C161="",F161=""),"",(C161-F161)*100)</f>
        <v/>
      </c>
      <c r="I161" s="9">
        <f>IF(OR(D161="",G161=""),"",(D161-G161)*100)</f>
        <v/>
      </c>
      <c r="J161" s="9">
        <f>IF(OR(E161="",F161="",G161=""),"",E161-(G161-F161)*100)</f>
        <v/>
      </c>
      <c r="K161" s="9">
        <f>IF(OR(H161="",I161="",J161=""),"",IF(MAX(ABS(H161),ABS(I161),ABS(J161))&lt;=$B$2,"GO",IF(MAX(ABS(H161),ABS(I161),ABS(J161))&lt;=$B$3,"RECALC","STOP")))</f>
        <v/>
      </c>
      <c r="L161" s="5" t="n"/>
    </row>
    <row r="162">
      <c r="A162" s="13" t="n"/>
      <c r="B162" s="10" t="n"/>
      <c r="C162" s="14" t="n"/>
      <c r="D162" s="14" t="n"/>
      <c r="E162" s="9">
        <f>IF(OR(C162="",D162=""),"",(D162-C162)*100)</f>
        <v/>
      </c>
      <c r="F162" s="25">
        <f>IF($B162="","",IFERROR(INDEX('07_Stage_Calc'!$K:$K,MATCH($B162,'07_Stage_Calc'!$A:$A,0)),""))</f>
        <v/>
      </c>
      <c r="G162" s="25">
        <f>IF($B162="","",IFERROR(INDEX('07_Stage_Calc'!$L:$L,MATCH($B162,'07_Stage_Calc'!$A:$A,0)),""))</f>
        <v/>
      </c>
      <c r="H162" s="9">
        <f>IF(OR(C162="",F162=""),"",(C162-F162)*100)</f>
        <v/>
      </c>
      <c r="I162" s="9">
        <f>IF(OR(D162="",G162=""),"",(D162-G162)*100)</f>
        <v/>
      </c>
      <c r="J162" s="9">
        <f>IF(OR(E162="",F162="",G162=""),"",E162-(G162-F162)*100)</f>
        <v/>
      </c>
      <c r="K162" s="9">
        <f>IF(OR(H162="",I162="",J162=""),"",IF(MAX(ABS(H162),ABS(I162),ABS(J162))&lt;=$B$2,"GO",IF(MAX(ABS(H162),ABS(I162),ABS(J162))&lt;=$B$3,"RECALC","STOP")))</f>
        <v/>
      </c>
      <c r="L162" s="5" t="n"/>
    </row>
    <row r="163">
      <c r="A163" s="13" t="n"/>
      <c r="B163" s="10" t="n"/>
      <c r="C163" s="14" t="n"/>
      <c r="D163" s="14" t="n"/>
      <c r="E163" s="9">
        <f>IF(OR(C163="",D163=""),"",(D163-C163)*100)</f>
        <v/>
      </c>
      <c r="F163" s="25">
        <f>IF($B163="","",IFERROR(INDEX('07_Stage_Calc'!$K:$K,MATCH($B163,'07_Stage_Calc'!$A:$A,0)),""))</f>
        <v/>
      </c>
      <c r="G163" s="25">
        <f>IF($B163="","",IFERROR(INDEX('07_Stage_Calc'!$L:$L,MATCH($B163,'07_Stage_Calc'!$A:$A,0)),""))</f>
        <v/>
      </c>
      <c r="H163" s="9">
        <f>IF(OR(C163="",F163=""),"",(C163-F163)*100)</f>
        <v/>
      </c>
      <c r="I163" s="9">
        <f>IF(OR(D163="",G163=""),"",(D163-G163)*100)</f>
        <v/>
      </c>
      <c r="J163" s="9">
        <f>IF(OR(E163="",F163="",G163=""),"",E163-(G163-F163)*100)</f>
        <v/>
      </c>
      <c r="K163" s="9">
        <f>IF(OR(H163="",I163="",J163=""),"",IF(MAX(ABS(H163),ABS(I163),ABS(J163))&lt;=$B$2,"GO",IF(MAX(ABS(H163),ABS(I163),ABS(J163))&lt;=$B$3,"RECALC","STOP")))</f>
        <v/>
      </c>
      <c r="L163" s="5" t="n"/>
    </row>
    <row r="164">
      <c r="A164" s="13" t="n"/>
      <c r="B164" s="10" t="n"/>
      <c r="C164" s="14" t="n"/>
      <c r="D164" s="14" t="n"/>
      <c r="E164" s="9">
        <f>IF(OR(C164="",D164=""),"",(D164-C164)*100)</f>
        <v/>
      </c>
      <c r="F164" s="25">
        <f>IF($B164="","",IFERROR(INDEX('07_Stage_Calc'!$K:$K,MATCH($B164,'07_Stage_Calc'!$A:$A,0)),""))</f>
        <v/>
      </c>
      <c r="G164" s="25">
        <f>IF($B164="","",IFERROR(INDEX('07_Stage_Calc'!$L:$L,MATCH($B164,'07_Stage_Calc'!$A:$A,0)),""))</f>
        <v/>
      </c>
      <c r="H164" s="9">
        <f>IF(OR(C164="",F164=""),"",(C164-F164)*100)</f>
        <v/>
      </c>
      <c r="I164" s="9">
        <f>IF(OR(D164="",G164=""),"",(D164-G164)*100)</f>
        <v/>
      </c>
      <c r="J164" s="9">
        <f>IF(OR(E164="",F164="",G164=""),"",E164-(G164-F164)*100)</f>
        <v/>
      </c>
      <c r="K164" s="9">
        <f>IF(OR(H164="",I164="",J164=""),"",IF(MAX(ABS(H164),ABS(I164),ABS(J164))&lt;=$B$2,"GO",IF(MAX(ABS(H164),ABS(I164),ABS(J164))&lt;=$B$3,"RECALC","STOP")))</f>
        <v/>
      </c>
      <c r="L164" s="5" t="n"/>
    </row>
    <row r="165">
      <c r="A165" s="13" t="n"/>
      <c r="B165" s="10" t="n"/>
      <c r="C165" s="14" t="n"/>
      <c r="D165" s="14" t="n"/>
      <c r="E165" s="9">
        <f>IF(OR(C165="",D165=""),"",(D165-C165)*100)</f>
        <v/>
      </c>
      <c r="F165" s="25">
        <f>IF($B165="","",IFERROR(INDEX('07_Stage_Calc'!$K:$K,MATCH($B165,'07_Stage_Calc'!$A:$A,0)),""))</f>
        <v/>
      </c>
      <c r="G165" s="25">
        <f>IF($B165="","",IFERROR(INDEX('07_Stage_Calc'!$L:$L,MATCH($B165,'07_Stage_Calc'!$A:$A,0)),""))</f>
        <v/>
      </c>
      <c r="H165" s="9">
        <f>IF(OR(C165="",F165=""),"",(C165-F165)*100)</f>
        <v/>
      </c>
      <c r="I165" s="9">
        <f>IF(OR(D165="",G165=""),"",(D165-G165)*100)</f>
        <v/>
      </c>
      <c r="J165" s="9">
        <f>IF(OR(E165="",F165="",G165=""),"",E165-(G165-F165)*100)</f>
        <v/>
      </c>
      <c r="K165" s="9">
        <f>IF(OR(H165="",I165="",J165=""),"",IF(MAX(ABS(H165),ABS(I165),ABS(J165))&lt;=$B$2,"GO",IF(MAX(ABS(H165),ABS(I165),ABS(J165))&lt;=$B$3,"RECALC","STOP")))</f>
        <v/>
      </c>
      <c r="L165" s="5" t="n"/>
    </row>
    <row r="166">
      <c r="A166" s="13" t="n"/>
      <c r="B166" s="10" t="n"/>
      <c r="C166" s="14" t="n"/>
      <c r="D166" s="14" t="n"/>
      <c r="E166" s="9">
        <f>IF(OR(C166="",D166=""),"",(D166-C166)*100)</f>
        <v/>
      </c>
      <c r="F166" s="25">
        <f>IF($B166="","",IFERROR(INDEX('07_Stage_Calc'!$K:$K,MATCH($B166,'07_Stage_Calc'!$A:$A,0)),""))</f>
        <v/>
      </c>
      <c r="G166" s="25">
        <f>IF($B166="","",IFERROR(INDEX('07_Stage_Calc'!$L:$L,MATCH($B166,'07_Stage_Calc'!$A:$A,0)),""))</f>
        <v/>
      </c>
      <c r="H166" s="9">
        <f>IF(OR(C166="",F166=""),"",(C166-F166)*100)</f>
        <v/>
      </c>
      <c r="I166" s="9">
        <f>IF(OR(D166="",G166=""),"",(D166-G166)*100)</f>
        <v/>
      </c>
      <c r="J166" s="9">
        <f>IF(OR(E166="",F166="",G166=""),"",E166-(G166-F166)*100)</f>
        <v/>
      </c>
      <c r="K166" s="9">
        <f>IF(OR(H166="",I166="",J166=""),"",IF(MAX(ABS(H166),ABS(I166),ABS(J166))&lt;=$B$2,"GO",IF(MAX(ABS(H166),ABS(I166),ABS(J166))&lt;=$B$3,"RECALC","STOP")))</f>
        <v/>
      </c>
      <c r="L166" s="5" t="n"/>
    </row>
    <row r="167">
      <c r="A167" s="13" t="n"/>
      <c r="B167" s="10" t="n"/>
      <c r="C167" s="14" t="n"/>
      <c r="D167" s="14" t="n"/>
      <c r="E167" s="9">
        <f>IF(OR(C167="",D167=""),"",(D167-C167)*100)</f>
        <v/>
      </c>
      <c r="F167" s="25">
        <f>IF($B167="","",IFERROR(INDEX('07_Stage_Calc'!$K:$K,MATCH($B167,'07_Stage_Calc'!$A:$A,0)),""))</f>
        <v/>
      </c>
      <c r="G167" s="25">
        <f>IF($B167="","",IFERROR(INDEX('07_Stage_Calc'!$L:$L,MATCH($B167,'07_Stage_Calc'!$A:$A,0)),""))</f>
        <v/>
      </c>
      <c r="H167" s="9">
        <f>IF(OR(C167="",F167=""),"",(C167-F167)*100)</f>
        <v/>
      </c>
      <c r="I167" s="9">
        <f>IF(OR(D167="",G167=""),"",(D167-G167)*100)</f>
        <v/>
      </c>
      <c r="J167" s="9">
        <f>IF(OR(E167="",F167="",G167=""),"",E167-(G167-F167)*100)</f>
        <v/>
      </c>
      <c r="K167" s="9">
        <f>IF(OR(H167="",I167="",J167=""),"",IF(MAX(ABS(H167),ABS(I167),ABS(J167))&lt;=$B$2,"GO",IF(MAX(ABS(H167),ABS(I167),ABS(J167))&lt;=$B$3,"RECALC","STOP")))</f>
        <v/>
      </c>
      <c r="L167" s="5" t="n"/>
    </row>
    <row r="168">
      <c r="A168" s="13" t="n"/>
      <c r="B168" s="10" t="n"/>
      <c r="C168" s="14" t="n"/>
      <c r="D168" s="14" t="n"/>
      <c r="E168" s="9">
        <f>IF(OR(C168="",D168=""),"",(D168-C168)*100)</f>
        <v/>
      </c>
      <c r="F168" s="25">
        <f>IF($B168="","",IFERROR(INDEX('07_Stage_Calc'!$K:$K,MATCH($B168,'07_Stage_Calc'!$A:$A,0)),""))</f>
        <v/>
      </c>
      <c r="G168" s="25">
        <f>IF($B168="","",IFERROR(INDEX('07_Stage_Calc'!$L:$L,MATCH($B168,'07_Stage_Calc'!$A:$A,0)),""))</f>
        <v/>
      </c>
      <c r="H168" s="9">
        <f>IF(OR(C168="",F168=""),"",(C168-F168)*100)</f>
        <v/>
      </c>
      <c r="I168" s="9">
        <f>IF(OR(D168="",G168=""),"",(D168-G168)*100)</f>
        <v/>
      </c>
      <c r="J168" s="9">
        <f>IF(OR(E168="",F168="",G168=""),"",E168-(G168-F168)*100)</f>
        <v/>
      </c>
      <c r="K168" s="9">
        <f>IF(OR(H168="",I168="",J168=""),"",IF(MAX(ABS(H168),ABS(I168),ABS(J168))&lt;=$B$2,"GO",IF(MAX(ABS(H168),ABS(I168),ABS(J168))&lt;=$B$3,"RECALC","STOP")))</f>
        <v/>
      </c>
      <c r="L168" s="5" t="n"/>
    </row>
    <row r="169">
      <c r="A169" s="13" t="n"/>
      <c r="B169" s="10" t="n"/>
      <c r="C169" s="14" t="n"/>
      <c r="D169" s="14" t="n"/>
      <c r="E169" s="9">
        <f>IF(OR(C169="",D169=""),"",(D169-C169)*100)</f>
        <v/>
      </c>
      <c r="F169" s="25">
        <f>IF($B169="","",IFERROR(INDEX('07_Stage_Calc'!$K:$K,MATCH($B169,'07_Stage_Calc'!$A:$A,0)),""))</f>
        <v/>
      </c>
      <c r="G169" s="25">
        <f>IF($B169="","",IFERROR(INDEX('07_Stage_Calc'!$L:$L,MATCH($B169,'07_Stage_Calc'!$A:$A,0)),""))</f>
        <v/>
      </c>
      <c r="H169" s="9">
        <f>IF(OR(C169="",F169=""),"",(C169-F169)*100)</f>
        <v/>
      </c>
      <c r="I169" s="9">
        <f>IF(OR(D169="",G169=""),"",(D169-G169)*100)</f>
        <v/>
      </c>
      <c r="J169" s="9">
        <f>IF(OR(E169="",F169="",G169=""),"",E169-(G169-F169)*100)</f>
        <v/>
      </c>
      <c r="K169" s="9">
        <f>IF(OR(H169="",I169="",J169=""),"",IF(MAX(ABS(H169),ABS(I169),ABS(J169))&lt;=$B$2,"GO",IF(MAX(ABS(H169),ABS(I169),ABS(J169))&lt;=$B$3,"RECALC","STOP")))</f>
        <v/>
      </c>
      <c r="L169" s="5" t="n"/>
    </row>
    <row r="170">
      <c r="A170" s="13" t="n"/>
      <c r="B170" s="10" t="n"/>
      <c r="C170" s="14" t="n"/>
      <c r="D170" s="14" t="n"/>
      <c r="E170" s="9">
        <f>IF(OR(C170="",D170=""),"",(D170-C170)*100)</f>
        <v/>
      </c>
      <c r="F170" s="25">
        <f>IF($B170="","",IFERROR(INDEX('07_Stage_Calc'!$K:$K,MATCH($B170,'07_Stage_Calc'!$A:$A,0)),""))</f>
        <v/>
      </c>
      <c r="G170" s="25">
        <f>IF($B170="","",IFERROR(INDEX('07_Stage_Calc'!$L:$L,MATCH($B170,'07_Stage_Calc'!$A:$A,0)),""))</f>
        <v/>
      </c>
      <c r="H170" s="9">
        <f>IF(OR(C170="",F170=""),"",(C170-F170)*100)</f>
        <v/>
      </c>
      <c r="I170" s="9">
        <f>IF(OR(D170="",G170=""),"",(D170-G170)*100)</f>
        <v/>
      </c>
      <c r="J170" s="9">
        <f>IF(OR(E170="",F170="",G170=""),"",E170-(G170-F170)*100)</f>
        <v/>
      </c>
      <c r="K170" s="9">
        <f>IF(OR(H170="",I170="",J170=""),"",IF(MAX(ABS(H170),ABS(I170),ABS(J170))&lt;=$B$2,"GO",IF(MAX(ABS(H170),ABS(I170),ABS(J170))&lt;=$B$3,"RECALC","STOP")))</f>
        <v/>
      </c>
      <c r="L170" s="5" t="n"/>
    </row>
    <row r="171">
      <c r="A171" s="13" t="n"/>
      <c r="B171" s="10" t="n"/>
      <c r="C171" s="14" t="n"/>
      <c r="D171" s="14" t="n"/>
      <c r="E171" s="9">
        <f>IF(OR(C171="",D171=""),"",(D171-C171)*100)</f>
        <v/>
      </c>
      <c r="F171" s="25">
        <f>IF($B171="","",IFERROR(INDEX('07_Stage_Calc'!$K:$K,MATCH($B171,'07_Stage_Calc'!$A:$A,0)),""))</f>
        <v/>
      </c>
      <c r="G171" s="25">
        <f>IF($B171="","",IFERROR(INDEX('07_Stage_Calc'!$L:$L,MATCH($B171,'07_Stage_Calc'!$A:$A,0)),""))</f>
        <v/>
      </c>
      <c r="H171" s="9">
        <f>IF(OR(C171="",F171=""),"",(C171-F171)*100)</f>
        <v/>
      </c>
      <c r="I171" s="9">
        <f>IF(OR(D171="",G171=""),"",(D171-G171)*100)</f>
        <v/>
      </c>
      <c r="J171" s="9">
        <f>IF(OR(E171="",F171="",G171=""),"",E171-(G171-F171)*100)</f>
        <v/>
      </c>
      <c r="K171" s="9">
        <f>IF(OR(H171="",I171="",J171=""),"",IF(MAX(ABS(H171),ABS(I171),ABS(J171))&lt;=$B$2,"GO",IF(MAX(ABS(H171),ABS(I171),ABS(J171))&lt;=$B$3,"RECALC","STOP")))</f>
        <v/>
      </c>
      <c r="L171" s="5" t="n"/>
    </row>
    <row r="172">
      <c r="A172" s="13" t="n"/>
      <c r="B172" s="10" t="n"/>
      <c r="C172" s="14" t="n"/>
      <c r="D172" s="14" t="n"/>
      <c r="E172" s="9">
        <f>IF(OR(C172="",D172=""),"",(D172-C172)*100)</f>
        <v/>
      </c>
      <c r="F172" s="25">
        <f>IF($B172="","",IFERROR(INDEX('07_Stage_Calc'!$K:$K,MATCH($B172,'07_Stage_Calc'!$A:$A,0)),""))</f>
        <v/>
      </c>
      <c r="G172" s="25">
        <f>IF($B172="","",IFERROR(INDEX('07_Stage_Calc'!$L:$L,MATCH($B172,'07_Stage_Calc'!$A:$A,0)),""))</f>
        <v/>
      </c>
      <c r="H172" s="9">
        <f>IF(OR(C172="",F172=""),"",(C172-F172)*100)</f>
        <v/>
      </c>
      <c r="I172" s="9">
        <f>IF(OR(D172="",G172=""),"",(D172-G172)*100)</f>
        <v/>
      </c>
      <c r="J172" s="9">
        <f>IF(OR(E172="",F172="",G172=""),"",E172-(G172-F172)*100)</f>
        <v/>
      </c>
      <c r="K172" s="9">
        <f>IF(OR(H172="",I172="",J172=""),"",IF(MAX(ABS(H172),ABS(I172),ABS(J172))&lt;=$B$2,"GO",IF(MAX(ABS(H172),ABS(I172),ABS(J172))&lt;=$B$3,"RECALC","STOP")))</f>
        <v/>
      </c>
      <c r="L172" s="5" t="n"/>
    </row>
    <row r="173">
      <c r="A173" s="13" t="n"/>
      <c r="B173" s="10" t="n"/>
      <c r="C173" s="14" t="n"/>
      <c r="D173" s="14" t="n"/>
      <c r="E173" s="9">
        <f>IF(OR(C173="",D173=""),"",(D173-C173)*100)</f>
        <v/>
      </c>
      <c r="F173" s="25">
        <f>IF($B173="","",IFERROR(INDEX('07_Stage_Calc'!$K:$K,MATCH($B173,'07_Stage_Calc'!$A:$A,0)),""))</f>
        <v/>
      </c>
      <c r="G173" s="25">
        <f>IF($B173="","",IFERROR(INDEX('07_Stage_Calc'!$L:$L,MATCH($B173,'07_Stage_Calc'!$A:$A,0)),""))</f>
        <v/>
      </c>
      <c r="H173" s="9">
        <f>IF(OR(C173="",F173=""),"",(C173-F173)*100)</f>
        <v/>
      </c>
      <c r="I173" s="9">
        <f>IF(OR(D173="",G173=""),"",(D173-G173)*100)</f>
        <v/>
      </c>
      <c r="J173" s="9">
        <f>IF(OR(E173="",F173="",G173=""),"",E173-(G173-F173)*100)</f>
        <v/>
      </c>
      <c r="K173" s="9">
        <f>IF(OR(H173="",I173="",J173=""),"",IF(MAX(ABS(H173),ABS(I173),ABS(J173))&lt;=$B$2,"GO",IF(MAX(ABS(H173),ABS(I173),ABS(J173))&lt;=$B$3,"RECALC","STOP")))</f>
        <v/>
      </c>
      <c r="L173" s="5" t="n"/>
    </row>
    <row r="174">
      <c r="A174" s="13" t="n"/>
      <c r="B174" s="10" t="n"/>
      <c r="C174" s="14" t="n"/>
      <c r="D174" s="14" t="n"/>
      <c r="E174" s="9">
        <f>IF(OR(C174="",D174=""),"",(D174-C174)*100)</f>
        <v/>
      </c>
      <c r="F174" s="25">
        <f>IF($B174="","",IFERROR(INDEX('07_Stage_Calc'!$K:$K,MATCH($B174,'07_Stage_Calc'!$A:$A,0)),""))</f>
        <v/>
      </c>
      <c r="G174" s="25">
        <f>IF($B174="","",IFERROR(INDEX('07_Stage_Calc'!$L:$L,MATCH($B174,'07_Stage_Calc'!$A:$A,0)),""))</f>
        <v/>
      </c>
      <c r="H174" s="9">
        <f>IF(OR(C174="",F174=""),"",(C174-F174)*100)</f>
        <v/>
      </c>
      <c r="I174" s="9">
        <f>IF(OR(D174="",G174=""),"",(D174-G174)*100)</f>
        <v/>
      </c>
      <c r="J174" s="9">
        <f>IF(OR(E174="",F174="",G174=""),"",E174-(G174-F174)*100)</f>
        <v/>
      </c>
      <c r="K174" s="9">
        <f>IF(OR(H174="",I174="",J174=""),"",IF(MAX(ABS(H174),ABS(I174),ABS(J174))&lt;=$B$2,"GO",IF(MAX(ABS(H174),ABS(I174),ABS(J174))&lt;=$B$3,"RECALC","STOP")))</f>
        <v/>
      </c>
      <c r="L174" s="5" t="n"/>
    </row>
    <row r="175">
      <c r="A175" s="13" t="n"/>
      <c r="B175" s="10" t="n"/>
      <c r="C175" s="14" t="n"/>
      <c r="D175" s="14" t="n"/>
      <c r="E175" s="9">
        <f>IF(OR(C175="",D175=""),"",(D175-C175)*100)</f>
        <v/>
      </c>
      <c r="F175" s="25">
        <f>IF($B175="","",IFERROR(INDEX('07_Stage_Calc'!$K:$K,MATCH($B175,'07_Stage_Calc'!$A:$A,0)),""))</f>
        <v/>
      </c>
      <c r="G175" s="25">
        <f>IF($B175="","",IFERROR(INDEX('07_Stage_Calc'!$L:$L,MATCH($B175,'07_Stage_Calc'!$A:$A,0)),""))</f>
        <v/>
      </c>
      <c r="H175" s="9">
        <f>IF(OR(C175="",F175=""),"",(C175-F175)*100)</f>
        <v/>
      </c>
      <c r="I175" s="9">
        <f>IF(OR(D175="",G175=""),"",(D175-G175)*100)</f>
        <v/>
      </c>
      <c r="J175" s="9">
        <f>IF(OR(E175="",F175="",G175=""),"",E175-(G175-F175)*100)</f>
        <v/>
      </c>
      <c r="K175" s="9">
        <f>IF(OR(H175="",I175="",J175=""),"",IF(MAX(ABS(H175),ABS(I175),ABS(J175))&lt;=$B$2,"GO",IF(MAX(ABS(H175),ABS(I175),ABS(J175))&lt;=$B$3,"RECALC","STOP")))</f>
        <v/>
      </c>
      <c r="L175" s="5" t="n"/>
    </row>
    <row r="176">
      <c r="A176" s="13" t="n"/>
      <c r="B176" s="10" t="n"/>
      <c r="C176" s="14" t="n"/>
      <c r="D176" s="14" t="n"/>
      <c r="E176" s="9">
        <f>IF(OR(C176="",D176=""),"",(D176-C176)*100)</f>
        <v/>
      </c>
      <c r="F176" s="25">
        <f>IF($B176="","",IFERROR(INDEX('07_Stage_Calc'!$K:$K,MATCH($B176,'07_Stage_Calc'!$A:$A,0)),""))</f>
        <v/>
      </c>
      <c r="G176" s="25">
        <f>IF($B176="","",IFERROR(INDEX('07_Stage_Calc'!$L:$L,MATCH($B176,'07_Stage_Calc'!$A:$A,0)),""))</f>
        <v/>
      </c>
      <c r="H176" s="9">
        <f>IF(OR(C176="",F176=""),"",(C176-F176)*100)</f>
        <v/>
      </c>
      <c r="I176" s="9">
        <f>IF(OR(D176="",G176=""),"",(D176-G176)*100)</f>
        <v/>
      </c>
      <c r="J176" s="9">
        <f>IF(OR(E176="",F176="",G176=""),"",E176-(G176-F176)*100)</f>
        <v/>
      </c>
      <c r="K176" s="9">
        <f>IF(OR(H176="",I176="",J176=""),"",IF(MAX(ABS(H176),ABS(I176),ABS(J176))&lt;=$B$2,"GO",IF(MAX(ABS(H176),ABS(I176),ABS(J176))&lt;=$B$3,"RECALC","STOP")))</f>
        <v/>
      </c>
      <c r="L176" s="5" t="n"/>
    </row>
    <row r="177">
      <c r="A177" s="13" t="n"/>
      <c r="B177" s="10" t="n"/>
      <c r="C177" s="14" t="n"/>
      <c r="D177" s="14" t="n"/>
      <c r="E177" s="9">
        <f>IF(OR(C177="",D177=""),"",(D177-C177)*100)</f>
        <v/>
      </c>
      <c r="F177" s="25">
        <f>IF($B177="","",IFERROR(INDEX('07_Stage_Calc'!$K:$K,MATCH($B177,'07_Stage_Calc'!$A:$A,0)),""))</f>
        <v/>
      </c>
      <c r="G177" s="25">
        <f>IF($B177="","",IFERROR(INDEX('07_Stage_Calc'!$L:$L,MATCH($B177,'07_Stage_Calc'!$A:$A,0)),""))</f>
        <v/>
      </c>
      <c r="H177" s="9">
        <f>IF(OR(C177="",F177=""),"",(C177-F177)*100)</f>
        <v/>
      </c>
      <c r="I177" s="9">
        <f>IF(OR(D177="",G177=""),"",(D177-G177)*100)</f>
        <v/>
      </c>
      <c r="J177" s="9">
        <f>IF(OR(E177="",F177="",G177=""),"",E177-(G177-F177)*100)</f>
        <v/>
      </c>
      <c r="K177" s="9">
        <f>IF(OR(H177="",I177="",J177=""),"",IF(MAX(ABS(H177),ABS(I177),ABS(J177))&lt;=$B$2,"GO",IF(MAX(ABS(H177),ABS(I177),ABS(J177))&lt;=$B$3,"RECALC","STOP")))</f>
        <v/>
      </c>
      <c r="L177" s="5" t="n"/>
    </row>
    <row r="178">
      <c r="A178" s="13" t="n"/>
      <c r="B178" s="10" t="n"/>
      <c r="C178" s="14" t="n"/>
      <c r="D178" s="14" t="n"/>
      <c r="E178" s="9">
        <f>IF(OR(C178="",D178=""),"",(D178-C178)*100)</f>
        <v/>
      </c>
      <c r="F178" s="25">
        <f>IF($B178="","",IFERROR(INDEX('07_Stage_Calc'!$K:$K,MATCH($B178,'07_Stage_Calc'!$A:$A,0)),""))</f>
        <v/>
      </c>
      <c r="G178" s="25">
        <f>IF($B178="","",IFERROR(INDEX('07_Stage_Calc'!$L:$L,MATCH($B178,'07_Stage_Calc'!$A:$A,0)),""))</f>
        <v/>
      </c>
      <c r="H178" s="9">
        <f>IF(OR(C178="",F178=""),"",(C178-F178)*100)</f>
        <v/>
      </c>
      <c r="I178" s="9">
        <f>IF(OR(D178="",G178=""),"",(D178-G178)*100)</f>
        <v/>
      </c>
      <c r="J178" s="9">
        <f>IF(OR(E178="",F178="",G178=""),"",E178-(G178-F178)*100)</f>
        <v/>
      </c>
      <c r="K178" s="9">
        <f>IF(OR(H178="",I178="",J178=""),"",IF(MAX(ABS(H178),ABS(I178),ABS(J178))&lt;=$B$2,"GO",IF(MAX(ABS(H178),ABS(I178),ABS(J178))&lt;=$B$3,"RECALC","STOP")))</f>
        <v/>
      </c>
      <c r="L178" s="5" t="n"/>
    </row>
    <row r="179">
      <c r="A179" s="13" t="n"/>
      <c r="B179" s="10" t="n"/>
      <c r="C179" s="14" t="n"/>
      <c r="D179" s="14" t="n"/>
      <c r="E179" s="9">
        <f>IF(OR(C179="",D179=""),"",(D179-C179)*100)</f>
        <v/>
      </c>
      <c r="F179" s="25">
        <f>IF($B179="","",IFERROR(INDEX('07_Stage_Calc'!$K:$K,MATCH($B179,'07_Stage_Calc'!$A:$A,0)),""))</f>
        <v/>
      </c>
      <c r="G179" s="25">
        <f>IF($B179="","",IFERROR(INDEX('07_Stage_Calc'!$L:$L,MATCH($B179,'07_Stage_Calc'!$A:$A,0)),""))</f>
        <v/>
      </c>
      <c r="H179" s="9">
        <f>IF(OR(C179="",F179=""),"",(C179-F179)*100)</f>
        <v/>
      </c>
      <c r="I179" s="9">
        <f>IF(OR(D179="",G179=""),"",(D179-G179)*100)</f>
        <v/>
      </c>
      <c r="J179" s="9">
        <f>IF(OR(E179="",F179="",G179=""),"",E179-(G179-F179)*100)</f>
        <v/>
      </c>
      <c r="K179" s="9">
        <f>IF(OR(H179="",I179="",J179=""),"",IF(MAX(ABS(H179),ABS(I179),ABS(J179))&lt;=$B$2,"GO",IF(MAX(ABS(H179),ABS(I179),ABS(J179))&lt;=$B$3,"RECALC","STOP")))</f>
        <v/>
      </c>
      <c r="L179" s="5" t="n"/>
    </row>
    <row r="180">
      <c r="A180" s="13" t="n"/>
      <c r="B180" s="10" t="n"/>
      <c r="C180" s="14" t="n"/>
      <c r="D180" s="14" t="n"/>
      <c r="E180" s="9">
        <f>IF(OR(C180="",D180=""),"",(D180-C180)*100)</f>
        <v/>
      </c>
      <c r="F180" s="25">
        <f>IF($B180="","",IFERROR(INDEX('07_Stage_Calc'!$K:$K,MATCH($B180,'07_Stage_Calc'!$A:$A,0)),""))</f>
        <v/>
      </c>
      <c r="G180" s="25">
        <f>IF($B180="","",IFERROR(INDEX('07_Stage_Calc'!$L:$L,MATCH($B180,'07_Stage_Calc'!$A:$A,0)),""))</f>
        <v/>
      </c>
      <c r="H180" s="9">
        <f>IF(OR(C180="",F180=""),"",(C180-F180)*100)</f>
        <v/>
      </c>
      <c r="I180" s="9">
        <f>IF(OR(D180="",G180=""),"",(D180-G180)*100)</f>
        <v/>
      </c>
      <c r="J180" s="9">
        <f>IF(OR(E180="",F180="",G180=""),"",E180-(G180-F180)*100)</f>
        <v/>
      </c>
      <c r="K180" s="9">
        <f>IF(OR(H180="",I180="",J180=""),"",IF(MAX(ABS(H180),ABS(I180),ABS(J180))&lt;=$B$2,"GO",IF(MAX(ABS(H180),ABS(I180),ABS(J180))&lt;=$B$3,"RECALC","STOP")))</f>
        <v/>
      </c>
      <c r="L180" s="5" t="n"/>
    </row>
    <row r="181">
      <c r="A181" s="13" t="n"/>
      <c r="B181" s="10" t="n"/>
      <c r="C181" s="14" t="n"/>
      <c r="D181" s="14" t="n"/>
      <c r="E181" s="9">
        <f>IF(OR(C181="",D181=""),"",(D181-C181)*100)</f>
        <v/>
      </c>
      <c r="F181" s="25">
        <f>IF($B181="","",IFERROR(INDEX('07_Stage_Calc'!$K:$K,MATCH($B181,'07_Stage_Calc'!$A:$A,0)),""))</f>
        <v/>
      </c>
      <c r="G181" s="25">
        <f>IF($B181="","",IFERROR(INDEX('07_Stage_Calc'!$L:$L,MATCH($B181,'07_Stage_Calc'!$A:$A,0)),""))</f>
        <v/>
      </c>
      <c r="H181" s="9">
        <f>IF(OR(C181="",F181=""),"",(C181-F181)*100)</f>
        <v/>
      </c>
      <c r="I181" s="9">
        <f>IF(OR(D181="",G181=""),"",(D181-G181)*100)</f>
        <v/>
      </c>
      <c r="J181" s="9">
        <f>IF(OR(E181="",F181="",G181=""),"",E181-(G181-F181)*100)</f>
        <v/>
      </c>
      <c r="K181" s="9">
        <f>IF(OR(H181="",I181="",J181=""),"",IF(MAX(ABS(H181),ABS(I181),ABS(J181))&lt;=$B$2,"GO",IF(MAX(ABS(H181),ABS(I181),ABS(J181))&lt;=$B$3,"RECALC","STOP")))</f>
        <v/>
      </c>
      <c r="L181" s="5" t="n"/>
    </row>
    <row r="182">
      <c r="A182" s="13" t="n"/>
      <c r="B182" s="10" t="n"/>
      <c r="C182" s="14" t="n"/>
      <c r="D182" s="14" t="n"/>
      <c r="E182" s="9">
        <f>IF(OR(C182="",D182=""),"",(D182-C182)*100)</f>
        <v/>
      </c>
      <c r="F182" s="25">
        <f>IF($B182="","",IFERROR(INDEX('07_Stage_Calc'!$K:$K,MATCH($B182,'07_Stage_Calc'!$A:$A,0)),""))</f>
        <v/>
      </c>
      <c r="G182" s="25">
        <f>IF($B182="","",IFERROR(INDEX('07_Stage_Calc'!$L:$L,MATCH($B182,'07_Stage_Calc'!$A:$A,0)),""))</f>
        <v/>
      </c>
      <c r="H182" s="9">
        <f>IF(OR(C182="",F182=""),"",(C182-F182)*100)</f>
        <v/>
      </c>
      <c r="I182" s="9">
        <f>IF(OR(D182="",G182=""),"",(D182-G182)*100)</f>
        <v/>
      </c>
      <c r="J182" s="9">
        <f>IF(OR(E182="",F182="",G182=""),"",E182-(G182-F182)*100)</f>
        <v/>
      </c>
      <c r="K182" s="9">
        <f>IF(OR(H182="",I182="",J182=""),"",IF(MAX(ABS(H182),ABS(I182),ABS(J182))&lt;=$B$2,"GO",IF(MAX(ABS(H182),ABS(I182),ABS(J182))&lt;=$B$3,"RECALC","STOP")))</f>
        <v/>
      </c>
      <c r="L182" s="5" t="n"/>
    </row>
    <row r="183">
      <c r="A183" s="13" t="n"/>
      <c r="B183" s="10" t="n"/>
      <c r="C183" s="14" t="n"/>
      <c r="D183" s="14" t="n"/>
      <c r="E183" s="9">
        <f>IF(OR(C183="",D183=""),"",(D183-C183)*100)</f>
        <v/>
      </c>
      <c r="F183" s="25">
        <f>IF($B183="","",IFERROR(INDEX('07_Stage_Calc'!$K:$K,MATCH($B183,'07_Stage_Calc'!$A:$A,0)),""))</f>
        <v/>
      </c>
      <c r="G183" s="25">
        <f>IF($B183="","",IFERROR(INDEX('07_Stage_Calc'!$L:$L,MATCH($B183,'07_Stage_Calc'!$A:$A,0)),""))</f>
        <v/>
      </c>
      <c r="H183" s="9">
        <f>IF(OR(C183="",F183=""),"",(C183-F183)*100)</f>
        <v/>
      </c>
      <c r="I183" s="9">
        <f>IF(OR(D183="",G183=""),"",(D183-G183)*100)</f>
        <v/>
      </c>
      <c r="J183" s="9">
        <f>IF(OR(E183="",F183="",G183=""),"",E183-(G183-F183)*100)</f>
        <v/>
      </c>
      <c r="K183" s="9">
        <f>IF(OR(H183="",I183="",J183=""),"",IF(MAX(ABS(H183),ABS(I183),ABS(J183))&lt;=$B$2,"GO",IF(MAX(ABS(H183),ABS(I183),ABS(J183))&lt;=$B$3,"RECALC","STOP")))</f>
        <v/>
      </c>
      <c r="L183" s="5" t="n"/>
    </row>
    <row r="184">
      <c r="A184" s="13" t="n"/>
      <c r="B184" s="10" t="n"/>
      <c r="C184" s="14" t="n"/>
      <c r="D184" s="14" t="n"/>
      <c r="E184" s="9">
        <f>IF(OR(C184="",D184=""),"",(D184-C184)*100)</f>
        <v/>
      </c>
      <c r="F184" s="25">
        <f>IF($B184="","",IFERROR(INDEX('07_Stage_Calc'!$K:$K,MATCH($B184,'07_Stage_Calc'!$A:$A,0)),""))</f>
        <v/>
      </c>
      <c r="G184" s="25">
        <f>IF($B184="","",IFERROR(INDEX('07_Stage_Calc'!$L:$L,MATCH($B184,'07_Stage_Calc'!$A:$A,0)),""))</f>
        <v/>
      </c>
      <c r="H184" s="9">
        <f>IF(OR(C184="",F184=""),"",(C184-F184)*100)</f>
        <v/>
      </c>
      <c r="I184" s="9">
        <f>IF(OR(D184="",G184=""),"",(D184-G184)*100)</f>
        <v/>
      </c>
      <c r="J184" s="9">
        <f>IF(OR(E184="",F184="",G184=""),"",E184-(G184-F184)*100)</f>
        <v/>
      </c>
      <c r="K184" s="9">
        <f>IF(OR(H184="",I184="",J184=""),"",IF(MAX(ABS(H184),ABS(I184),ABS(J184))&lt;=$B$2,"GO",IF(MAX(ABS(H184),ABS(I184),ABS(J184))&lt;=$B$3,"RECALC","STOP")))</f>
        <v/>
      </c>
      <c r="L184" s="5" t="n"/>
    </row>
    <row r="185">
      <c r="A185" s="13" t="n"/>
      <c r="B185" s="10" t="n"/>
      <c r="C185" s="14" t="n"/>
      <c r="D185" s="14" t="n"/>
      <c r="E185" s="9">
        <f>IF(OR(C185="",D185=""),"",(D185-C185)*100)</f>
        <v/>
      </c>
      <c r="F185" s="25">
        <f>IF($B185="","",IFERROR(INDEX('07_Stage_Calc'!$K:$K,MATCH($B185,'07_Stage_Calc'!$A:$A,0)),""))</f>
        <v/>
      </c>
      <c r="G185" s="25">
        <f>IF($B185="","",IFERROR(INDEX('07_Stage_Calc'!$L:$L,MATCH($B185,'07_Stage_Calc'!$A:$A,0)),""))</f>
        <v/>
      </c>
      <c r="H185" s="9">
        <f>IF(OR(C185="",F185=""),"",(C185-F185)*100)</f>
        <v/>
      </c>
      <c r="I185" s="9">
        <f>IF(OR(D185="",G185=""),"",(D185-G185)*100)</f>
        <v/>
      </c>
      <c r="J185" s="9">
        <f>IF(OR(E185="",F185="",G185=""),"",E185-(G185-F185)*100)</f>
        <v/>
      </c>
      <c r="K185" s="9">
        <f>IF(OR(H185="",I185="",J185=""),"",IF(MAX(ABS(H185),ABS(I185),ABS(J185))&lt;=$B$2,"GO",IF(MAX(ABS(H185),ABS(I185),ABS(J185))&lt;=$B$3,"RECALC","STOP")))</f>
        <v/>
      </c>
      <c r="L185" s="5" t="n"/>
    </row>
    <row r="186">
      <c r="A186" s="13" t="n"/>
      <c r="B186" s="10" t="n"/>
      <c r="C186" s="14" t="n"/>
      <c r="D186" s="14" t="n"/>
      <c r="E186" s="9">
        <f>IF(OR(C186="",D186=""),"",(D186-C186)*100)</f>
        <v/>
      </c>
      <c r="F186" s="25">
        <f>IF($B186="","",IFERROR(INDEX('07_Stage_Calc'!$K:$K,MATCH($B186,'07_Stage_Calc'!$A:$A,0)),""))</f>
        <v/>
      </c>
      <c r="G186" s="25">
        <f>IF($B186="","",IFERROR(INDEX('07_Stage_Calc'!$L:$L,MATCH($B186,'07_Stage_Calc'!$A:$A,0)),""))</f>
        <v/>
      </c>
      <c r="H186" s="9">
        <f>IF(OR(C186="",F186=""),"",(C186-F186)*100)</f>
        <v/>
      </c>
      <c r="I186" s="9">
        <f>IF(OR(D186="",G186=""),"",(D186-G186)*100)</f>
        <v/>
      </c>
      <c r="J186" s="9">
        <f>IF(OR(E186="",F186="",G186=""),"",E186-(G186-F186)*100)</f>
        <v/>
      </c>
      <c r="K186" s="9">
        <f>IF(OR(H186="",I186="",J186=""),"",IF(MAX(ABS(H186),ABS(I186),ABS(J186))&lt;=$B$2,"GO",IF(MAX(ABS(H186),ABS(I186),ABS(J186))&lt;=$B$3,"RECALC","STOP")))</f>
        <v/>
      </c>
      <c r="L186" s="5" t="n"/>
    </row>
    <row r="187">
      <c r="A187" s="13" t="n"/>
      <c r="B187" s="10" t="n"/>
      <c r="C187" s="14" t="n"/>
      <c r="D187" s="14" t="n"/>
      <c r="E187" s="9">
        <f>IF(OR(C187="",D187=""),"",(D187-C187)*100)</f>
        <v/>
      </c>
      <c r="F187" s="25">
        <f>IF($B187="","",IFERROR(INDEX('07_Stage_Calc'!$K:$K,MATCH($B187,'07_Stage_Calc'!$A:$A,0)),""))</f>
        <v/>
      </c>
      <c r="G187" s="25">
        <f>IF($B187="","",IFERROR(INDEX('07_Stage_Calc'!$L:$L,MATCH($B187,'07_Stage_Calc'!$A:$A,0)),""))</f>
        <v/>
      </c>
      <c r="H187" s="9">
        <f>IF(OR(C187="",F187=""),"",(C187-F187)*100)</f>
        <v/>
      </c>
      <c r="I187" s="9">
        <f>IF(OR(D187="",G187=""),"",(D187-G187)*100)</f>
        <v/>
      </c>
      <c r="J187" s="9">
        <f>IF(OR(E187="",F187="",G187=""),"",E187-(G187-F187)*100)</f>
        <v/>
      </c>
      <c r="K187" s="9">
        <f>IF(OR(H187="",I187="",J187=""),"",IF(MAX(ABS(H187),ABS(I187),ABS(J187))&lt;=$B$2,"GO",IF(MAX(ABS(H187),ABS(I187),ABS(J187))&lt;=$B$3,"RECALC","STOP")))</f>
        <v/>
      </c>
      <c r="L187" s="5" t="n"/>
    </row>
    <row r="188">
      <c r="A188" s="13" t="n"/>
      <c r="B188" s="10" t="n"/>
      <c r="C188" s="14" t="n"/>
      <c r="D188" s="14" t="n"/>
      <c r="E188" s="9">
        <f>IF(OR(C188="",D188=""),"",(D188-C188)*100)</f>
        <v/>
      </c>
      <c r="F188" s="25">
        <f>IF($B188="","",IFERROR(INDEX('07_Stage_Calc'!$K:$K,MATCH($B188,'07_Stage_Calc'!$A:$A,0)),""))</f>
        <v/>
      </c>
      <c r="G188" s="25">
        <f>IF($B188="","",IFERROR(INDEX('07_Stage_Calc'!$L:$L,MATCH($B188,'07_Stage_Calc'!$A:$A,0)),""))</f>
        <v/>
      </c>
      <c r="H188" s="9">
        <f>IF(OR(C188="",F188=""),"",(C188-F188)*100)</f>
        <v/>
      </c>
      <c r="I188" s="9">
        <f>IF(OR(D188="",G188=""),"",(D188-G188)*100)</f>
        <v/>
      </c>
      <c r="J188" s="9">
        <f>IF(OR(E188="",F188="",G188=""),"",E188-(G188-F188)*100)</f>
        <v/>
      </c>
      <c r="K188" s="9">
        <f>IF(OR(H188="",I188="",J188=""),"",IF(MAX(ABS(H188),ABS(I188),ABS(J188))&lt;=$B$2,"GO",IF(MAX(ABS(H188),ABS(I188),ABS(J188))&lt;=$B$3,"RECALC","STOP")))</f>
        <v/>
      </c>
      <c r="L188" s="5" t="n"/>
    </row>
    <row r="189">
      <c r="A189" s="13" t="n"/>
      <c r="B189" s="10" t="n"/>
      <c r="C189" s="14" t="n"/>
      <c r="D189" s="14" t="n"/>
      <c r="E189" s="9">
        <f>IF(OR(C189="",D189=""),"",(D189-C189)*100)</f>
        <v/>
      </c>
      <c r="F189" s="25">
        <f>IF($B189="","",IFERROR(INDEX('07_Stage_Calc'!$K:$K,MATCH($B189,'07_Stage_Calc'!$A:$A,0)),""))</f>
        <v/>
      </c>
      <c r="G189" s="25">
        <f>IF($B189="","",IFERROR(INDEX('07_Stage_Calc'!$L:$L,MATCH($B189,'07_Stage_Calc'!$A:$A,0)),""))</f>
        <v/>
      </c>
      <c r="H189" s="9">
        <f>IF(OR(C189="",F189=""),"",(C189-F189)*100)</f>
        <v/>
      </c>
      <c r="I189" s="9">
        <f>IF(OR(D189="",G189=""),"",(D189-G189)*100)</f>
        <v/>
      </c>
      <c r="J189" s="9">
        <f>IF(OR(E189="",F189="",G189=""),"",E189-(G189-F189)*100)</f>
        <v/>
      </c>
      <c r="K189" s="9">
        <f>IF(OR(H189="",I189="",J189=""),"",IF(MAX(ABS(H189),ABS(I189),ABS(J189))&lt;=$B$2,"GO",IF(MAX(ABS(H189),ABS(I189),ABS(J189))&lt;=$B$3,"RECALC","STOP")))</f>
        <v/>
      </c>
      <c r="L189" s="5" t="n"/>
    </row>
    <row r="190">
      <c r="A190" s="13" t="n"/>
      <c r="B190" s="10" t="n"/>
      <c r="C190" s="14" t="n"/>
      <c r="D190" s="14" t="n"/>
      <c r="E190" s="9">
        <f>IF(OR(C190="",D190=""),"",(D190-C190)*100)</f>
        <v/>
      </c>
      <c r="F190" s="25">
        <f>IF($B190="","",IFERROR(INDEX('07_Stage_Calc'!$K:$K,MATCH($B190,'07_Stage_Calc'!$A:$A,0)),""))</f>
        <v/>
      </c>
      <c r="G190" s="25">
        <f>IF($B190="","",IFERROR(INDEX('07_Stage_Calc'!$L:$L,MATCH($B190,'07_Stage_Calc'!$A:$A,0)),""))</f>
        <v/>
      </c>
      <c r="H190" s="9">
        <f>IF(OR(C190="",F190=""),"",(C190-F190)*100)</f>
        <v/>
      </c>
      <c r="I190" s="9">
        <f>IF(OR(D190="",G190=""),"",(D190-G190)*100)</f>
        <v/>
      </c>
      <c r="J190" s="9">
        <f>IF(OR(E190="",F190="",G190=""),"",E190-(G190-F190)*100)</f>
        <v/>
      </c>
      <c r="K190" s="9">
        <f>IF(OR(H190="",I190="",J190=""),"",IF(MAX(ABS(H190),ABS(I190),ABS(J190))&lt;=$B$2,"GO",IF(MAX(ABS(H190),ABS(I190),ABS(J190))&lt;=$B$3,"RECALC","STOP")))</f>
        <v/>
      </c>
      <c r="L190" s="5" t="n"/>
    </row>
    <row r="191">
      <c r="A191" s="13" t="n"/>
      <c r="B191" s="10" t="n"/>
      <c r="C191" s="14" t="n"/>
      <c r="D191" s="14" t="n"/>
      <c r="E191" s="9">
        <f>IF(OR(C191="",D191=""),"",(D191-C191)*100)</f>
        <v/>
      </c>
      <c r="F191" s="25">
        <f>IF($B191="","",IFERROR(INDEX('07_Stage_Calc'!$K:$K,MATCH($B191,'07_Stage_Calc'!$A:$A,0)),""))</f>
        <v/>
      </c>
      <c r="G191" s="25">
        <f>IF($B191="","",IFERROR(INDEX('07_Stage_Calc'!$L:$L,MATCH($B191,'07_Stage_Calc'!$A:$A,0)),""))</f>
        <v/>
      </c>
      <c r="H191" s="9">
        <f>IF(OR(C191="",F191=""),"",(C191-F191)*100)</f>
        <v/>
      </c>
      <c r="I191" s="9">
        <f>IF(OR(D191="",G191=""),"",(D191-G191)*100)</f>
        <v/>
      </c>
      <c r="J191" s="9">
        <f>IF(OR(E191="",F191="",G191=""),"",E191-(G191-F191)*100)</f>
        <v/>
      </c>
      <c r="K191" s="9">
        <f>IF(OR(H191="",I191="",J191=""),"",IF(MAX(ABS(H191),ABS(I191),ABS(J191))&lt;=$B$2,"GO",IF(MAX(ABS(H191),ABS(I191),ABS(J191))&lt;=$B$3,"RECALC","STOP")))</f>
        <v/>
      </c>
      <c r="L191" s="5" t="n"/>
    </row>
    <row r="192">
      <c r="A192" s="13" t="n"/>
      <c r="B192" s="10" t="n"/>
      <c r="C192" s="14" t="n"/>
      <c r="D192" s="14" t="n"/>
      <c r="E192" s="9">
        <f>IF(OR(C192="",D192=""),"",(D192-C192)*100)</f>
        <v/>
      </c>
      <c r="F192" s="25">
        <f>IF($B192="","",IFERROR(INDEX('07_Stage_Calc'!$K:$K,MATCH($B192,'07_Stage_Calc'!$A:$A,0)),""))</f>
        <v/>
      </c>
      <c r="G192" s="25">
        <f>IF($B192="","",IFERROR(INDEX('07_Stage_Calc'!$L:$L,MATCH($B192,'07_Stage_Calc'!$A:$A,0)),""))</f>
        <v/>
      </c>
      <c r="H192" s="9">
        <f>IF(OR(C192="",F192=""),"",(C192-F192)*100)</f>
        <v/>
      </c>
      <c r="I192" s="9">
        <f>IF(OR(D192="",G192=""),"",(D192-G192)*100)</f>
        <v/>
      </c>
      <c r="J192" s="9">
        <f>IF(OR(E192="",F192="",G192=""),"",E192-(G192-F192)*100)</f>
        <v/>
      </c>
      <c r="K192" s="9">
        <f>IF(OR(H192="",I192="",J192=""),"",IF(MAX(ABS(H192),ABS(I192),ABS(J192))&lt;=$B$2,"GO",IF(MAX(ABS(H192),ABS(I192),ABS(J192))&lt;=$B$3,"RECALC","STOP")))</f>
        <v/>
      </c>
      <c r="L192" s="5" t="n"/>
    </row>
    <row r="193">
      <c r="A193" s="13" t="n"/>
      <c r="B193" s="10" t="n"/>
      <c r="C193" s="14" t="n"/>
      <c r="D193" s="14" t="n"/>
      <c r="E193" s="9">
        <f>IF(OR(C193="",D193=""),"",(D193-C193)*100)</f>
        <v/>
      </c>
      <c r="F193" s="25">
        <f>IF($B193="","",IFERROR(INDEX('07_Stage_Calc'!$K:$K,MATCH($B193,'07_Stage_Calc'!$A:$A,0)),""))</f>
        <v/>
      </c>
      <c r="G193" s="25">
        <f>IF($B193="","",IFERROR(INDEX('07_Stage_Calc'!$L:$L,MATCH($B193,'07_Stage_Calc'!$A:$A,0)),""))</f>
        <v/>
      </c>
      <c r="H193" s="9">
        <f>IF(OR(C193="",F193=""),"",(C193-F193)*100)</f>
        <v/>
      </c>
      <c r="I193" s="9">
        <f>IF(OR(D193="",G193=""),"",(D193-G193)*100)</f>
        <v/>
      </c>
      <c r="J193" s="9">
        <f>IF(OR(E193="",F193="",G193=""),"",E193-(G193-F193)*100)</f>
        <v/>
      </c>
      <c r="K193" s="9">
        <f>IF(OR(H193="",I193="",J193=""),"",IF(MAX(ABS(H193),ABS(I193),ABS(J193))&lt;=$B$2,"GO",IF(MAX(ABS(H193),ABS(I193),ABS(J193))&lt;=$B$3,"RECALC","STOP")))</f>
        <v/>
      </c>
      <c r="L193" s="5" t="n"/>
    </row>
    <row r="194">
      <c r="A194" s="13" t="n"/>
      <c r="B194" s="10" t="n"/>
      <c r="C194" s="14" t="n"/>
      <c r="D194" s="14" t="n"/>
      <c r="E194" s="9">
        <f>IF(OR(C194="",D194=""),"",(D194-C194)*100)</f>
        <v/>
      </c>
      <c r="F194" s="25">
        <f>IF($B194="","",IFERROR(INDEX('07_Stage_Calc'!$K:$K,MATCH($B194,'07_Stage_Calc'!$A:$A,0)),""))</f>
        <v/>
      </c>
      <c r="G194" s="25">
        <f>IF($B194="","",IFERROR(INDEX('07_Stage_Calc'!$L:$L,MATCH($B194,'07_Stage_Calc'!$A:$A,0)),""))</f>
        <v/>
      </c>
      <c r="H194" s="9">
        <f>IF(OR(C194="",F194=""),"",(C194-F194)*100)</f>
        <v/>
      </c>
      <c r="I194" s="9">
        <f>IF(OR(D194="",G194=""),"",(D194-G194)*100)</f>
        <v/>
      </c>
      <c r="J194" s="9">
        <f>IF(OR(E194="",F194="",G194=""),"",E194-(G194-F194)*100)</f>
        <v/>
      </c>
      <c r="K194" s="9">
        <f>IF(OR(H194="",I194="",J194=""),"",IF(MAX(ABS(H194),ABS(I194),ABS(J194))&lt;=$B$2,"GO",IF(MAX(ABS(H194),ABS(I194),ABS(J194))&lt;=$B$3,"RECALC","STOP")))</f>
        <v/>
      </c>
      <c r="L194" s="5" t="n"/>
    </row>
    <row r="195">
      <c r="A195" s="13" t="n"/>
      <c r="B195" s="10" t="n"/>
      <c r="C195" s="14" t="n"/>
      <c r="D195" s="14" t="n"/>
      <c r="E195" s="9">
        <f>IF(OR(C195="",D195=""),"",(D195-C195)*100)</f>
        <v/>
      </c>
      <c r="F195" s="25">
        <f>IF($B195="","",IFERROR(INDEX('07_Stage_Calc'!$K:$K,MATCH($B195,'07_Stage_Calc'!$A:$A,0)),""))</f>
        <v/>
      </c>
      <c r="G195" s="25">
        <f>IF($B195="","",IFERROR(INDEX('07_Stage_Calc'!$L:$L,MATCH($B195,'07_Stage_Calc'!$A:$A,0)),""))</f>
        <v/>
      </c>
      <c r="H195" s="9">
        <f>IF(OR(C195="",F195=""),"",(C195-F195)*100)</f>
        <v/>
      </c>
      <c r="I195" s="9">
        <f>IF(OR(D195="",G195=""),"",(D195-G195)*100)</f>
        <v/>
      </c>
      <c r="J195" s="9">
        <f>IF(OR(E195="",F195="",G195=""),"",E195-(G195-F195)*100)</f>
        <v/>
      </c>
      <c r="K195" s="9">
        <f>IF(OR(H195="",I195="",J195=""),"",IF(MAX(ABS(H195),ABS(I195),ABS(J195))&lt;=$B$2,"GO",IF(MAX(ABS(H195),ABS(I195),ABS(J195))&lt;=$B$3,"RECALC","STOP")))</f>
        <v/>
      </c>
      <c r="L195" s="5" t="n"/>
    </row>
    <row r="196">
      <c r="A196" s="13" t="n"/>
      <c r="B196" s="10" t="n"/>
      <c r="C196" s="14" t="n"/>
      <c r="D196" s="14" t="n"/>
      <c r="E196" s="9">
        <f>IF(OR(C196="",D196=""),"",(D196-C196)*100)</f>
        <v/>
      </c>
      <c r="F196" s="25">
        <f>IF($B196="","",IFERROR(INDEX('07_Stage_Calc'!$K:$K,MATCH($B196,'07_Stage_Calc'!$A:$A,0)),""))</f>
        <v/>
      </c>
      <c r="G196" s="25">
        <f>IF($B196="","",IFERROR(INDEX('07_Stage_Calc'!$L:$L,MATCH($B196,'07_Stage_Calc'!$A:$A,0)),""))</f>
        <v/>
      </c>
      <c r="H196" s="9">
        <f>IF(OR(C196="",F196=""),"",(C196-F196)*100)</f>
        <v/>
      </c>
      <c r="I196" s="9">
        <f>IF(OR(D196="",G196=""),"",(D196-G196)*100)</f>
        <v/>
      </c>
      <c r="J196" s="9">
        <f>IF(OR(E196="",F196="",G196=""),"",E196-(G196-F196)*100)</f>
        <v/>
      </c>
      <c r="K196" s="9">
        <f>IF(OR(H196="",I196="",J196=""),"",IF(MAX(ABS(H196),ABS(I196),ABS(J196))&lt;=$B$2,"GO",IF(MAX(ABS(H196),ABS(I196),ABS(J196))&lt;=$B$3,"RECALC","STOP")))</f>
        <v/>
      </c>
      <c r="L196" s="5" t="n"/>
    </row>
    <row r="197">
      <c r="A197" s="13" t="n"/>
      <c r="B197" s="10" t="n"/>
      <c r="C197" s="14" t="n"/>
      <c r="D197" s="14" t="n"/>
      <c r="E197" s="9">
        <f>IF(OR(C197="",D197=""),"",(D197-C197)*100)</f>
        <v/>
      </c>
      <c r="F197" s="25">
        <f>IF($B197="","",IFERROR(INDEX('07_Stage_Calc'!$K:$K,MATCH($B197,'07_Stage_Calc'!$A:$A,0)),""))</f>
        <v/>
      </c>
      <c r="G197" s="25">
        <f>IF($B197="","",IFERROR(INDEX('07_Stage_Calc'!$L:$L,MATCH($B197,'07_Stage_Calc'!$A:$A,0)),""))</f>
        <v/>
      </c>
      <c r="H197" s="9">
        <f>IF(OR(C197="",F197=""),"",(C197-F197)*100)</f>
        <v/>
      </c>
      <c r="I197" s="9">
        <f>IF(OR(D197="",G197=""),"",(D197-G197)*100)</f>
        <v/>
      </c>
      <c r="J197" s="9">
        <f>IF(OR(E197="",F197="",G197=""),"",E197-(G197-F197)*100)</f>
        <v/>
      </c>
      <c r="K197" s="9">
        <f>IF(OR(H197="",I197="",J197=""),"",IF(MAX(ABS(H197),ABS(I197),ABS(J197))&lt;=$B$2,"GO",IF(MAX(ABS(H197),ABS(I197),ABS(J197))&lt;=$B$3,"RECALC","STOP")))</f>
        <v/>
      </c>
      <c r="L197" s="5" t="n"/>
    </row>
    <row r="198">
      <c r="A198" s="13" t="n"/>
      <c r="B198" s="10" t="n"/>
      <c r="C198" s="14" t="n"/>
      <c r="D198" s="14" t="n"/>
      <c r="E198" s="9">
        <f>IF(OR(C198="",D198=""),"",(D198-C198)*100)</f>
        <v/>
      </c>
      <c r="F198" s="25">
        <f>IF($B198="","",IFERROR(INDEX('07_Stage_Calc'!$K:$K,MATCH($B198,'07_Stage_Calc'!$A:$A,0)),""))</f>
        <v/>
      </c>
      <c r="G198" s="25">
        <f>IF($B198="","",IFERROR(INDEX('07_Stage_Calc'!$L:$L,MATCH($B198,'07_Stage_Calc'!$A:$A,0)),""))</f>
        <v/>
      </c>
      <c r="H198" s="9">
        <f>IF(OR(C198="",F198=""),"",(C198-F198)*100)</f>
        <v/>
      </c>
      <c r="I198" s="9">
        <f>IF(OR(D198="",G198=""),"",(D198-G198)*100)</f>
        <v/>
      </c>
      <c r="J198" s="9">
        <f>IF(OR(E198="",F198="",G198=""),"",E198-(G198-F198)*100)</f>
        <v/>
      </c>
      <c r="K198" s="9">
        <f>IF(OR(H198="",I198="",J198=""),"",IF(MAX(ABS(H198),ABS(I198),ABS(J198))&lt;=$B$2,"GO",IF(MAX(ABS(H198),ABS(I198),ABS(J198))&lt;=$B$3,"RECALC","STOP")))</f>
        <v/>
      </c>
      <c r="L198" s="5" t="n"/>
    </row>
    <row r="199">
      <c r="A199" s="13" t="n"/>
      <c r="B199" s="10" t="n"/>
      <c r="C199" s="14" t="n"/>
      <c r="D199" s="14" t="n"/>
      <c r="E199" s="9">
        <f>IF(OR(C199="",D199=""),"",(D199-C199)*100)</f>
        <v/>
      </c>
      <c r="F199" s="25">
        <f>IF($B199="","",IFERROR(INDEX('07_Stage_Calc'!$K:$K,MATCH($B199,'07_Stage_Calc'!$A:$A,0)),""))</f>
        <v/>
      </c>
      <c r="G199" s="25">
        <f>IF($B199="","",IFERROR(INDEX('07_Stage_Calc'!$L:$L,MATCH($B199,'07_Stage_Calc'!$A:$A,0)),""))</f>
        <v/>
      </c>
      <c r="H199" s="9">
        <f>IF(OR(C199="",F199=""),"",(C199-F199)*100)</f>
        <v/>
      </c>
      <c r="I199" s="9">
        <f>IF(OR(D199="",G199=""),"",(D199-G199)*100)</f>
        <v/>
      </c>
      <c r="J199" s="9">
        <f>IF(OR(E199="",F199="",G199=""),"",E199-(G199-F199)*100)</f>
        <v/>
      </c>
      <c r="K199" s="9">
        <f>IF(OR(H199="",I199="",J199=""),"",IF(MAX(ABS(H199),ABS(I199),ABS(J199))&lt;=$B$2,"GO",IF(MAX(ABS(H199),ABS(I199),ABS(J199))&lt;=$B$3,"RECALC","STOP")))</f>
        <v/>
      </c>
      <c r="L199" s="5" t="n"/>
    </row>
    <row r="200">
      <c r="A200" s="13" t="n"/>
      <c r="B200" s="10" t="n"/>
      <c r="C200" s="14" t="n"/>
      <c r="D200" s="14" t="n"/>
      <c r="E200" s="9">
        <f>IF(OR(C200="",D200=""),"",(D200-C200)*100)</f>
        <v/>
      </c>
      <c r="F200" s="25">
        <f>IF($B200="","",IFERROR(INDEX('07_Stage_Calc'!$K:$K,MATCH($B200,'07_Stage_Calc'!$A:$A,0)),""))</f>
        <v/>
      </c>
      <c r="G200" s="25">
        <f>IF($B200="","",IFERROR(INDEX('07_Stage_Calc'!$L:$L,MATCH($B200,'07_Stage_Calc'!$A:$A,0)),""))</f>
        <v/>
      </c>
      <c r="H200" s="9">
        <f>IF(OR(C200="",F200=""),"",(C200-F200)*100)</f>
        <v/>
      </c>
      <c r="I200" s="9">
        <f>IF(OR(D200="",G200=""),"",(D200-G200)*100)</f>
        <v/>
      </c>
      <c r="J200" s="9">
        <f>IF(OR(E200="",F200="",G200=""),"",E200-(G200-F200)*100)</f>
        <v/>
      </c>
      <c r="K200" s="9">
        <f>IF(OR(H200="",I200="",J200=""),"",IF(MAX(ABS(H200),ABS(I200),ABS(J200))&lt;=$B$2,"GO",IF(MAX(ABS(H200),ABS(I200),ABS(J200))&lt;=$B$3,"RECALC","STOP")))</f>
        <v/>
      </c>
      <c r="L200" s="5" t="n"/>
    </row>
    <row r="201">
      <c r="A201" s="13" t="n"/>
      <c r="B201" s="10" t="n"/>
      <c r="C201" s="14" t="n"/>
      <c r="D201" s="14" t="n"/>
      <c r="E201" s="9">
        <f>IF(OR(C201="",D201=""),"",(D201-C201)*100)</f>
        <v/>
      </c>
      <c r="F201" s="25">
        <f>IF($B201="","",IFERROR(INDEX('07_Stage_Calc'!$K:$K,MATCH($B201,'07_Stage_Calc'!$A:$A,0)),""))</f>
        <v/>
      </c>
      <c r="G201" s="25">
        <f>IF($B201="","",IFERROR(INDEX('07_Stage_Calc'!$L:$L,MATCH($B201,'07_Stage_Calc'!$A:$A,0)),""))</f>
        <v/>
      </c>
      <c r="H201" s="9">
        <f>IF(OR(C201="",F201=""),"",(C201-F201)*100)</f>
        <v/>
      </c>
      <c r="I201" s="9">
        <f>IF(OR(D201="",G201=""),"",(D201-G201)*100)</f>
        <v/>
      </c>
      <c r="J201" s="9">
        <f>IF(OR(E201="",F201="",G201=""),"",E201-(G201-F201)*100)</f>
        <v/>
      </c>
      <c r="K201" s="9">
        <f>IF(OR(H201="",I201="",J201=""),"",IF(MAX(ABS(H201),ABS(I201),ABS(J201))&lt;=$B$2,"GO",IF(MAX(ABS(H201),ABS(I201),ABS(J201))&lt;=$B$3,"RECALC","STOP")))</f>
        <v/>
      </c>
      <c r="L201" s="5" t="n"/>
    </row>
    <row r="202">
      <c r="A202" s="13" t="n"/>
      <c r="B202" s="10" t="n"/>
      <c r="C202" s="14" t="n"/>
      <c r="D202" s="14" t="n"/>
      <c r="E202" s="9">
        <f>IF(OR(C202="",D202=""),"",(D202-C202)*100)</f>
        <v/>
      </c>
      <c r="F202" s="25">
        <f>IF($B202="","",IFERROR(INDEX('07_Stage_Calc'!$K:$K,MATCH($B202,'07_Stage_Calc'!$A:$A,0)),""))</f>
        <v/>
      </c>
      <c r="G202" s="25">
        <f>IF($B202="","",IFERROR(INDEX('07_Stage_Calc'!$L:$L,MATCH($B202,'07_Stage_Calc'!$A:$A,0)),""))</f>
        <v/>
      </c>
      <c r="H202" s="9">
        <f>IF(OR(C202="",F202=""),"",(C202-F202)*100)</f>
        <v/>
      </c>
      <c r="I202" s="9">
        <f>IF(OR(D202="",G202=""),"",(D202-G202)*100)</f>
        <v/>
      </c>
      <c r="J202" s="9">
        <f>IF(OR(E202="",F202="",G202=""),"",E202-(G202-F202)*100)</f>
        <v/>
      </c>
      <c r="K202" s="9">
        <f>IF(OR(H202="",I202="",J202=""),"",IF(MAX(ABS(H202),ABS(I202),ABS(J202))&lt;=$B$2,"GO",IF(MAX(ABS(H202),ABS(I202),ABS(J202))&lt;=$B$3,"RECALC","STOP")))</f>
        <v/>
      </c>
      <c r="L202" s="5" t="n"/>
    </row>
    <row r="203">
      <c r="A203" s="13" t="n"/>
      <c r="B203" s="10" t="n"/>
      <c r="C203" s="14" t="n"/>
      <c r="D203" s="14" t="n"/>
      <c r="E203" s="9">
        <f>IF(OR(C203="",D203=""),"",(D203-C203)*100)</f>
        <v/>
      </c>
      <c r="F203" s="25">
        <f>IF($B203="","",IFERROR(INDEX('07_Stage_Calc'!$K:$K,MATCH($B203,'07_Stage_Calc'!$A:$A,0)),""))</f>
        <v/>
      </c>
      <c r="G203" s="25">
        <f>IF($B203="","",IFERROR(INDEX('07_Stage_Calc'!$L:$L,MATCH($B203,'07_Stage_Calc'!$A:$A,0)),""))</f>
        <v/>
      </c>
      <c r="H203" s="9">
        <f>IF(OR(C203="",F203=""),"",(C203-F203)*100)</f>
        <v/>
      </c>
      <c r="I203" s="9">
        <f>IF(OR(D203="",G203=""),"",(D203-G203)*100)</f>
        <v/>
      </c>
      <c r="J203" s="9">
        <f>IF(OR(E203="",F203="",G203=""),"",E203-(G203-F203)*100)</f>
        <v/>
      </c>
      <c r="K203" s="9">
        <f>IF(OR(H203="",I203="",J203=""),"",IF(MAX(ABS(H203),ABS(I203),ABS(J203))&lt;=$B$2,"GO",IF(MAX(ABS(H203),ABS(I203),ABS(J203))&lt;=$B$3,"RECALC","STOP")))</f>
        <v/>
      </c>
      <c r="L203" s="5" t="n"/>
    </row>
    <row r="204">
      <c r="A204" s="13" t="n"/>
      <c r="B204" s="10" t="n"/>
      <c r="C204" s="14" t="n"/>
      <c r="D204" s="14" t="n"/>
      <c r="E204" s="9">
        <f>IF(OR(C204="",D204=""),"",(D204-C204)*100)</f>
        <v/>
      </c>
      <c r="F204" s="25">
        <f>IF($B204="","",IFERROR(INDEX('07_Stage_Calc'!$K:$K,MATCH($B204,'07_Stage_Calc'!$A:$A,0)),""))</f>
        <v/>
      </c>
      <c r="G204" s="25">
        <f>IF($B204="","",IFERROR(INDEX('07_Stage_Calc'!$L:$L,MATCH($B204,'07_Stage_Calc'!$A:$A,0)),""))</f>
        <v/>
      </c>
      <c r="H204" s="9">
        <f>IF(OR(C204="",F204=""),"",(C204-F204)*100)</f>
        <v/>
      </c>
      <c r="I204" s="9">
        <f>IF(OR(D204="",G204=""),"",(D204-G204)*100)</f>
        <v/>
      </c>
      <c r="J204" s="9">
        <f>IF(OR(E204="",F204="",G204=""),"",E204-(G204-F204)*100)</f>
        <v/>
      </c>
      <c r="K204" s="9">
        <f>IF(OR(H204="",I204="",J204=""),"",IF(MAX(ABS(H204),ABS(I204),ABS(J204))&lt;=$B$2,"GO",IF(MAX(ABS(H204),ABS(I204),ABS(J204))&lt;=$B$3,"RECALC","STOP")))</f>
        <v/>
      </c>
      <c r="L204" s="5" t="n"/>
    </row>
    <row r="205">
      <c r="A205" s="13" t="n"/>
      <c r="B205" s="10" t="n"/>
      <c r="C205" s="14" t="n"/>
      <c r="D205" s="14" t="n"/>
      <c r="E205" s="9">
        <f>IF(OR(C205="",D205=""),"",(D205-C205)*100)</f>
        <v/>
      </c>
      <c r="F205" s="25">
        <f>IF($B205="","",IFERROR(INDEX('07_Stage_Calc'!$K:$K,MATCH($B205,'07_Stage_Calc'!$A:$A,0)),""))</f>
        <v/>
      </c>
      <c r="G205" s="25">
        <f>IF($B205="","",IFERROR(INDEX('07_Stage_Calc'!$L:$L,MATCH($B205,'07_Stage_Calc'!$A:$A,0)),""))</f>
        <v/>
      </c>
      <c r="H205" s="9">
        <f>IF(OR(C205="",F205=""),"",(C205-F205)*100)</f>
        <v/>
      </c>
      <c r="I205" s="9">
        <f>IF(OR(D205="",G205=""),"",(D205-G205)*100)</f>
        <v/>
      </c>
      <c r="J205" s="9">
        <f>IF(OR(E205="",F205="",G205=""),"",E205-(G205-F205)*100)</f>
        <v/>
      </c>
      <c r="K205" s="9">
        <f>IF(OR(H205="",I205="",J205=""),"",IF(MAX(ABS(H205),ABS(I205),ABS(J205))&lt;=$B$2,"GO",IF(MAX(ABS(H205),ABS(I205),ABS(J205))&lt;=$B$3,"RECALC","STOP")))</f>
        <v/>
      </c>
      <c r="L205" s="5" t="n"/>
    </row>
  </sheetData>
  <mergeCells count="1">
    <mergeCell ref="A1:L1"/>
  </mergeCells>
  <dataValidations count="1">
    <dataValidation sqref="B6:B205" showDropDown="0" showInputMessage="0" showErrorMessage="0" allowBlank="1" type="list">
      <formula1>=Stage_List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8" customWidth="1" min="4" max="4"/>
    <col width="14" customWidth="1" min="5" max="5"/>
    <col width="16" customWidth="1" min="6" max="6"/>
    <col width="12" customWidth="1" min="7" max="7"/>
    <col width="16" customWidth="1" min="8" max="8"/>
    <col width="40" customWidth="1" min="9" max="9"/>
    <col width="40" customWidth="1" min="10" max="10"/>
  </cols>
  <sheetData>
    <row r="1" ht="22" customHeight="1">
      <c r="A1" s="4" t="inlineStr">
        <is>
          <t>Site</t>
        </is>
      </c>
      <c r="B1" s="4" t="inlineStr">
        <is>
          <t>Category</t>
        </is>
      </c>
      <c r="C1" s="4" t="inlineStr">
        <is>
          <t>Document / Evidence Item</t>
        </is>
      </c>
      <c r="D1" s="4" t="inlineStr">
        <is>
          <t>Req</t>
        </is>
      </c>
      <c r="E1" s="4" t="inlineStr">
        <is>
          <t>Status</t>
        </is>
      </c>
      <c r="F1" s="4" t="inlineStr">
        <is>
          <t>Due/Submitted</t>
        </is>
      </c>
      <c r="G1" s="4" t="inlineStr">
        <is>
          <t>Portal</t>
        </is>
      </c>
      <c r="H1" s="4" t="inlineStr">
        <is>
          <t>Ref No.</t>
        </is>
      </c>
      <c r="I1" s="4" t="inlineStr">
        <is>
          <t>File/Link</t>
        </is>
      </c>
      <c r="J1" s="4" t="inlineStr">
        <is>
          <t>Remarks</t>
        </is>
      </c>
    </row>
    <row r="2">
      <c r="A2" s="9" t="inlineStr">
        <is>
          <t>COMMON</t>
        </is>
      </c>
      <c r="B2" s="9" t="inlineStr">
        <is>
          <t>Booking</t>
        </is>
      </c>
      <c r="C2" s="6" t="inlineStr">
        <is>
          <t>Booking Confirmation</t>
        </is>
      </c>
      <c r="D2" s="9" t="inlineStr">
        <is>
          <t>Y</t>
        </is>
      </c>
      <c r="E2" s="10" t="inlineStr">
        <is>
          <t>PENDING</t>
        </is>
      </c>
      <c r="F2" s="10" t="inlineStr"/>
      <c r="G2" s="9" t="inlineStr">
        <is>
          <t>ATLP/MTG</t>
        </is>
      </c>
      <c r="H2" s="10" t="inlineStr"/>
      <c r="I2" s="5" t="inlineStr"/>
      <c r="J2" s="5" t="inlineStr"/>
    </row>
    <row r="3">
      <c r="A3" s="9" t="inlineStr">
        <is>
          <t>COMMON</t>
        </is>
      </c>
      <c r="B3" s="9" t="inlineStr">
        <is>
          <t>Insurance</t>
        </is>
      </c>
      <c r="C3" s="6" t="inlineStr">
        <is>
          <t>Insurance Certificate</t>
        </is>
      </c>
      <c r="D3" s="9" t="inlineStr">
        <is>
          <t>Y</t>
        </is>
      </c>
      <c r="E3" s="10" t="inlineStr">
        <is>
          <t>PENDING</t>
        </is>
      </c>
      <c r="F3" s="10" t="inlineStr"/>
      <c r="G3" s="9" t="inlineStr">
        <is>
          <t>ATLP/MTG</t>
        </is>
      </c>
      <c r="H3" s="10" t="inlineStr"/>
      <c r="I3" s="5" t="inlineStr"/>
      <c r="J3" s="5" t="inlineStr"/>
    </row>
    <row r="4">
      <c r="A4" s="9" t="inlineStr">
        <is>
          <t>COMMON</t>
        </is>
      </c>
      <c r="B4" s="9" t="inlineStr">
        <is>
          <t>Manifest</t>
        </is>
      </c>
      <c r="C4" s="6" t="inlineStr">
        <is>
          <t>Cargo Manifest</t>
        </is>
      </c>
      <c r="D4" s="9" t="inlineStr">
        <is>
          <t>Y</t>
        </is>
      </c>
      <c r="E4" s="10" t="inlineStr">
        <is>
          <t>PENDING</t>
        </is>
      </c>
      <c r="F4" s="10" t="inlineStr"/>
      <c r="G4" s="9" t="inlineStr">
        <is>
          <t>ATLP/MTG</t>
        </is>
      </c>
      <c r="H4" s="10" t="inlineStr"/>
      <c r="I4" s="5" t="inlineStr"/>
      <c r="J4" s="5" t="inlineStr"/>
    </row>
    <row r="5">
      <c r="A5" s="9" t="inlineStr">
        <is>
          <t>COMMON</t>
        </is>
      </c>
      <c r="B5" s="9" t="inlineStr">
        <is>
          <t>Contacts</t>
        </is>
      </c>
      <c r="C5" s="6" t="inlineStr">
        <is>
          <t>Emergency Contact List</t>
        </is>
      </c>
      <c r="D5" s="9" t="inlineStr">
        <is>
          <t>Y</t>
        </is>
      </c>
      <c r="E5" s="10" t="inlineStr">
        <is>
          <t>PENDING</t>
        </is>
      </c>
      <c r="F5" s="10" t="inlineStr"/>
      <c r="G5" s="9" t="inlineStr">
        <is>
          <t>ATLP/MTG</t>
        </is>
      </c>
      <c r="H5" s="10" t="inlineStr"/>
      <c r="I5" s="5" t="inlineStr"/>
      <c r="J5" s="5" t="inlineStr"/>
    </row>
    <row r="6">
      <c r="A6" s="9" t="inlineStr">
        <is>
          <t>AGI</t>
        </is>
      </c>
      <c r="B6" s="9" t="inlineStr">
        <is>
          <t>Ramp</t>
        </is>
      </c>
      <c r="C6" s="6" t="inlineStr">
        <is>
          <t>Ramp Angle Calculation</t>
        </is>
      </c>
      <c r="D6" s="9" t="inlineStr">
        <is>
          <t>Y</t>
        </is>
      </c>
      <c r="E6" s="10" t="inlineStr">
        <is>
          <t>PENDING</t>
        </is>
      </c>
      <c r="F6" s="10" t="inlineStr"/>
      <c r="G6" s="9" t="inlineStr">
        <is>
          <t>MTG</t>
        </is>
      </c>
      <c r="H6" s="10" t="inlineStr"/>
      <c r="I6" s="5" t="inlineStr"/>
      <c r="J6" s="5" t="inlineStr"/>
    </row>
    <row r="7">
      <c r="A7" s="9" t="inlineStr">
        <is>
          <t>AGI</t>
        </is>
      </c>
      <c r="B7" s="9" t="inlineStr">
        <is>
          <t>Berth</t>
        </is>
      </c>
      <c r="C7" s="6" t="inlineStr">
        <is>
          <t>Berth Load Chart / Depth Confirmation</t>
        </is>
      </c>
      <c r="D7" s="9" t="inlineStr">
        <is>
          <t>Y</t>
        </is>
      </c>
      <c r="E7" s="10" t="inlineStr">
        <is>
          <t>PENDING</t>
        </is>
      </c>
      <c r="F7" s="10" t="inlineStr"/>
      <c r="G7" s="9" t="inlineStr">
        <is>
          <t>MTG</t>
        </is>
      </c>
      <c r="H7" s="10" t="inlineStr"/>
      <c r="I7" s="5" t="inlineStr"/>
      <c r="J7" s="5" t="inlineStr"/>
    </row>
    <row r="8">
      <c r="A8" s="9" t="inlineStr">
        <is>
          <t>COMMON</t>
        </is>
      </c>
      <c r="B8" s="9" t="inlineStr">
        <is>
          <t>Evidence</t>
        </is>
      </c>
      <c r="C8" s="6" t="inlineStr">
        <is>
          <t>Hold Point Draft Photo (FWD/AFT)</t>
        </is>
      </c>
      <c r="D8" s="9" t="inlineStr">
        <is>
          <t>Y</t>
        </is>
      </c>
      <c r="E8" s="10" t="inlineStr">
        <is>
          <t>PENDING</t>
        </is>
      </c>
      <c r="F8" s="10" t="inlineStr"/>
      <c r="G8" s="9" t="inlineStr">
        <is>
          <t>ATLP/MTG</t>
        </is>
      </c>
      <c r="H8" s="10" t="inlineStr"/>
      <c r="I8" s="5" t="inlineStr"/>
      <c r="J8" s="5" t="inlineStr"/>
    </row>
    <row r="9">
      <c r="A9" s="9" t="n"/>
      <c r="B9" s="9" t="n"/>
      <c r="C9" s="6" t="n"/>
      <c r="D9" s="9" t="n"/>
      <c r="E9" s="10" t="n"/>
      <c r="F9" s="10" t="n"/>
      <c r="G9" s="9" t="n"/>
      <c r="H9" s="10" t="n"/>
      <c r="I9" s="5" t="n"/>
      <c r="J9" s="5" t="n"/>
    </row>
    <row r="10">
      <c r="A10" s="9" t="n"/>
      <c r="B10" s="9" t="n"/>
      <c r="C10" s="6" t="n"/>
      <c r="D10" s="9" t="n"/>
      <c r="E10" s="10" t="n"/>
      <c r="F10" s="10" t="n"/>
      <c r="G10" s="9" t="n"/>
      <c r="H10" s="10" t="n"/>
      <c r="I10" s="5" t="n"/>
      <c r="J10" s="5" t="n"/>
    </row>
    <row r="11">
      <c r="A11" s="9" t="n"/>
      <c r="B11" s="9" t="n"/>
      <c r="C11" s="6" t="n"/>
      <c r="D11" s="9" t="n"/>
      <c r="E11" s="10" t="n"/>
      <c r="F11" s="10" t="n"/>
      <c r="G11" s="9" t="n"/>
      <c r="H11" s="10" t="n"/>
      <c r="I11" s="5" t="n"/>
      <c r="J11" s="5" t="n"/>
    </row>
    <row r="12">
      <c r="A12" s="9" t="n"/>
      <c r="B12" s="9" t="n"/>
      <c r="C12" s="6" t="n"/>
      <c r="D12" s="9" t="n"/>
      <c r="E12" s="10" t="n"/>
      <c r="F12" s="10" t="n"/>
      <c r="G12" s="9" t="n"/>
      <c r="H12" s="10" t="n"/>
      <c r="I12" s="5" t="n"/>
      <c r="J12" s="5" t="n"/>
    </row>
    <row r="13">
      <c r="A13" s="9" t="n"/>
      <c r="B13" s="9" t="n"/>
      <c r="C13" s="6" t="n"/>
      <c r="D13" s="9" t="n"/>
      <c r="E13" s="10" t="n"/>
      <c r="F13" s="10" t="n"/>
      <c r="G13" s="9" t="n"/>
      <c r="H13" s="10" t="n"/>
      <c r="I13" s="5" t="n"/>
      <c r="J13" s="5" t="n"/>
    </row>
    <row r="14">
      <c r="A14" s="9" t="n"/>
      <c r="B14" s="9" t="n"/>
      <c r="C14" s="6" t="n"/>
      <c r="D14" s="9" t="n"/>
      <c r="E14" s="10" t="n"/>
      <c r="F14" s="10" t="n"/>
      <c r="G14" s="9" t="n"/>
      <c r="H14" s="10" t="n"/>
      <c r="I14" s="5" t="n"/>
      <c r="J14" s="5" t="n"/>
    </row>
    <row r="15">
      <c r="A15" s="9" t="n"/>
      <c r="B15" s="9" t="n"/>
      <c r="C15" s="6" t="n"/>
      <c r="D15" s="9" t="n"/>
      <c r="E15" s="10" t="n"/>
      <c r="F15" s="10" t="n"/>
      <c r="G15" s="9" t="n"/>
      <c r="H15" s="10" t="n"/>
      <c r="I15" s="5" t="n"/>
      <c r="J15" s="5" t="n"/>
    </row>
    <row r="16">
      <c r="A16" s="9" t="n"/>
      <c r="B16" s="9" t="n"/>
      <c r="C16" s="6" t="n"/>
      <c r="D16" s="9" t="n"/>
      <c r="E16" s="10" t="n"/>
      <c r="F16" s="10" t="n"/>
      <c r="G16" s="9" t="n"/>
      <c r="H16" s="10" t="n"/>
      <c r="I16" s="5" t="n"/>
      <c r="J16" s="5" t="n"/>
    </row>
    <row r="17">
      <c r="A17" s="9" t="n"/>
      <c r="B17" s="9" t="n"/>
      <c r="C17" s="6" t="n"/>
      <c r="D17" s="9" t="n"/>
      <c r="E17" s="10" t="n"/>
      <c r="F17" s="10" t="n"/>
      <c r="G17" s="9" t="n"/>
      <c r="H17" s="10" t="n"/>
      <c r="I17" s="5" t="n"/>
      <c r="J17" s="5" t="n"/>
    </row>
    <row r="18">
      <c r="A18" s="9" t="n"/>
      <c r="B18" s="9" t="n"/>
      <c r="C18" s="6" t="n"/>
      <c r="D18" s="9" t="n"/>
      <c r="E18" s="10" t="n"/>
      <c r="F18" s="10" t="n"/>
      <c r="G18" s="9" t="n"/>
      <c r="H18" s="10" t="n"/>
      <c r="I18" s="5" t="n"/>
      <c r="J18" s="5" t="n"/>
    </row>
    <row r="19">
      <c r="A19" s="9" t="n"/>
      <c r="B19" s="9" t="n"/>
      <c r="C19" s="6" t="n"/>
      <c r="D19" s="9" t="n"/>
      <c r="E19" s="10" t="n"/>
      <c r="F19" s="10" t="n"/>
      <c r="G19" s="9" t="n"/>
      <c r="H19" s="10" t="n"/>
      <c r="I19" s="5" t="n"/>
      <c r="J19" s="5" t="n"/>
    </row>
    <row r="20">
      <c r="A20" s="9" t="n"/>
      <c r="B20" s="9" t="n"/>
      <c r="C20" s="6" t="n"/>
      <c r="D20" s="9" t="n"/>
      <c r="E20" s="10" t="n"/>
      <c r="F20" s="10" t="n"/>
      <c r="G20" s="9" t="n"/>
      <c r="H20" s="10" t="n"/>
      <c r="I20" s="5" t="n"/>
      <c r="J20" s="5" t="n"/>
    </row>
    <row r="21">
      <c r="A21" s="9" t="n"/>
      <c r="B21" s="9" t="n"/>
      <c r="C21" s="6" t="n"/>
      <c r="D21" s="9" t="n"/>
      <c r="E21" s="10" t="n"/>
      <c r="F21" s="10" t="n"/>
      <c r="G21" s="9" t="n"/>
      <c r="H21" s="10" t="n"/>
      <c r="I21" s="5" t="n"/>
      <c r="J21" s="5" t="n"/>
    </row>
    <row r="22">
      <c r="A22" s="9" t="n"/>
      <c r="B22" s="9" t="n"/>
      <c r="C22" s="6" t="n"/>
      <c r="D22" s="9" t="n"/>
      <c r="E22" s="10" t="n"/>
      <c r="F22" s="10" t="n"/>
      <c r="G22" s="9" t="n"/>
      <c r="H22" s="10" t="n"/>
      <c r="I22" s="5" t="n"/>
      <c r="J22" s="5" t="n"/>
    </row>
    <row r="23">
      <c r="A23" s="9" t="n"/>
      <c r="B23" s="9" t="n"/>
      <c r="C23" s="6" t="n"/>
      <c r="D23" s="9" t="n"/>
      <c r="E23" s="10" t="n"/>
      <c r="F23" s="10" t="n"/>
      <c r="G23" s="9" t="n"/>
      <c r="H23" s="10" t="n"/>
      <c r="I23" s="5" t="n"/>
      <c r="J23" s="5" t="n"/>
    </row>
    <row r="24">
      <c r="A24" s="9" t="n"/>
      <c r="B24" s="9" t="n"/>
      <c r="C24" s="6" t="n"/>
      <c r="D24" s="9" t="n"/>
      <c r="E24" s="10" t="n"/>
      <c r="F24" s="10" t="n"/>
      <c r="G24" s="9" t="n"/>
      <c r="H24" s="10" t="n"/>
      <c r="I24" s="5" t="n"/>
      <c r="J24" s="5" t="n"/>
    </row>
    <row r="25">
      <c r="A25" s="9" t="n"/>
      <c r="B25" s="9" t="n"/>
      <c r="C25" s="6" t="n"/>
      <c r="D25" s="9" t="n"/>
      <c r="E25" s="10" t="n"/>
      <c r="F25" s="10" t="n"/>
      <c r="G25" s="9" t="n"/>
      <c r="H25" s="10" t="n"/>
      <c r="I25" s="5" t="n"/>
      <c r="J25" s="5" t="n"/>
    </row>
    <row r="26">
      <c r="A26" s="9" t="n"/>
      <c r="B26" s="9" t="n"/>
      <c r="C26" s="6" t="n"/>
      <c r="D26" s="9" t="n"/>
      <c r="E26" s="10" t="n"/>
      <c r="F26" s="10" t="n"/>
      <c r="G26" s="9" t="n"/>
      <c r="H26" s="10" t="n"/>
      <c r="I26" s="5" t="n"/>
      <c r="J26" s="5" t="n"/>
    </row>
    <row r="27">
      <c r="A27" s="9" t="n"/>
      <c r="B27" s="9" t="n"/>
      <c r="C27" s="6" t="n"/>
      <c r="D27" s="9" t="n"/>
      <c r="E27" s="10" t="n"/>
      <c r="F27" s="10" t="n"/>
      <c r="G27" s="9" t="n"/>
      <c r="H27" s="10" t="n"/>
      <c r="I27" s="5" t="n"/>
      <c r="J27" s="5" t="n"/>
    </row>
    <row r="28">
      <c r="A28" s="9" t="n"/>
      <c r="B28" s="9" t="n"/>
      <c r="C28" s="6" t="n"/>
      <c r="D28" s="9" t="n"/>
      <c r="E28" s="10" t="n"/>
      <c r="F28" s="10" t="n"/>
      <c r="G28" s="9" t="n"/>
      <c r="H28" s="10" t="n"/>
      <c r="I28" s="5" t="n"/>
      <c r="J28" s="5" t="n"/>
    </row>
    <row r="29">
      <c r="A29" s="9" t="n"/>
      <c r="B29" s="9" t="n"/>
      <c r="C29" s="6" t="n"/>
      <c r="D29" s="9" t="n"/>
      <c r="E29" s="10" t="n"/>
      <c r="F29" s="10" t="n"/>
      <c r="G29" s="9" t="n"/>
      <c r="H29" s="10" t="n"/>
      <c r="I29" s="5" t="n"/>
      <c r="J29" s="5" t="n"/>
    </row>
    <row r="30">
      <c r="A30" s="9" t="n"/>
      <c r="B30" s="9" t="n"/>
      <c r="C30" s="6" t="n"/>
      <c r="D30" s="9" t="n"/>
      <c r="E30" s="10" t="n"/>
      <c r="F30" s="10" t="n"/>
      <c r="G30" s="9" t="n"/>
      <c r="H30" s="10" t="n"/>
      <c r="I30" s="5" t="n"/>
      <c r="J30" s="5" t="n"/>
    </row>
    <row r="31">
      <c r="A31" s="9" t="n"/>
      <c r="B31" s="9" t="n"/>
      <c r="C31" s="6" t="n"/>
      <c r="D31" s="9" t="n"/>
      <c r="E31" s="10" t="n"/>
      <c r="F31" s="10" t="n"/>
      <c r="G31" s="9" t="n"/>
      <c r="H31" s="10" t="n"/>
      <c r="I31" s="5" t="n"/>
      <c r="J31" s="5" t="n"/>
    </row>
    <row r="32">
      <c r="A32" s="9" t="n"/>
      <c r="B32" s="9" t="n"/>
      <c r="C32" s="6" t="n"/>
      <c r="D32" s="9" t="n"/>
      <c r="E32" s="10" t="n"/>
      <c r="F32" s="10" t="n"/>
      <c r="G32" s="9" t="n"/>
      <c r="H32" s="10" t="n"/>
      <c r="I32" s="5" t="n"/>
      <c r="J32" s="5" t="n"/>
    </row>
    <row r="33">
      <c r="A33" s="9" t="n"/>
      <c r="B33" s="9" t="n"/>
      <c r="C33" s="6" t="n"/>
      <c r="D33" s="9" t="n"/>
      <c r="E33" s="10" t="n"/>
      <c r="F33" s="10" t="n"/>
      <c r="G33" s="9" t="n"/>
      <c r="H33" s="10" t="n"/>
      <c r="I33" s="5" t="n"/>
      <c r="J33" s="5" t="n"/>
    </row>
    <row r="34">
      <c r="A34" s="9" t="n"/>
      <c r="B34" s="9" t="n"/>
      <c r="C34" s="6" t="n"/>
      <c r="D34" s="9" t="n"/>
      <c r="E34" s="10" t="n"/>
      <c r="F34" s="10" t="n"/>
      <c r="G34" s="9" t="n"/>
      <c r="H34" s="10" t="n"/>
      <c r="I34" s="5" t="n"/>
      <c r="J34" s="5" t="n"/>
    </row>
    <row r="35">
      <c r="A35" s="9" t="n"/>
      <c r="B35" s="9" t="n"/>
      <c r="C35" s="6" t="n"/>
      <c r="D35" s="9" t="n"/>
      <c r="E35" s="10" t="n"/>
      <c r="F35" s="10" t="n"/>
      <c r="G35" s="9" t="n"/>
      <c r="H35" s="10" t="n"/>
      <c r="I35" s="5" t="n"/>
      <c r="J35" s="5" t="n"/>
    </row>
    <row r="36">
      <c r="A36" s="9" t="n"/>
      <c r="B36" s="9" t="n"/>
      <c r="C36" s="6" t="n"/>
      <c r="D36" s="9" t="n"/>
      <c r="E36" s="10" t="n"/>
      <c r="F36" s="10" t="n"/>
      <c r="G36" s="9" t="n"/>
      <c r="H36" s="10" t="n"/>
      <c r="I36" s="5" t="n"/>
      <c r="J36" s="5" t="n"/>
    </row>
    <row r="37">
      <c r="A37" s="9" t="n"/>
      <c r="B37" s="9" t="n"/>
      <c r="C37" s="6" t="n"/>
      <c r="D37" s="9" t="n"/>
      <c r="E37" s="10" t="n"/>
      <c r="F37" s="10" t="n"/>
      <c r="G37" s="9" t="n"/>
      <c r="H37" s="10" t="n"/>
      <c r="I37" s="5" t="n"/>
      <c r="J37" s="5" t="n"/>
    </row>
    <row r="38">
      <c r="A38" s="9" t="n"/>
      <c r="B38" s="9" t="n"/>
      <c r="C38" s="6" t="n"/>
      <c r="D38" s="9" t="n"/>
      <c r="E38" s="10" t="n"/>
      <c r="F38" s="10" t="n"/>
      <c r="G38" s="9" t="n"/>
      <c r="H38" s="10" t="n"/>
      <c r="I38" s="5" t="n"/>
      <c r="J38" s="5" t="n"/>
    </row>
    <row r="39">
      <c r="A39" s="9" t="n"/>
      <c r="B39" s="9" t="n"/>
      <c r="C39" s="6" t="n"/>
      <c r="D39" s="9" t="n"/>
      <c r="E39" s="10" t="n"/>
      <c r="F39" s="10" t="n"/>
      <c r="G39" s="9" t="n"/>
      <c r="H39" s="10" t="n"/>
      <c r="I39" s="5" t="n"/>
      <c r="J39" s="5" t="n"/>
    </row>
    <row r="40">
      <c r="A40" s="9" t="n"/>
      <c r="B40" s="9" t="n"/>
      <c r="C40" s="6" t="n"/>
      <c r="D40" s="9" t="n"/>
      <c r="E40" s="10" t="n"/>
      <c r="F40" s="10" t="n"/>
      <c r="G40" s="9" t="n"/>
      <c r="H40" s="10" t="n"/>
      <c r="I40" s="5" t="n"/>
      <c r="J40" s="5" t="n"/>
    </row>
    <row r="41">
      <c r="A41" s="9" t="n"/>
      <c r="B41" s="9" t="n"/>
      <c r="C41" s="6" t="n"/>
      <c r="D41" s="9" t="n"/>
      <c r="E41" s="10" t="n"/>
      <c r="F41" s="10" t="n"/>
      <c r="G41" s="9" t="n"/>
      <c r="H41" s="10" t="n"/>
      <c r="I41" s="5" t="n"/>
      <c r="J41" s="5" t="n"/>
    </row>
    <row r="42">
      <c r="A42" s="9" t="n"/>
      <c r="B42" s="9" t="n"/>
      <c r="C42" s="6" t="n"/>
      <c r="D42" s="9" t="n"/>
      <c r="E42" s="10" t="n"/>
      <c r="F42" s="10" t="n"/>
      <c r="G42" s="9" t="n"/>
      <c r="H42" s="10" t="n"/>
      <c r="I42" s="5" t="n"/>
      <c r="J42" s="5" t="n"/>
    </row>
    <row r="43">
      <c r="A43" s="9" t="n"/>
      <c r="B43" s="9" t="n"/>
      <c r="C43" s="6" t="n"/>
      <c r="D43" s="9" t="n"/>
      <c r="E43" s="10" t="n"/>
      <c r="F43" s="10" t="n"/>
      <c r="G43" s="9" t="n"/>
      <c r="H43" s="10" t="n"/>
      <c r="I43" s="5" t="n"/>
      <c r="J43" s="5" t="n"/>
    </row>
    <row r="44">
      <c r="A44" s="9" t="n"/>
      <c r="B44" s="9" t="n"/>
      <c r="C44" s="6" t="n"/>
      <c r="D44" s="9" t="n"/>
      <c r="E44" s="10" t="n"/>
      <c r="F44" s="10" t="n"/>
      <c r="G44" s="9" t="n"/>
      <c r="H44" s="10" t="n"/>
      <c r="I44" s="5" t="n"/>
      <c r="J44" s="5" t="n"/>
    </row>
    <row r="45">
      <c r="A45" s="9" t="n"/>
      <c r="B45" s="9" t="n"/>
      <c r="C45" s="6" t="n"/>
      <c r="D45" s="9" t="n"/>
      <c r="E45" s="10" t="n"/>
      <c r="F45" s="10" t="n"/>
      <c r="G45" s="9" t="n"/>
      <c r="H45" s="10" t="n"/>
      <c r="I45" s="5" t="n"/>
      <c r="J45" s="5" t="n"/>
    </row>
    <row r="46">
      <c r="A46" s="9" t="n"/>
      <c r="B46" s="9" t="n"/>
      <c r="C46" s="6" t="n"/>
      <c r="D46" s="9" t="n"/>
      <c r="E46" s="10" t="n"/>
      <c r="F46" s="10" t="n"/>
      <c r="G46" s="9" t="n"/>
      <c r="H46" s="10" t="n"/>
      <c r="I46" s="5" t="n"/>
      <c r="J46" s="5" t="n"/>
    </row>
    <row r="47">
      <c r="A47" s="9" t="n"/>
      <c r="B47" s="9" t="n"/>
      <c r="C47" s="6" t="n"/>
      <c r="D47" s="9" t="n"/>
      <c r="E47" s="10" t="n"/>
      <c r="F47" s="10" t="n"/>
      <c r="G47" s="9" t="n"/>
      <c r="H47" s="10" t="n"/>
      <c r="I47" s="5" t="n"/>
      <c r="J47" s="5" t="n"/>
    </row>
    <row r="48">
      <c r="A48" s="9" t="n"/>
      <c r="B48" s="9" t="n"/>
      <c r="C48" s="6" t="n"/>
      <c r="D48" s="9" t="n"/>
      <c r="E48" s="10" t="n"/>
      <c r="F48" s="10" t="n"/>
      <c r="G48" s="9" t="n"/>
      <c r="H48" s="10" t="n"/>
      <c r="I48" s="5" t="n"/>
      <c r="J48" s="5" t="n"/>
    </row>
    <row r="49">
      <c r="A49" s="9" t="n"/>
      <c r="B49" s="9" t="n"/>
      <c r="C49" s="6" t="n"/>
      <c r="D49" s="9" t="n"/>
      <c r="E49" s="10" t="n"/>
      <c r="F49" s="10" t="n"/>
      <c r="G49" s="9" t="n"/>
      <c r="H49" s="10" t="n"/>
      <c r="I49" s="5" t="n"/>
      <c r="J49" s="5" t="n"/>
    </row>
    <row r="50">
      <c r="A50" s="9" t="n"/>
      <c r="B50" s="9" t="n"/>
      <c r="C50" s="6" t="n"/>
      <c r="D50" s="9" t="n"/>
      <c r="E50" s="10" t="n"/>
      <c r="F50" s="10" t="n"/>
      <c r="G50" s="9" t="n"/>
      <c r="H50" s="10" t="n"/>
      <c r="I50" s="5" t="n"/>
      <c r="J50" s="5" t="n"/>
    </row>
    <row r="51">
      <c r="A51" s="9" t="n"/>
      <c r="B51" s="9" t="n"/>
      <c r="C51" s="6" t="n"/>
      <c r="D51" s="9" t="n"/>
      <c r="E51" s="10" t="n"/>
      <c r="F51" s="10" t="n"/>
      <c r="G51" s="9" t="n"/>
      <c r="H51" s="10" t="n"/>
      <c r="I51" s="5" t="n"/>
      <c r="J51" s="5" t="n"/>
    </row>
    <row r="52">
      <c r="A52" s="9" t="n"/>
      <c r="B52" s="9" t="n"/>
      <c r="C52" s="6" t="n"/>
      <c r="D52" s="9" t="n"/>
      <c r="E52" s="10" t="n"/>
      <c r="F52" s="10" t="n"/>
      <c r="G52" s="9" t="n"/>
      <c r="H52" s="10" t="n"/>
      <c r="I52" s="5" t="n"/>
      <c r="J52" s="5" t="n"/>
    </row>
    <row r="53">
      <c r="A53" s="9" t="n"/>
      <c r="B53" s="9" t="n"/>
      <c r="C53" s="6" t="n"/>
      <c r="D53" s="9" t="n"/>
      <c r="E53" s="10" t="n"/>
      <c r="F53" s="10" t="n"/>
      <c r="G53" s="9" t="n"/>
      <c r="H53" s="10" t="n"/>
      <c r="I53" s="5" t="n"/>
      <c r="J53" s="5" t="n"/>
    </row>
    <row r="54">
      <c r="A54" s="9" t="n"/>
      <c r="B54" s="9" t="n"/>
      <c r="C54" s="6" t="n"/>
      <c r="D54" s="9" t="n"/>
      <c r="E54" s="10" t="n"/>
      <c r="F54" s="10" t="n"/>
      <c r="G54" s="9" t="n"/>
      <c r="H54" s="10" t="n"/>
      <c r="I54" s="5" t="n"/>
      <c r="J54" s="5" t="n"/>
    </row>
    <row r="55">
      <c r="A55" s="9" t="n"/>
      <c r="B55" s="9" t="n"/>
      <c r="C55" s="6" t="n"/>
      <c r="D55" s="9" t="n"/>
      <c r="E55" s="10" t="n"/>
      <c r="F55" s="10" t="n"/>
      <c r="G55" s="9" t="n"/>
      <c r="H55" s="10" t="n"/>
      <c r="I55" s="5" t="n"/>
      <c r="J55" s="5" t="n"/>
    </row>
    <row r="56">
      <c r="A56" s="9" t="n"/>
      <c r="B56" s="9" t="n"/>
      <c r="C56" s="6" t="n"/>
      <c r="D56" s="9" t="n"/>
      <c r="E56" s="10" t="n"/>
      <c r="F56" s="10" t="n"/>
      <c r="G56" s="9" t="n"/>
      <c r="H56" s="10" t="n"/>
      <c r="I56" s="5" t="n"/>
      <c r="J56" s="5" t="n"/>
    </row>
    <row r="57">
      <c r="A57" s="9" t="n"/>
      <c r="B57" s="9" t="n"/>
      <c r="C57" s="6" t="n"/>
      <c r="D57" s="9" t="n"/>
      <c r="E57" s="10" t="n"/>
      <c r="F57" s="10" t="n"/>
      <c r="G57" s="9" t="n"/>
      <c r="H57" s="10" t="n"/>
      <c r="I57" s="5" t="n"/>
      <c r="J57" s="5" t="n"/>
    </row>
    <row r="58">
      <c r="A58" s="9" t="n"/>
      <c r="B58" s="9" t="n"/>
      <c r="C58" s="6" t="n"/>
      <c r="D58" s="9" t="n"/>
      <c r="E58" s="10" t="n"/>
      <c r="F58" s="10" t="n"/>
      <c r="G58" s="9" t="n"/>
      <c r="H58" s="10" t="n"/>
      <c r="I58" s="5" t="n"/>
      <c r="J58" s="5" t="n"/>
    </row>
    <row r="59">
      <c r="A59" s="9" t="n"/>
      <c r="B59" s="9" t="n"/>
      <c r="C59" s="6" t="n"/>
      <c r="D59" s="9" t="n"/>
      <c r="E59" s="10" t="n"/>
      <c r="F59" s="10" t="n"/>
      <c r="G59" s="9" t="n"/>
      <c r="H59" s="10" t="n"/>
      <c r="I59" s="5" t="n"/>
      <c r="J59" s="5" t="n"/>
    </row>
    <row r="60">
      <c r="A60" s="9" t="n"/>
      <c r="B60" s="9" t="n"/>
      <c r="C60" s="6" t="n"/>
      <c r="D60" s="9" t="n"/>
      <c r="E60" s="10" t="n"/>
      <c r="F60" s="10" t="n"/>
      <c r="G60" s="9" t="n"/>
      <c r="H60" s="10" t="n"/>
      <c r="I60" s="5" t="n"/>
      <c r="J60" s="5" t="n"/>
    </row>
    <row r="61">
      <c r="A61" s="9" t="n"/>
      <c r="B61" s="9" t="n"/>
      <c r="C61" s="6" t="n"/>
      <c r="D61" s="9" t="n"/>
      <c r="E61" s="10" t="n"/>
      <c r="F61" s="10" t="n"/>
      <c r="G61" s="9" t="n"/>
      <c r="H61" s="10" t="n"/>
      <c r="I61" s="5" t="n"/>
      <c r="J61" s="5" t="n"/>
    </row>
    <row r="62">
      <c r="A62" s="9" t="n"/>
      <c r="B62" s="9" t="n"/>
      <c r="C62" s="6" t="n"/>
      <c r="D62" s="9" t="n"/>
      <c r="E62" s="10" t="n"/>
      <c r="F62" s="10" t="n"/>
      <c r="G62" s="9" t="n"/>
      <c r="H62" s="10" t="n"/>
      <c r="I62" s="5" t="n"/>
      <c r="J62" s="5" t="n"/>
    </row>
    <row r="63">
      <c r="A63" s="9" t="n"/>
      <c r="B63" s="9" t="n"/>
      <c r="C63" s="6" t="n"/>
      <c r="D63" s="9" t="n"/>
      <c r="E63" s="10" t="n"/>
      <c r="F63" s="10" t="n"/>
      <c r="G63" s="9" t="n"/>
      <c r="H63" s="10" t="n"/>
      <c r="I63" s="5" t="n"/>
      <c r="J63" s="5" t="n"/>
    </row>
    <row r="64">
      <c r="A64" s="9" t="n"/>
      <c r="B64" s="9" t="n"/>
      <c r="C64" s="6" t="n"/>
      <c r="D64" s="9" t="n"/>
      <c r="E64" s="10" t="n"/>
      <c r="F64" s="10" t="n"/>
      <c r="G64" s="9" t="n"/>
      <c r="H64" s="10" t="n"/>
      <c r="I64" s="5" t="n"/>
      <c r="J64" s="5" t="n"/>
    </row>
    <row r="65">
      <c r="A65" s="9" t="n"/>
      <c r="B65" s="9" t="n"/>
      <c r="C65" s="6" t="n"/>
      <c r="D65" s="9" t="n"/>
      <c r="E65" s="10" t="n"/>
      <c r="F65" s="10" t="n"/>
      <c r="G65" s="9" t="n"/>
      <c r="H65" s="10" t="n"/>
      <c r="I65" s="5" t="n"/>
      <c r="J65" s="5" t="n"/>
    </row>
    <row r="66">
      <c r="A66" s="9" t="n"/>
      <c r="B66" s="9" t="n"/>
      <c r="C66" s="6" t="n"/>
      <c r="D66" s="9" t="n"/>
      <c r="E66" s="10" t="n"/>
      <c r="F66" s="10" t="n"/>
      <c r="G66" s="9" t="n"/>
      <c r="H66" s="10" t="n"/>
      <c r="I66" s="5" t="n"/>
      <c r="J66" s="5" t="n"/>
    </row>
    <row r="67">
      <c r="A67" s="9" t="n"/>
      <c r="B67" s="9" t="n"/>
      <c r="C67" s="6" t="n"/>
      <c r="D67" s="9" t="n"/>
      <c r="E67" s="10" t="n"/>
      <c r="F67" s="10" t="n"/>
      <c r="G67" s="9" t="n"/>
      <c r="H67" s="10" t="n"/>
      <c r="I67" s="5" t="n"/>
      <c r="J67" s="5" t="n"/>
    </row>
    <row r="68">
      <c r="A68" s="9" t="n"/>
      <c r="B68" s="9" t="n"/>
      <c r="C68" s="6" t="n"/>
      <c r="D68" s="9" t="n"/>
      <c r="E68" s="10" t="n"/>
      <c r="F68" s="10" t="n"/>
      <c r="G68" s="9" t="n"/>
      <c r="H68" s="10" t="n"/>
      <c r="I68" s="5" t="n"/>
      <c r="J68" s="5" t="n"/>
    </row>
    <row r="69">
      <c r="A69" s="9" t="n"/>
      <c r="B69" s="9" t="n"/>
      <c r="C69" s="6" t="n"/>
      <c r="D69" s="9" t="n"/>
      <c r="E69" s="10" t="n"/>
      <c r="F69" s="10" t="n"/>
      <c r="G69" s="9" t="n"/>
      <c r="H69" s="10" t="n"/>
      <c r="I69" s="5" t="n"/>
      <c r="J69" s="5" t="n"/>
    </row>
    <row r="70">
      <c r="A70" s="9" t="n"/>
      <c r="B70" s="9" t="n"/>
      <c r="C70" s="6" t="n"/>
      <c r="D70" s="9" t="n"/>
      <c r="E70" s="10" t="n"/>
      <c r="F70" s="10" t="n"/>
      <c r="G70" s="9" t="n"/>
      <c r="H70" s="10" t="n"/>
      <c r="I70" s="5" t="n"/>
      <c r="J70" s="5" t="n"/>
    </row>
    <row r="71">
      <c r="A71" s="9" t="n"/>
      <c r="B71" s="9" t="n"/>
      <c r="C71" s="6" t="n"/>
      <c r="D71" s="9" t="n"/>
      <c r="E71" s="10" t="n"/>
      <c r="F71" s="10" t="n"/>
      <c r="G71" s="9" t="n"/>
      <c r="H71" s="10" t="n"/>
      <c r="I71" s="5" t="n"/>
      <c r="J71" s="5" t="n"/>
    </row>
    <row r="72">
      <c r="A72" s="9" t="n"/>
      <c r="B72" s="9" t="n"/>
      <c r="C72" s="6" t="n"/>
      <c r="D72" s="9" t="n"/>
      <c r="E72" s="10" t="n"/>
      <c r="F72" s="10" t="n"/>
      <c r="G72" s="9" t="n"/>
      <c r="H72" s="10" t="n"/>
      <c r="I72" s="5" t="n"/>
      <c r="J72" s="5" t="n"/>
    </row>
    <row r="73">
      <c r="A73" s="9" t="n"/>
      <c r="B73" s="9" t="n"/>
      <c r="C73" s="6" t="n"/>
      <c r="D73" s="9" t="n"/>
      <c r="E73" s="10" t="n"/>
      <c r="F73" s="10" t="n"/>
      <c r="G73" s="9" t="n"/>
      <c r="H73" s="10" t="n"/>
      <c r="I73" s="5" t="n"/>
      <c r="J73" s="5" t="n"/>
    </row>
    <row r="74">
      <c r="A74" s="9" t="n"/>
      <c r="B74" s="9" t="n"/>
      <c r="C74" s="6" t="n"/>
      <c r="D74" s="9" t="n"/>
      <c r="E74" s="10" t="n"/>
      <c r="F74" s="10" t="n"/>
      <c r="G74" s="9" t="n"/>
      <c r="H74" s="10" t="n"/>
      <c r="I74" s="5" t="n"/>
      <c r="J74" s="5" t="n"/>
    </row>
    <row r="75">
      <c r="A75" s="9" t="n"/>
      <c r="B75" s="9" t="n"/>
      <c r="C75" s="6" t="n"/>
      <c r="D75" s="9" t="n"/>
      <c r="E75" s="10" t="n"/>
      <c r="F75" s="10" t="n"/>
      <c r="G75" s="9" t="n"/>
      <c r="H75" s="10" t="n"/>
      <c r="I75" s="5" t="n"/>
      <c r="J75" s="5" t="n"/>
    </row>
    <row r="76">
      <c r="A76" s="9" t="n"/>
      <c r="B76" s="9" t="n"/>
      <c r="C76" s="6" t="n"/>
      <c r="D76" s="9" t="n"/>
      <c r="E76" s="10" t="n"/>
      <c r="F76" s="10" t="n"/>
      <c r="G76" s="9" t="n"/>
      <c r="H76" s="10" t="n"/>
      <c r="I76" s="5" t="n"/>
      <c r="J76" s="5" t="n"/>
    </row>
    <row r="77">
      <c r="A77" s="9" t="n"/>
      <c r="B77" s="9" t="n"/>
      <c r="C77" s="6" t="n"/>
      <c r="D77" s="9" t="n"/>
      <c r="E77" s="10" t="n"/>
      <c r="F77" s="10" t="n"/>
      <c r="G77" s="9" t="n"/>
      <c r="H77" s="10" t="n"/>
      <c r="I77" s="5" t="n"/>
      <c r="J77" s="5" t="n"/>
    </row>
    <row r="78">
      <c r="A78" s="9" t="n"/>
      <c r="B78" s="9" t="n"/>
      <c r="C78" s="6" t="n"/>
      <c r="D78" s="9" t="n"/>
      <c r="E78" s="10" t="n"/>
      <c r="F78" s="10" t="n"/>
      <c r="G78" s="9" t="n"/>
      <c r="H78" s="10" t="n"/>
      <c r="I78" s="5" t="n"/>
      <c r="J78" s="5" t="n"/>
    </row>
    <row r="79">
      <c r="A79" s="9" t="n"/>
      <c r="B79" s="9" t="n"/>
      <c r="C79" s="6" t="n"/>
      <c r="D79" s="9" t="n"/>
      <c r="E79" s="10" t="n"/>
      <c r="F79" s="10" t="n"/>
      <c r="G79" s="9" t="n"/>
      <c r="H79" s="10" t="n"/>
      <c r="I79" s="5" t="n"/>
      <c r="J79" s="5" t="n"/>
    </row>
    <row r="80">
      <c r="A80" s="9" t="n"/>
      <c r="B80" s="9" t="n"/>
      <c r="C80" s="6" t="n"/>
      <c r="D80" s="9" t="n"/>
      <c r="E80" s="10" t="n"/>
      <c r="F80" s="10" t="n"/>
      <c r="G80" s="9" t="n"/>
      <c r="H80" s="10" t="n"/>
      <c r="I80" s="5" t="n"/>
      <c r="J80" s="5" t="n"/>
    </row>
    <row r="81">
      <c r="A81" s="9" t="n"/>
      <c r="B81" s="9" t="n"/>
      <c r="C81" s="6" t="n"/>
      <c r="D81" s="9" t="n"/>
      <c r="E81" s="10" t="n"/>
      <c r="F81" s="10" t="n"/>
      <c r="G81" s="9" t="n"/>
      <c r="H81" s="10" t="n"/>
      <c r="I81" s="5" t="n"/>
      <c r="J81" s="5" t="n"/>
    </row>
    <row r="82">
      <c r="A82" s="9" t="n"/>
      <c r="B82" s="9" t="n"/>
      <c r="C82" s="6" t="n"/>
      <c r="D82" s="9" t="n"/>
      <c r="E82" s="10" t="n"/>
      <c r="F82" s="10" t="n"/>
      <c r="G82" s="9" t="n"/>
      <c r="H82" s="10" t="n"/>
      <c r="I82" s="5" t="n"/>
      <c r="J82" s="5" t="n"/>
    </row>
    <row r="83">
      <c r="A83" s="9" t="n"/>
      <c r="B83" s="9" t="n"/>
      <c r="C83" s="6" t="n"/>
      <c r="D83" s="9" t="n"/>
      <c r="E83" s="10" t="n"/>
      <c r="F83" s="10" t="n"/>
      <c r="G83" s="9" t="n"/>
      <c r="H83" s="10" t="n"/>
      <c r="I83" s="5" t="n"/>
      <c r="J83" s="5" t="n"/>
    </row>
    <row r="84">
      <c r="A84" s="9" t="n"/>
      <c r="B84" s="9" t="n"/>
      <c r="C84" s="6" t="n"/>
      <c r="D84" s="9" t="n"/>
      <c r="E84" s="10" t="n"/>
      <c r="F84" s="10" t="n"/>
      <c r="G84" s="9" t="n"/>
      <c r="H84" s="10" t="n"/>
      <c r="I84" s="5" t="n"/>
      <c r="J84" s="5" t="n"/>
    </row>
    <row r="85">
      <c r="A85" s="9" t="n"/>
      <c r="B85" s="9" t="n"/>
      <c r="C85" s="6" t="n"/>
      <c r="D85" s="9" t="n"/>
      <c r="E85" s="10" t="n"/>
      <c r="F85" s="10" t="n"/>
      <c r="G85" s="9" t="n"/>
      <c r="H85" s="10" t="n"/>
      <c r="I85" s="5" t="n"/>
      <c r="J85" s="5" t="n"/>
    </row>
    <row r="86">
      <c r="A86" s="9" t="n"/>
      <c r="B86" s="9" t="n"/>
      <c r="C86" s="6" t="n"/>
      <c r="D86" s="9" t="n"/>
      <c r="E86" s="10" t="n"/>
      <c r="F86" s="10" t="n"/>
      <c r="G86" s="9" t="n"/>
      <c r="H86" s="10" t="n"/>
      <c r="I86" s="5" t="n"/>
      <c r="J86" s="5" t="n"/>
    </row>
    <row r="87">
      <c r="A87" s="9" t="n"/>
      <c r="B87" s="9" t="n"/>
      <c r="C87" s="6" t="n"/>
      <c r="D87" s="9" t="n"/>
      <c r="E87" s="10" t="n"/>
      <c r="F87" s="10" t="n"/>
      <c r="G87" s="9" t="n"/>
      <c r="H87" s="10" t="n"/>
      <c r="I87" s="5" t="n"/>
      <c r="J87" s="5" t="n"/>
    </row>
    <row r="88">
      <c r="A88" s="9" t="n"/>
      <c r="B88" s="9" t="n"/>
      <c r="C88" s="6" t="n"/>
      <c r="D88" s="9" t="n"/>
      <c r="E88" s="10" t="n"/>
      <c r="F88" s="10" t="n"/>
      <c r="G88" s="9" t="n"/>
      <c r="H88" s="10" t="n"/>
      <c r="I88" s="5" t="n"/>
      <c r="J88" s="5" t="n"/>
    </row>
    <row r="89">
      <c r="A89" s="9" t="n"/>
      <c r="B89" s="9" t="n"/>
      <c r="C89" s="6" t="n"/>
      <c r="D89" s="9" t="n"/>
      <c r="E89" s="10" t="n"/>
      <c r="F89" s="10" t="n"/>
      <c r="G89" s="9" t="n"/>
      <c r="H89" s="10" t="n"/>
      <c r="I89" s="5" t="n"/>
      <c r="J89" s="5" t="n"/>
    </row>
    <row r="90">
      <c r="A90" s="9" t="n"/>
      <c r="B90" s="9" t="n"/>
      <c r="C90" s="6" t="n"/>
      <c r="D90" s="9" t="n"/>
      <c r="E90" s="10" t="n"/>
      <c r="F90" s="10" t="n"/>
      <c r="G90" s="9" t="n"/>
      <c r="H90" s="10" t="n"/>
      <c r="I90" s="5" t="n"/>
      <c r="J90" s="5" t="n"/>
    </row>
    <row r="91">
      <c r="A91" s="9" t="n"/>
      <c r="B91" s="9" t="n"/>
      <c r="C91" s="6" t="n"/>
      <c r="D91" s="9" t="n"/>
      <c r="E91" s="10" t="n"/>
      <c r="F91" s="10" t="n"/>
      <c r="G91" s="9" t="n"/>
      <c r="H91" s="10" t="n"/>
      <c r="I91" s="5" t="n"/>
      <c r="J91" s="5" t="n"/>
    </row>
    <row r="92">
      <c r="A92" s="9" t="n"/>
      <c r="B92" s="9" t="n"/>
      <c r="C92" s="6" t="n"/>
      <c r="D92" s="9" t="n"/>
      <c r="E92" s="10" t="n"/>
      <c r="F92" s="10" t="n"/>
      <c r="G92" s="9" t="n"/>
      <c r="H92" s="10" t="n"/>
      <c r="I92" s="5" t="n"/>
      <c r="J92" s="5" t="n"/>
    </row>
    <row r="93">
      <c r="A93" s="9" t="n"/>
      <c r="B93" s="9" t="n"/>
      <c r="C93" s="6" t="n"/>
      <c r="D93" s="9" t="n"/>
      <c r="E93" s="10" t="n"/>
      <c r="F93" s="10" t="n"/>
      <c r="G93" s="9" t="n"/>
      <c r="H93" s="10" t="n"/>
      <c r="I93" s="5" t="n"/>
      <c r="J93" s="5" t="n"/>
    </row>
    <row r="94">
      <c r="A94" s="9" t="n"/>
      <c r="B94" s="9" t="n"/>
      <c r="C94" s="6" t="n"/>
      <c r="D94" s="9" t="n"/>
      <c r="E94" s="10" t="n"/>
      <c r="F94" s="10" t="n"/>
      <c r="G94" s="9" t="n"/>
      <c r="H94" s="10" t="n"/>
      <c r="I94" s="5" t="n"/>
      <c r="J94" s="5" t="n"/>
    </row>
    <row r="95">
      <c r="A95" s="9" t="n"/>
      <c r="B95" s="9" t="n"/>
      <c r="C95" s="6" t="n"/>
      <c r="D95" s="9" t="n"/>
      <c r="E95" s="10" t="n"/>
      <c r="F95" s="10" t="n"/>
      <c r="G95" s="9" t="n"/>
      <c r="H95" s="10" t="n"/>
      <c r="I95" s="5" t="n"/>
      <c r="J95" s="5" t="n"/>
    </row>
    <row r="96">
      <c r="A96" s="9" t="n"/>
      <c r="B96" s="9" t="n"/>
      <c r="C96" s="6" t="n"/>
      <c r="D96" s="9" t="n"/>
      <c r="E96" s="10" t="n"/>
      <c r="F96" s="10" t="n"/>
      <c r="G96" s="9" t="n"/>
      <c r="H96" s="10" t="n"/>
      <c r="I96" s="5" t="n"/>
      <c r="J96" s="5" t="n"/>
    </row>
    <row r="97">
      <c r="A97" s="9" t="n"/>
      <c r="B97" s="9" t="n"/>
      <c r="C97" s="6" t="n"/>
      <c r="D97" s="9" t="n"/>
      <c r="E97" s="10" t="n"/>
      <c r="F97" s="10" t="n"/>
      <c r="G97" s="9" t="n"/>
      <c r="H97" s="10" t="n"/>
      <c r="I97" s="5" t="n"/>
      <c r="J97" s="5" t="n"/>
    </row>
    <row r="98">
      <c r="A98" s="9" t="n"/>
      <c r="B98" s="9" t="n"/>
      <c r="C98" s="6" t="n"/>
      <c r="D98" s="9" t="n"/>
      <c r="E98" s="10" t="n"/>
      <c r="F98" s="10" t="n"/>
      <c r="G98" s="9" t="n"/>
      <c r="H98" s="10" t="n"/>
      <c r="I98" s="5" t="n"/>
      <c r="J98" s="5" t="n"/>
    </row>
    <row r="99">
      <c r="A99" s="9" t="n"/>
      <c r="B99" s="9" t="n"/>
      <c r="C99" s="6" t="n"/>
      <c r="D99" s="9" t="n"/>
      <c r="E99" s="10" t="n"/>
      <c r="F99" s="10" t="n"/>
      <c r="G99" s="9" t="n"/>
      <c r="H99" s="10" t="n"/>
      <c r="I99" s="5" t="n"/>
      <c r="J99" s="5" t="n"/>
    </row>
    <row r="100">
      <c r="A100" s="9" t="n"/>
      <c r="B100" s="9" t="n"/>
      <c r="C100" s="6" t="n"/>
      <c r="D100" s="9" t="n"/>
      <c r="E100" s="10" t="n"/>
      <c r="F100" s="10" t="n"/>
      <c r="G100" s="9" t="n"/>
      <c r="H100" s="10" t="n"/>
      <c r="I100" s="5" t="n"/>
      <c r="J100" s="5" t="n"/>
    </row>
    <row r="101">
      <c r="A101" s="9" t="n"/>
      <c r="B101" s="9" t="n"/>
      <c r="C101" s="6" t="n"/>
      <c r="D101" s="9" t="n"/>
      <c r="E101" s="10" t="n"/>
      <c r="F101" s="10" t="n"/>
      <c r="G101" s="9" t="n"/>
      <c r="H101" s="10" t="n"/>
      <c r="I101" s="5" t="n"/>
      <c r="J101" s="5" t="n"/>
    </row>
    <row r="102">
      <c r="A102" s="9" t="n"/>
      <c r="B102" s="9" t="n"/>
      <c r="C102" s="6" t="n"/>
      <c r="D102" s="9" t="n"/>
      <c r="E102" s="10" t="n"/>
      <c r="F102" s="10" t="n"/>
      <c r="G102" s="9" t="n"/>
      <c r="H102" s="10" t="n"/>
      <c r="I102" s="5" t="n"/>
      <c r="J102" s="5" t="n"/>
    </row>
    <row r="103">
      <c r="A103" s="9" t="n"/>
      <c r="B103" s="9" t="n"/>
      <c r="C103" s="6" t="n"/>
      <c r="D103" s="9" t="n"/>
      <c r="E103" s="10" t="n"/>
      <c r="F103" s="10" t="n"/>
      <c r="G103" s="9" t="n"/>
      <c r="H103" s="10" t="n"/>
      <c r="I103" s="5" t="n"/>
      <c r="J103" s="5" t="n"/>
    </row>
    <row r="104">
      <c r="A104" s="9" t="n"/>
      <c r="B104" s="9" t="n"/>
      <c r="C104" s="6" t="n"/>
      <c r="D104" s="9" t="n"/>
      <c r="E104" s="10" t="n"/>
      <c r="F104" s="10" t="n"/>
      <c r="G104" s="9" t="n"/>
      <c r="H104" s="10" t="n"/>
      <c r="I104" s="5" t="n"/>
      <c r="J104" s="5" t="n"/>
    </row>
    <row r="105">
      <c r="A105" s="9" t="n"/>
      <c r="B105" s="9" t="n"/>
      <c r="C105" s="6" t="n"/>
      <c r="D105" s="9" t="n"/>
      <c r="E105" s="10" t="n"/>
      <c r="F105" s="10" t="n"/>
      <c r="G105" s="9" t="n"/>
      <c r="H105" s="10" t="n"/>
      <c r="I105" s="5" t="n"/>
      <c r="J105" s="5" t="n"/>
    </row>
    <row r="106">
      <c r="A106" s="9" t="n"/>
      <c r="B106" s="9" t="n"/>
      <c r="C106" s="6" t="n"/>
      <c r="D106" s="9" t="n"/>
      <c r="E106" s="10" t="n"/>
      <c r="F106" s="10" t="n"/>
      <c r="G106" s="9" t="n"/>
      <c r="H106" s="10" t="n"/>
      <c r="I106" s="5" t="n"/>
      <c r="J106" s="5" t="n"/>
    </row>
    <row r="107">
      <c r="A107" s="9" t="n"/>
      <c r="B107" s="9" t="n"/>
      <c r="C107" s="6" t="n"/>
      <c r="D107" s="9" t="n"/>
      <c r="E107" s="10" t="n"/>
      <c r="F107" s="10" t="n"/>
      <c r="G107" s="9" t="n"/>
      <c r="H107" s="10" t="n"/>
      <c r="I107" s="5" t="n"/>
      <c r="J107" s="5" t="n"/>
    </row>
    <row r="108">
      <c r="A108" s="9" t="n"/>
      <c r="B108" s="9" t="n"/>
      <c r="C108" s="6" t="n"/>
      <c r="D108" s="9" t="n"/>
      <c r="E108" s="10" t="n"/>
      <c r="F108" s="10" t="n"/>
      <c r="G108" s="9" t="n"/>
      <c r="H108" s="10" t="n"/>
      <c r="I108" s="5" t="n"/>
      <c r="J108" s="5" t="n"/>
    </row>
    <row r="109">
      <c r="A109" s="9" t="n"/>
      <c r="B109" s="9" t="n"/>
      <c r="C109" s="6" t="n"/>
      <c r="D109" s="9" t="n"/>
      <c r="E109" s="10" t="n"/>
      <c r="F109" s="10" t="n"/>
      <c r="G109" s="9" t="n"/>
      <c r="H109" s="10" t="n"/>
      <c r="I109" s="5" t="n"/>
      <c r="J109" s="5" t="n"/>
    </row>
    <row r="110">
      <c r="A110" s="9" t="n"/>
      <c r="B110" s="9" t="n"/>
      <c r="C110" s="6" t="n"/>
      <c r="D110" s="9" t="n"/>
      <c r="E110" s="10" t="n"/>
      <c r="F110" s="10" t="n"/>
      <c r="G110" s="9" t="n"/>
      <c r="H110" s="10" t="n"/>
      <c r="I110" s="5" t="n"/>
      <c r="J110" s="5" t="n"/>
    </row>
    <row r="111">
      <c r="A111" s="9" t="n"/>
      <c r="B111" s="9" t="n"/>
      <c r="C111" s="6" t="n"/>
      <c r="D111" s="9" t="n"/>
      <c r="E111" s="10" t="n"/>
      <c r="F111" s="10" t="n"/>
      <c r="G111" s="9" t="n"/>
      <c r="H111" s="10" t="n"/>
      <c r="I111" s="5" t="n"/>
      <c r="J111" s="5" t="n"/>
    </row>
    <row r="112">
      <c r="A112" s="9" t="n"/>
      <c r="B112" s="9" t="n"/>
      <c r="C112" s="6" t="n"/>
      <c r="D112" s="9" t="n"/>
      <c r="E112" s="10" t="n"/>
      <c r="F112" s="10" t="n"/>
      <c r="G112" s="9" t="n"/>
      <c r="H112" s="10" t="n"/>
      <c r="I112" s="5" t="n"/>
      <c r="J112" s="5" t="n"/>
    </row>
    <row r="113">
      <c r="A113" s="9" t="n"/>
      <c r="B113" s="9" t="n"/>
      <c r="C113" s="6" t="n"/>
      <c r="D113" s="9" t="n"/>
      <c r="E113" s="10" t="n"/>
      <c r="F113" s="10" t="n"/>
      <c r="G113" s="9" t="n"/>
      <c r="H113" s="10" t="n"/>
      <c r="I113" s="5" t="n"/>
      <c r="J113" s="5" t="n"/>
    </row>
    <row r="114">
      <c r="A114" s="9" t="n"/>
      <c r="B114" s="9" t="n"/>
      <c r="C114" s="6" t="n"/>
      <c r="D114" s="9" t="n"/>
      <c r="E114" s="10" t="n"/>
      <c r="F114" s="10" t="n"/>
      <c r="G114" s="9" t="n"/>
      <c r="H114" s="10" t="n"/>
      <c r="I114" s="5" t="n"/>
      <c r="J114" s="5" t="n"/>
    </row>
    <row r="115">
      <c r="A115" s="9" t="n"/>
      <c r="B115" s="9" t="n"/>
      <c r="C115" s="6" t="n"/>
      <c r="D115" s="9" t="n"/>
      <c r="E115" s="10" t="n"/>
      <c r="F115" s="10" t="n"/>
      <c r="G115" s="9" t="n"/>
      <c r="H115" s="10" t="n"/>
      <c r="I115" s="5" t="n"/>
      <c r="J115" s="5" t="n"/>
    </row>
    <row r="116">
      <c r="A116" s="9" t="n"/>
      <c r="B116" s="9" t="n"/>
      <c r="C116" s="6" t="n"/>
      <c r="D116" s="9" t="n"/>
      <c r="E116" s="10" t="n"/>
      <c r="F116" s="10" t="n"/>
      <c r="G116" s="9" t="n"/>
      <c r="H116" s="10" t="n"/>
      <c r="I116" s="5" t="n"/>
      <c r="J116" s="5" t="n"/>
    </row>
    <row r="117">
      <c r="A117" s="9" t="n"/>
      <c r="B117" s="9" t="n"/>
      <c r="C117" s="6" t="n"/>
      <c r="D117" s="9" t="n"/>
      <c r="E117" s="10" t="n"/>
      <c r="F117" s="10" t="n"/>
      <c r="G117" s="9" t="n"/>
      <c r="H117" s="10" t="n"/>
      <c r="I117" s="5" t="n"/>
      <c r="J117" s="5" t="n"/>
    </row>
    <row r="118">
      <c r="A118" s="9" t="n"/>
      <c r="B118" s="9" t="n"/>
      <c r="C118" s="6" t="n"/>
      <c r="D118" s="9" t="n"/>
      <c r="E118" s="10" t="n"/>
      <c r="F118" s="10" t="n"/>
      <c r="G118" s="9" t="n"/>
      <c r="H118" s="10" t="n"/>
      <c r="I118" s="5" t="n"/>
      <c r="J118" s="5" t="n"/>
    </row>
    <row r="119">
      <c r="A119" s="9" t="n"/>
      <c r="B119" s="9" t="n"/>
      <c r="C119" s="6" t="n"/>
      <c r="D119" s="9" t="n"/>
      <c r="E119" s="10" t="n"/>
      <c r="F119" s="10" t="n"/>
      <c r="G119" s="9" t="n"/>
      <c r="H119" s="10" t="n"/>
      <c r="I119" s="5" t="n"/>
      <c r="J119" s="5" t="n"/>
    </row>
    <row r="120">
      <c r="A120" s="9" t="n"/>
      <c r="B120" s="9" t="n"/>
      <c r="C120" s="6" t="n"/>
      <c r="D120" s="9" t="n"/>
      <c r="E120" s="10" t="n"/>
      <c r="F120" s="10" t="n"/>
      <c r="G120" s="9" t="n"/>
      <c r="H120" s="10" t="n"/>
      <c r="I120" s="5" t="n"/>
      <c r="J120" s="5" t="n"/>
    </row>
    <row r="121">
      <c r="A121" s="9" t="n"/>
      <c r="B121" s="9" t="n"/>
      <c r="C121" s="6" t="n"/>
      <c r="D121" s="9" t="n"/>
      <c r="E121" s="10" t="n"/>
      <c r="F121" s="10" t="n"/>
      <c r="G121" s="9" t="n"/>
      <c r="H121" s="10" t="n"/>
      <c r="I121" s="5" t="n"/>
      <c r="J121" s="5" t="n"/>
    </row>
    <row r="122">
      <c r="A122" s="9" t="n"/>
      <c r="B122" s="9" t="n"/>
      <c r="C122" s="6" t="n"/>
      <c r="D122" s="9" t="n"/>
      <c r="E122" s="10" t="n"/>
      <c r="F122" s="10" t="n"/>
      <c r="G122" s="9" t="n"/>
      <c r="H122" s="10" t="n"/>
      <c r="I122" s="5" t="n"/>
      <c r="J122" s="5" t="n"/>
    </row>
    <row r="123">
      <c r="A123" s="9" t="n"/>
      <c r="B123" s="9" t="n"/>
      <c r="C123" s="6" t="n"/>
      <c r="D123" s="9" t="n"/>
      <c r="E123" s="10" t="n"/>
      <c r="F123" s="10" t="n"/>
      <c r="G123" s="9" t="n"/>
      <c r="H123" s="10" t="n"/>
      <c r="I123" s="5" t="n"/>
      <c r="J123" s="5" t="n"/>
    </row>
    <row r="124">
      <c r="A124" s="9" t="n"/>
      <c r="B124" s="9" t="n"/>
      <c r="C124" s="6" t="n"/>
      <c r="D124" s="9" t="n"/>
      <c r="E124" s="10" t="n"/>
      <c r="F124" s="10" t="n"/>
      <c r="G124" s="9" t="n"/>
      <c r="H124" s="10" t="n"/>
      <c r="I124" s="5" t="n"/>
      <c r="J124" s="5" t="n"/>
    </row>
    <row r="125">
      <c r="A125" s="9" t="n"/>
      <c r="B125" s="9" t="n"/>
      <c r="C125" s="6" t="n"/>
      <c r="D125" s="9" t="n"/>
      <c r="E125" s="10" t="n"/>
      <c r="F125" s="10" t="n"/>
      <c r="G125" s="9" t="n"/>
      <c r="H125" s="10" t="n"/>
      <c r="I125" s="5" t="n"/>
      <c r="J125" s="5" t="n"/>
    </row>
    <row r="126">
      <c r="A126" s="9" t="n"/>
      <c r="B126" s="9" t="n"/>
      <c r="C126" s="6" t="n"/>
      <c r="D126" s="9" t="n"/>
      <c r="E126" s="10" t="n"/>
      <c r="F126" s="10" t="n"/>
      <c r="G126" s="9" t="n"/>
      <c r="H126" s="10" t="n"/>
      <c r="I126" s="5" t="n"/>
      <c r="J126" s="5" t="n"/>
    </row>
    <row r="127">
      <c r="A127" s="9" t="n"/>
      <c r="B127" s="9" t="n"/>
      <c r="C127" s="6" t="n"/>
      <c r="D127" s="9" t="n"/>
      <c r="E127" s="10" t="n"/>
      <c r="F127" s="10" t="n"/>
      <c r="G127" s="9" t="n"/>
      <c r="H127" s="10" t="n"/>
      <c r="I127" s="5" t="n"/>
      <c r="J127" s="5" t="n"/>
    </row>
    <row r="128">
      <c r="A128" s="9" t="n"/>
      <c r="B128" s="9" t="n"/>
      <c r="C128" s="6" t="n"/>
      <c r="D128" s="9" t="n"/>
      <c r="E128" s="10" t="n"/>
      <c r="F128" s="10" t="n"/>
      <c r="G128" s="9" t="n"/>
      <c r="H128" s="10" t="n"/>
      <c r="I128" s="5" t="n"/>
      <c r="J128" s="5" t="n"/>
    </row>
    <row r="129">
      <c r="A129" s="9" t="n"/>
      <c r="B129" s="9" t="n"/>
      <c r="C129" s="6" t="n"/>
      <c r="D129" s="9" t="n"/>
      <c r="E129" s="10" t="n"/>
      <c r="F129" s="10" t="n"/>
      <c r="G129" s="9" t="n"/>
      <c r="H129" s="10" t="n"/>
      <c r="I129" s="5" t="n"/>
      <c r="J129" s="5" t="n"/>
    </row>
    <row r="130">
      <c r="A130" s="9" t="n"/>
      <c r="B130" s="9" t="n"/>
      <c r="C130" s="6" t="n"/>
      <c r="D130" s="9" t="n"/>
      <c r="E130" s="10" t="n"/>
      <c r="F130" s="10" t="n"/>
      <c r="G130" s="9" t="n"/>
      <c r="H130" s="10" t="n"/>
      <c r="I130" s="5" t="n"/>
      <c r="J130" s="5" t="n"/>
    </row>
    <row r="131">
      <c r="A131" s="9" t="n"/>
      <c r="B131" s="9" t="n"/>
      <c r="C131" s="6" t="n"/>
      <c r="D131" s="9" t="n"/>
      <c r="E131" s="10" t="n"/>
      <c r="F131" s="10" t="n"/>
      <c r="G131" s="9" t="n"/>
      <c r="H131" s="10" t="n"/>
      <c r="I131" s="5" t="n"/>
      <c r="J131" s="5" t="n"/>
    </row>
    <row r="132">
      <c r="A132" s="9" t="n"/>
      <c r="B132" s="9" t="n"/>
      <c r="C132" s="6" t="n"/>
      <c r="D132" s="9" t="n"/>
      <c r="E132" s="10" t="n"/>
      <c r="F132" s="10" t="n"/>
      <c r="G132" s="9" t="n"/>
      <c r="H132" s="10" t="n"/>
      <c r="I132" s="5" t="n"/>
      <c r="J132" s="5" t="n"/>
    </row>
    <row r="133">
      <c r="A133" s="9" t="n"/>
      <c r="B133" s="9" t="n"/>
      <c r="C133" s="6" t="n"/>
      <c r="D133" s="9" t="n"/>
      <c r="E133" s="10" t="n"/>
      <c r="F133" s="10" t="n"/>
      <c r="G133" s="9" t="n"/>
      <c r="H133" s="10" t="n"/>
      <c r="I133" s="5" t="n"/>
      <c r="J133" s="5" t="n"/>
    </row>
    <row r="134">
      <c r="A134" s="9" t="n"/>
      <c r="B134" s="9" t="n"/>
      <c r="C134" s="6" t="n"/>
      <c r="D134" s="9" t="n"/>
      <c r="E134" s="10" t="n"/>
      <c r="F134" s="10" t="n"/>
      <c r="G134" s="9" t="n"/>
      <c r="H134" s="10" t="n"/>
      <c r="I134" s="5" t="n"/>
      <c r="J134" s="5" t="n"/>
    </row>
    <row r="135">
      <c r="A135" s="9" t="n"/>
      <c r="B135" s="9" t="n"/>
      <c r="C135" s="6" t="n"/>
      <c r="D135" s="9" t="n"/>
      <c r="E135" s="10" t="n"/>
      <c r="F135" s="10" t="n"/>
      <c r="G135" s="9" t="n"/>
      <c r="H135" s="10" t="n"/>
      <c r="I135" s="5" t="n"/>
      <c r="J135" s="5" t="n"/>
    </row>
    <row r="136">
      <c r="A136" s="9" t="n"/>
      <c r="B136" s="9" t="n"/>
      <c r="C136" s="6" t="n"/>
      <c r="D136" s="9" t="n"/>
      <c r="E136" s="10" t="n"/>
      <c r="F136" s="10" t="n"/>
      <c r="G136" s="9" t="n"/>
      <c r="H136" s="10" t="n"/>
      <c r="I136" s="5" t="n"/>
      <c r="J136" s="5" t="n"/>
    </row>
    <row r="137">
      <c r="A137" s="9" t="n"/>
      <c r="B137" s="9" t="n"/>
      <c r="C137" s="6" t="n"/>
      <c r="D137" s="9" t="n"/>
      <c r="E137" s="10" t="n"/>
      <c r="F137" s="10" t="n"/>
      <c r="G137" s="9" t="n"/>
      <c r="H137" s="10" t="n"/>
      <c r="I137" s="5" t="n"/>
      <c r="J137" s="5" t="n"/>
    </row>
    <row r="138">
      <c r="A138" s="9" t="n"/>
      <c r="B138" s="9" t="n"/>
      <c r="C138" s="6" t="n"/>
      <c r="D138" s="9" t="n"/>
      <c r="E138" s="10" t="n"/>
      <c r="F138" s="10" t="n"/>
      <c r="G138" s="9" t="n"/>
      <c r="H138" s="10" t="n"/>
      <c r="I138" s="5" t="n"/>
      <c r="J138" s="5" t="n"/>
    </row>
    <row r="139">
      <c r="A139" s="9" t="n"/>
      <c r="B139" s="9" t="n"/>
      <c r="C139" s="6" t="n"/>
      <c r="D139" s="9" t="n"/>
      <c r="E139" s="10" t="n"/>
      <c r="F139" s="10" t="n"/>
      <c r="G139" s="9" t="n"/>
      <c r="H139" s="10" t="n"/>
      <c r="I139" s="5" t="n"/>
      <c r="J139" s="5" t="n"/>
    </row>
    <row r="140">
      <c r="A140" s="9" t="n"/>
      <c r="B140" s="9" t="n"/>
      <c r="C140" s="6" t="n"/>
      <c r="D140" s="9" t="n"/>
      <c r="E140" s="10" t="n"/>
      <c r="F140" s="10" t="n"/>
      <c r="G140" s="9" t="n"/>
      <c r="H140" s="10" t="n"/>
      <c r="I140" s="5" t="n"/>
      <c r="J140" s="5" t="n"/>
    </row>
    <row r="141">
      <c r="A141" s="9" t="n"/>
      <c r="B141" s="9" t="n"/>
      <c r="C141" s="6" t="n"/>
      <c r="D141" s="9" t="n"/>
      <c r="E141" s="10" t="n"/>
      <c r="F141" s="10" t="n"/>
      <c r="G141" s="9" t="n"/>
      <c r="H141" s="10" t="n"/>
      <c r="I141" s="5" t="n"/>
      <c r="J141" s="5" t="n"/>
    </row>
    <row r="142">
      <c r="A142" s="9" t="n"/>
      <c r="B142" s="9" t="n"/>
      <c r="C142" s="6" t="n"/>
      <c r="D142" s="9" t="n"/>
      <c r="E142" s="10" t="n"/>
      <c r="F142" s="10" t="n"/>
      <c r="G142" s="9" t="n"/>
      <c r="H142" s="10" t="n"/>
      <c r="I142" s="5" t="n"/>
      <c r="J142" s="5" t="n"/>
    </row>
    <row r="143">
      <c r="A143" s="9" t="n"/>
      <c r="B143" s="9" t="n"/>
      <c r="C143" s="6" t="n"/>
      <c r="D143" s="9" t="n"/>
      <c r="E143" s="10" t="n"/>
      <c r="F143" s="10" t="n"/>
      <c r="G143" s="9" t="n"/>
      <c r="H143" s="10" t="n"/>
      <c r="I143" s="5" t="n"/>
      <c r="J143" s="5" t="n"/>
    </row>
    <row r="144">
      <c r="A144" s="9" t="n"/>
      <c r="B144" s="9" t="n"/>
      <c r="C144" s="6" t="n"/>
      <c r="D144" s="9" t="n"/>
      <c r="E144" s="10" t="n"/>
      <c r="F144" s="10" t="n"/>
      <c r="G144" s="9" t="n"/>
      <c r="H144" s="10" t="n"/>
      <c r="I144" s="5" t="n"/>
      <c r="J144" s="5" t="n"/>
    </row>
    <row r="145">
      <c r="A145" s="9" t="n"/>
      <c r="B145" s="9" t="n"/>
      <c r="C145" s="6" t="n"/>
      <c r="D145" s="9" t="n"/>
      <c r="E145" s="10" t="n"/>
      <c r="F145" s="10" t="n"/>
      <c r="G145" s="9" t="n"/>
      <c r="H145" s="10" t="n"/>
      <c r="I145" s="5" t="n"/>
      <c r="J145" s="5" t="n"/>
    </row>
    <row r="146">
      <c r="A146" s="9" t="n"/>
      <c r="B146" s="9" t="n"/>
      <c r="C146" s="6" t="n"/>
      <c r="D146" s="9" t="n"/>
      <c r="E146" s="10" t="n"/>
      <c r="F146" s="10" t="n"/>
      <c r="G146" s="9" t="n"/>
      <c r="H146" s="10" t="n"/>
      <c r="I146" s="5" t="n"/>
      <c r="J146" s="5" t="n"/>
    </row>
    <row r="147">
      <c r="A147" s="9" t="n"/>
      <c r="B147" s="9" t="n"/>
      <c r="C147" s="6" t="n"/>
      <c r="D147" s="9" t="n"/>
      <c r="E147" s="10" t="n"/>
      <c r="F147" s="10" t="n"/>
      <c r="G147" s="9" t="n"/>
      <c r="H147" s="10" t="n"/>
      <c r="I147" s="5" t="n"/>
      <c r="J147" s="5" t="n"/>
    </row>
    <row r="148">
      <c r="A148" s="9" t="n"/>
      <c r="B148" s="9" t="n"/>
      <c r="C148" s="6" t="n"/>
      <c r="D148" s="9" t="n"/>
      <c r="E148" s="10" t="n"/>
      <c r="F148" s="10" t="n"/>
      <c r="G148" s="9" t="n"/>
      <c r="H148" s="10" t="n"/>
      <c r="I148" s="5" t="n"/>
      <c r="J148" s="5" t="n"/>
    </row>
    <row r="149">
      <c r="A149" s="9" t="n"/>
      <c r="B149" s="9" t="n"/>
      <c r="C149" s="6" t="n"/>
      <c r="D149" s="9" t="n"/>
      <c r="E149" s="10" t="n"/>
      <c r="F149" s="10" t="n"/>
      <c r="G149" s="9" t="n"/>
      <c r="H149" s="10" t="n"/>
      <c r="I149" s="5" t="n"/>
      <c r="J149" s="5" t="n"/>
    </row>
    <row r="150">
      <c r="A150" s="9" t="n"/>
      <c r="B150" s="9" t="n"/>
      <c r="C150" s="6" t="n"/>
      <c r="D150" s="9" t="n"/>
      <c r="E150" s="10" t="n"/>
      <c r="F150" s="10" t="n"/>
      <c r="G150" s="9" t="n"/>
      <c r="H150" s="10" t="n"/>
      <c r="I150" s="5" t="n"/>
      <c r="J150" s="5" t="n"/>
    </row>
    <row r="151">
      <c r="A151" s="9" t="n"/>
      <c r="B151" s="9" t="n"/>
      <c r="C151" s="6" t="n"/>
      <c r="D151" s="9" t="n"/>
      <c r="E151" s="10" t="n"/>
      <c r="F151" s="10" t="n"/>
      <c r="G151" s="9" t="n"/>
      <c r="H151" s="10" t="n"/>
      <c r="I151" s="5" t="n"/>
      <c r="J151" s="5" t="n"/>
    </row>
    <row r="152">
      <c r="A152" s="9" t="n"/>
      <c r="B152" s="9" t="n"/>
      <c r="C152" s="6" t="n"/>
      <c r="D152" s="9" t="n"/>
      <c r="E152" s="10" t="n"/>
      <c r="F152" s="10" t="n"/>
      <c r="G152" s="9" t="n"/>
      <c r="H152" s="10" t="n"/>
      <c r="I152" s="5" t="n"/>
      <c r="J152" s="5" t="n"/>
    </row>
    <row r="153">
      <c r="A153" s="9" t="n"/>
      <c r="B153" s="9" t="n"/>
      <c r="C153" s="6" t="n"/>
      <c r="D153" s="9" t="n"/>
      <c r="E153" s="10" t="n"/>
      <c r="F153" s="10" t="n"/>
      <c r="G153" s="9" t="n"/>
      <c r="H153" s="10" t="n"/>
      <c r="I153" s="5" t="n"/>
      <c r="J153" s="5" t="n"/>
    </row>
    <row r="154">
      <c r="A154" s="9" t="n"/>
      <c r="B154" s="9" t="n"/>
      <c r="C154" s="6" t="n"/>
      <c r="D154" s="9" t="n"/>
      <c r="E154" s="10" t="n"/>
      <c r="F154" s="10" t="n"/>
      <c r="G154" s="9" t="n"/>
      <c r="H154" s="10" t="n"/>
      <c r="I154" s="5" t="n"/>
      <c r="J154" s="5" t="n"/>
    </row>
    <row r="155">
      <c r="A155" s="9" t="n"/>
      <c r="B155" s="9" t="n"/>
      <c r="C155" s="6" t="n"/>
      <c r="D155" s="9" t="n"/>
      <c r="E155" s="10" t="n"/>
      <c r="F155" s="10" t="n"/>
      <c r="G155" s="9" t="n"/>
      <c r="H155" s="10" t="n"/>
      <c r="I155" s="5" t="n"/>
      <c r="J155" s="5" t="n"/>
    </row>
    <row r="156">
      <c r="A156" s="9" t="n"/>
      <c r="B156" s="9" t="n"/>
      <c r="C156" s="6" t="n"/>
      <c r="D156" s="9" t="n"/>
      <c r="E156" s="10" t="n"/>
      <c r="F156" s="10" t="n"/>
      <c r="G156" s="9" t="n"/>
      <c r="H156" s="10" t="n"/>
      <c r="I156" s="5" t="n"/>
      <c r="J156" s="5" t="n"/>
    </row>
    <row r="157">
      <c r="A157" s="9" t="n"/>
      <c r="B157" s="9" t="n"/>
      <c r="C157" s="6" t="n"/>
      <c r="D157" s="9" t="n"/>
      <c r="E157" s="10" t="n"/>
      <c r="F157" s="10" t="n"/>
      <c r="G157" s="9" t="n"/>
      <c r="H157" s="10" t="n"/>
      <c r="I157" s="5" t="n"/>
      <c r="J157" s="5" t="n"/>
    </row>
    <row r="158">
      <c r="A158" s="9" t="n"/>
      <c r="B158" s="9" t="n"/>
      <c r="C158" s="6" t="n"/>
      <c r="D158" s="9" t="n"/>
      <c r="E158" s="10" t="n"/>
      <c r="F158" s="10" t="n"/>
      <c r="G158" s="9" t="n"/>
      <c r="H158" s="10" t="n"/>
      <c r="I158" s="5" t="n"/>
      <c r="J158" s="5" t="n"/>
    </row>
    <row r="159">
      <c r="A159" s="9" t="n"/>
      <c r="B159" s="9" t="n"/>
      <c r="C159" s="6" t="n"/>
      <c r="D159" s="9" t="n"/>
      <c r="E159" s="10" t="n"/>
      <c r="F159" s="10" t="n"/>
      <c r="G159" s="9" t="n"/>
      <c r="H159" s="10" t="n"/>
      <c r="I159" s="5" t="n"/>
      <c r="J159" s="5" t="n"/>
    </row>
    <row r="160">
      <c r="A160" s="9" t="n"/>
      <c r="B160" s="9" t="n"/>
      <c r="C160" s="6" t="n"/>
      <c r="D160" s="9" t="n"/>
      <c r="E160" s="10" t="n"/>
      <c r="F160" s="10" t="n"/>
      <c r="G160" s="9" t="n"/>
      <c r="H160" s="10" t="n"/>
      <c r="I160" s="5" t="n"/>
      <c r="J160" s="5" t="n"/>
    </row>
    <row r="161">
      <c r="A161" s="9" t="n"/>
      <c r="B161" s="9" t="n"/>
      <c r="C161" s="6" t="n"/>
      <c r="D161" s="9" t="n"/>
      <c r="E161" s="10" t="n"/>
      <c r="F161" s="10" t="n"/>
      <c r="G161" s="9" t="n"/>
      <c r="H161" s="10" t="n"/>
      <c r="I161" s="5" t="n"/>
      <c r="J161" s="5" t="n"/>
    </row>
    <row r="162">
      <c r="A162" s="9" t="n"/>
      <c r="B162" s="9" t="n"/>
      <c r="C162" s="6" t="n"/>
      <c r="D162" s="9" t="n"/>
      <c r="E162" s="10" t="n"/>
      <c r="F162" s="10" t="n"/>
      <c r="G162" s="9" t="n"/>
      <c r="H162" s="10" t="n"/>
      <c r="I162" s="5" t="n"/>
      <c r="J162" s="5" t="n"/>
    </row>
    <row r="163">
      <c r="A163" s="9" t="n"/>
      <c r="B163" s="9" t="n"/>
      <c r="C163" s="6" t="n"/>
      <c r="D163" s="9" t="n"/>
      <c r="E163" s="10" t="n"/>
      <c r="F163" s="10" t="n"/>
      <c r="G163" s="9" t="n"/>
      <c r="H163" s="10" t="n"/>
      <c r="I163" s="5" t="n"/>
      <c r="J163" s="5" t="n"/>
    </row>
    <row r="164">
      <c r="A164" s="9" t="n"/>
      <c r="B164" s="9" t="n"/>
      <c r="C164" s="6" t="n"/>
      <c r="D164" s="9" t="n"/>
      <c r="E164" s="10" t="n"/>
      <c r="F164" s="10" t="n"/>
      <c r="G164" s="9" t="n"/>
      <c r="H164" s="10" t="n"/>
      <c r="I164" s="5" t="n"/>
      <c r="J164" s="5" t="n"/>
    </row>
    <row r="165">
      <c r="A165" s="9" t="n"/>
      <c r="B165" s="9" t="n"/>
      <c r="C165" s="6" t="n"/>
      <c r="D165" s="9" t="n"/>
      <c r="E165" s="10" t="n"/>
      <c r="F165" s="10" t="n"/>
      <c r="G165" s="9" t="n"/>
      <c r="H165" s="10" t="n"/>
      <c r="I165" s="5" t="n"/>
      <c r="J165" s="5" t="n"/>
    </row>
    <row r="166">
      <c r="A166" s="9" t="n"/>
      <c r="B166" s="9" t="n"/>
      <c r="C166" s="6" t="n"/>
      <c r="D166" s="9" t="n"/>
      <c r="E166" s="10" t="n"/>
      <c r="F166" s="10" t="n"/>
      <c r="G166" s="9" t="n"/>
      <c r="H166" s="10" t="n"/>
      <c r="I166" s="5" t="n"/>
      <c r="J166" s="5" t="n"/>
    </row>
    <row r="167">
      <c r="A167" s="9" t="n"/>
      <c r="B167" s="9" t="n"/>
      <c r="C167" s="6" t="n"/>
      <c r="D167" s="9" t="n"/>
      <c r="E167" s="10" t="n"/>
      <c r="F167" s="10" t="n"/>
      <c r="G167" s="9" t="n"/>
      <c r="H167" s="10" t="n"/>
      <c r="I167" s="5" t="n"/>
      <c r="J167" s="5" t="n"/>
    </row>
    <row r="168">
      <c r="A168" s="9" t="n"/>
      <c r="B168" s="9" t="n"/>
      <c r="C168" s="6" t="n"/>
      <c r="D168" s="9" t="n"/>
      <c r="E168" s="10" t="n"/>
      <c r="F168" s="10" t="n"/>
      <c r="G168" s="9" t="n"/>
      <c r="H168" s="10" t="n"/>
      <c r="I168" s="5" t="n"/>
      <c r="J168" s="5" t="n"/>
    </row>
    <row r="169">
      <c r="A169" s="9" t="n"/>
      <c r="B169" s="9" t="n"/>
      <c r="C169" s="6" t="n"/>
      <c r="D169" s="9" t="n"/>
      <c r="E169" s="10" t="n"/>
      <c r="F169" s="10" t="n"/>
      <c r="G169" s="9" t="n"/>
      <c r="H169" s="10" t="n"/>
      <c r="I169" s="5" t="n"/>
      <c r="J169" s="5" t="n"/>
    </row>
    <row r="170">
      <c r="A170" s="9" t="n"/>
      <c r="B170" s="9" t="n"/>
      <c r="C170" s="6" t="n"/>
      <c r="D170" s="9" t="n"/>
      <c r="E170" s="10" t="n"/>
      <c r="F170" s="10" t="n"/>
      <c r="G170" s="9" t="n"/>
      <c r="H170" s="10" t="n"/>
      <c r="I170" s="5" t="n"/>
      <c r="J170" s="5" t="n"/>
    </row>
    <row r="171">
      <c r="A171" s="9" t="n"/>
      <c r="B171" s="9" t="n"/>
      <c r="C171" s="6" t="n"/>
      <c r="D171" s="9" t="n"/>
      <c r="E171" s="10" t="n"/>
      <c r="F171" s="10" t="n"/>
      <c r="G171" s="9" t="n"/>
      <c r="H171" s="10" t="n"/>
      <c r="I171" s="5" t="n"/>
      <c r="J171" s="5" t="n"/>
    </row>
    <row r="172">
      <c r="A172" s="9" t="n"/>
      <c r="B172" s="9" t="n"/>
      <c r="C172" s="6" t="n"/>
      <c r="D172" s="9" t="n"/>
      <c r="E172" s="10" t="n"/>
      <c r="F172" s="10" t="n"/>
      <c r="G172" s="9" t="n"/>
      <c r="H172" s="10" t="n"/>
      <c r="I172" s="5" t="n"/>
      <c r="J172" s="5" t="n"/>
    </row>
    <row r="173">
      <c r="A173" s="9" t="n"/>
      <c r="B173" s="9" t="n"/>
      <c r="C173" s="6" t="n"/>
      <c r="D173" s="9" t="n"/>
      <c r="E173" s="10" t="n"/>
      <c r="F173" s="10" t="n"/>
      <c r="G173" s="9" t="n"/>
      <c r="H173" s="10" t="n"/>
      <c r="I173" s="5" t="n"/>
      <c r="J173" s="5" t="n"/>
    </row>
    <row r="174">
      <c r="A174" s="9" t="n"/>
      <c r="B174" s="9" t="n"/>
      <c r="C174" s="6" t="n"/>
      <c r="D174" s="9" t="n"/>
      <c r="E174" s="10" t="n"/>
      <c r="F174" s="10" t="n"/>
      <c r="G174" s="9" t="n"/>
      <c r="H174" s="10" t="n"/>
      <c r="I174" s="5" t="n"/>
      <c r="J174" s="5" t="n"/>
    </row>
    <row r="175">
      <c r="A175" s="9" t="n"/>
      <c r="B175" s="9" t="n"/>
      <c r="C175" s="6" t="n"/>
      <c r="D175" s="9" t="n"/>
      <c r="E175" s="10" t="n"/>
      <c r="F175" s="10" t="n"/>
      <c r="G175" s="9" t="n"/>
      <c r="H175" s="10" t="n"/>
      <c r="I175" s="5" t="n"/>
      <c r="J175" s="5" t="n"/>
    </row>
    <row r="176">
      <c r="A176" s="9" t="n"/>
      <c r="B176" s="9" t="n"/>
      <c r="C176" s="6" t="n"/>
      <c r="D176" s="9" t="n"/>
      <c r="E176" s="10" t="n"/>
      <c r="F176" s="10" t="n"/>
      <c r="G176" s="9" t="n"/>
      <c r="H176" s="10" t="n"/>
      <c r="I176" s="5" t="n"/>
      <c r="J176" s="5" t="n"/>
    </row>
    <row r="177">
      <c r="A177" s="9" t="n"/>
      <c r="B177" s="9" t="n"/>
      <c r="C177" s="6" t="n"/>
      <c r="D177" s="9" t="n"/>
      <c r="E177" s="10" t="n"/>
      <c r="F177" s="10" t="n"/>
      <c r="G177" s="9" t="n"/>
      <c r="H177" s="10" t="n"/>
      <c r="I177" s="5" t="n"/>
      <c r="J177" s="5" t="n"/>
    </row>
    <row r="178">
      <c r="A178" s="9" t="n"/>
      <c r="B178" s="9" t="n"/>
      <c r="C178" s="6" t="n"/>
      <c r="D178" s="9" t="n"/>
      <c r="E178" s="10" t="n"/>
      <c r="F178" s="10" t="n"/>
      <c r="G178" s="9" t="n"/>
      <c r="H178" s="10" t="n"/>
      <c r="I178" s="5" t="n"/>
      <c r="J178" s="5" t="n"/>
    </row>
    <row r="179">
      <c r="A179" s="9" t="n"/>
      <c r="B179" s="9" t="n"/>
      <c r="C179" s="6" t="n"/>
      <c r="D179" s="9" t="n"/>
      <c r="E179" s="10" t="n"/>
      <c r="F179" s="10" t="n"/>
      <c r="G179" s="9" t="n"/>
      <c r="H179" s="10" t="n"/>
      <c r="I179" s="5" t="n"/>
      <c r="J179" s="5" t="n"/>
    </row>
    <row r="180">
      <c r="A180" s="9" t="n"/>
      <c r="B180" s="9" t="n"/>
      <c r="C180" s="6" t="n"/>
      <c r="D180" s="9" t="n"/>
      <c r="E180" s="10" t="n"/>
      <c r="F180" s="10" t="n"/>
      <c r="G180" s="9" t="n"/>
      <c r="H180" s="10" t="n"/>
      <c r="I180" s="5" t="n"/>
      <c r="J180" s="5" t="n"/>
    </row>
    <row r="181">
      <c r="A181" s="9" t="n"/>
      <c r="B181" s="9" t="n"/>
      <c r="C181" s="6" t="n"/>
      <c r="D181" s="9" t="n"/>
      <c r="E181" s="10" t="n"/>
      <c r="F181" s="10" t="n"/>
      <c r="G181" s="9" t="n"/>
      <c r="H181" s="10" t="n"/>
      <c r="I181" s="5" t="n"/>
      <c r="J181" s="5" t="n"/>
    </row>
    <row r="182">
      <c r="A182" s="9" t="n"/>
      <c r="B182" s="9" t="n"/>
      <c r="C182" s="6" t="n"/>
      <c r="D182" s="9" t="n"/>
      <c r="E182" s="10" t="n"/>
      <c r="F182" s="10" t="n"/>
      <c r="G182" s="9" t="n"/>
      <c r="H182" s="10" t="n"/>
      <c r="I182" s="5" t="n"/>
      <c r="J182" s="5" t="n"/>
    </row>
    <row r="183">
      <c r="A183" s="9" t="n"/>
      <c r="B183" s="9" t="n"/>
      <c r="C183" s="6" t="n"/>
      <c r="D183" s="9" t="n"/>
      <c r="E183" s="10" t="n"/>
      <c r="F183" s="10" t="n"/>
      <c r="G183" s="9" t="n"/>
      <c r="H183" s="10" t="n"/>
      <c r="I183" s="5" t="n"/>
      <c r="J183" s="5" t="n"/>
    </row>
    <row r="184">
      <c r="A184" s="9" t="n"/>
      <c r="B184" s="9" t="n"/>
      <c r="C184" s="6" t="n"/>
      <c r="D184" s="9" t="n"/>
      <c r="E184" s="10" t="n"/>
      <c r="F184" s="10" t="n"/>
      <c r="G184" s="9" t="n"/>
      <c r="H184" s="10" t="n"/>
      <c r="I184" s="5" t="n"/>
      <c r="J184" s="5" t="n"/>
    </row>
    <row r="185">
      <c r="A185" s="9" t="n"/>
      <c r="B185" s="9" t="n"/>
      <c r="C185" s="6" t="n"/>
      <c r="D185" s="9" t="n"/>
      <c r="E185" s="10" t="n"/>
      <c r="F185" s="10" t="n"/>
      <c r="G185" s="9" t="n"/>
      <c r="H185" s="10" t="n"/>
      <c r="I185" s="5" t="n"/>
      <c r="J185" s="5" t="n"/>
    </row>
    <row r="186">
      <c r="A186" s="9" t="n"/>
      <c r="B186" s="9" t="n"/>
      <c r="C186" s="6" t="n"/>
      <c r="D186" s="9" t="n"/>
      <c r="E186" s="10" t="n"/>
      <c r="F186" s="10" t="n"/>
      <c r="G186" s="9" t="n"/>
      <c r="H186" s="10" t="n"/>
      <c r="I186" s="5" t="n"/>
      <c r="J186" s="5" t="n"/>
    </row>
    <row r="187">
      <c r="A187" s="9" t="n"/>
      <c r="B187" s="9" t="n"/>
      <c r="C187" s="6" t="n"/>
      <c r="D187" s="9" t="n"/>
      <c r="E187" s="10" t="n"/>
      <c r="F187" s="10" t="n"/>
      <c r="G187" s="9" t="n"/>
      <c r="H187" s="10" t="n"/>
      <c r="I187" s="5" t="n"/>
      <c r="J187" s="5" t="n"/>
    </row>
    <row r="188">
      <c r="A188" s="9" t="n"/>
      <c r="B188" s="9" t="n"/>
      <c r="C188" s="6" t="n"/>
      <c r="D188" s="9" t="n"/>
      <c r="E188" s="10" t="n"/>
      <c r="F188" s="10" t="n"/>
      <c r="G188" s="9" t="n"/>
      <c r="H188" s="10" t="n"/>
      <c r="I188" s="5" t="n"/>
      <c r="J188" s="5" t="n"/>
    </row>
    <row r="189">
      <c r="A189" s="9" t="n"/>
      <c r="B189" s="9" t="n"/>
      <c r="C189" s="6" t="n"/>
      <c r="D189" s="9" t="n"/>
      <c r="E189" s="10" t="n"/>
      <c r="F189" s="10" t="n"/>
      <c r="G189" s="9" t="n"/>
      <c r="H189" s="10" t="n"/>
      <c r="I189" s="5" t="n"/>
      <c r="J189" s="5" t="n"/>
    </row>
    <row r="190">
      <c r="A190" s="9" t="n"/>
      <c r="B190" s="9" t="n"/>
      <c r="C190" s="6" t="n"/>
      <c r="D190" s="9" t="n"/>
      <c r="E190" s="10" t="n"/>
      <c r="F190" s="10" t="n"/>
      <c r="G190" s="9" t="n"/>
      <c r="H190" s="10" t="n"/>
      <c r="I190" s="5" t="n"/>
      <c r="J190" s="5" t="n"/>
    </row>
    <row r="191">
      <c r="A191" s="9" t="n"/>
      <c r="B191" s="9" t="n"/>
      <c r="C191" s="6" t="n"/>
      <c r="D191" s="9" t="n"/>
      <c r="E191" s="10" t="n"/>
      <c r="F191" s="10" t="n"/>
      <c r="G191" s="9" t="n"/>
      <c r="H191" s="10" t="n"/>
      <c r="I191" s="5" t="n"/>
      <c r="J191" s="5" t="n"/>
    </row>
    <row r="192">
      <c r="A192" s="9" t="n"/>
      <c r="B192" s="9" t="n"/>
      <c r="C192" s="6" t="n"/>
      <c r="D192" s="9" t="n"/>
      <c r="E192" s="10" t="n"/>
      <c r="F192" s="10" t="n"/>
      <c r="G192" s="9" t="n"/>
      <c r="H192" s="10" t="n"/>
      <c r="I192" s="5" t="n"/>
      <c r="J192" s="5" t="n"/>
    </row>
    <row r="193">
      <c r="A193" s="9" t="n"/>
      <c r="B193" s="9" t="n"/>
      <c r="C193" s="6" t="n"/>
      <c r="D193" s="9" t="n"/>
      <c r="E193" s="10" t="n"/>
      <c r="F193" s="10" t="n"/>
      <c r="G193" s="9" t="n"/>
      <c r="H193" s="10" t="n"/>
      <c r="I193" s="5" t="n"/>
      <c r="J193" s="5" t="n"/>
    </row>
    <row r="194">
      <c r="A194" s="9" t="n"/>
      <c r="B194" s="9" t="n"/>
      <c r="C194" s="6" t="n"/>
      <c r="D194" s="9" t="n"/>
      <c r="E194" s="10" t="n"/>
      <c r="F194" s="10" t="n"/>
      <c r="G194" s="9" t="n"/>
      <c r="H194" s="10" t="n"/>
      <c r="I194" s="5" t="n"/>
      <c r="J194" s="5" t="n"/>
    </row>
    <row r="195">
      <c r="A195" s="9" t="n"/>
      <c r="B195" s="9" t="n"/>
      <c r="C195" s="6" t="n"/>
      <c r="D195" s="9" t="n"/>
      <c r="E195" s="10" t="n"/>
      <c r="F195" s="10" t="n"/>
      <c r="G195" s="9" t="n"/>
      <c r="H195" s="10" t="n"/>
      <c r="I195" s="5" t="n"/>
      <c r="J195" s="5" t="n"/>
    </row>
    <row r="196">
      <c r="A196" s="9" t="n"/>
      <c r="B196" s="9" t="n"/>
      <c r="C196" s="6" t="n"/>
      <c r="D196" s="9" t="n"/>
      <c r="E196" s="10" t="n"/>
      <c r="F196" s="10" t="n"/>
      <c r="G196" s="9" t="n"/>
      <c r="H196" s="10" t="n"/>
      <c r="I196" s="5" t="n"/>
      <c r="J196" s="5" t="n"/>
    </row>
    <row r="197">
      <c r="A197" s="9" t="n"/>
      <c r="B197" s="9" t="n"/>
      <c r="C197" s="6" t="n"/>
      <c r="D197" s="9" t="n"/>
      <c r="E197" s="10" t="n"/>
      <c r="F197" s="10" t="n"/>
      <c r="G197" s="9" t="n"/>
      <c r="H197" s="10" t="n"/>
      <c r="I197" s="5" t="n"/>
      <c r="J197" s="5" t="n"/>
    </row>
    <row r="198">
      <c r="A198" s="9" t="n"/>
      <c r="B198" s="9" t="n"/>
      <c r="C198" s="6" t="n"/>
      <c r="D198" s="9" t="n"/>
      <c r="E198" s="10" t="n"/>
      <c r="F198" s="10" t="n"/>
      <c r="G198" s="9" t="n"/>
      <c r="H198" s="10" t="n"/>
      <c r="I198" s="5" t="n"/>
      <c r="J198" s="5" t="n"/>
    </row>
    <row r="199">
      <c r="A199" s="9" t="n"/>
      <c r="B199" s="9" t="n"/>
      <c r="C199" s="6" t="n"/>
      <c r="D199" s="9" t="n"/>
      <c r="E199" s="10" t="n"/>
      <c r="F199" s="10" t="n"/>
      <c r="G199" s="9" t="n"/>
      <c r="H199" s="10" t="n"/>
      <c r="I199" s="5" t="n"/>
      <c r="J199" s="5" t="n"/>
    </row>
    <row r="200">
      <c r="A200" s="9" t="n"/>
      <c r="B200" s="9" t="n"/>
      <c r="C200" s="6" t="n"/>
      <c r="D200" s="9" t="n"/>
      <c r="E200" s="10" t="n"/>
      <c r="F200" s="10" t="n"/>
      <c r="G200" s="9" t="n"/>
      <c r="H200" s="10" t="n"/>
      <c r="I200" s="5" t="n"/>
      <c r="J200" s="5" t="n"/>
    </row>
    <row r="201">
      <c r="A201" s="9" t="n"/>
      <c r="B201" s="9" t="n"/>
      <c r="C201" s="6" t="n"/>
      <c r="D201" s="9" t="n"/>
      <c r="E201" s="10" t="n"/>
      <c r="F201" s="10" t="n"/>
      <c r="G201" s="9" t="n"/>
      <c r="H201" s="10" t="n"/>
      <c r="I201" s="5" t="n"/>
      <c r="J201" s="5" t="n"/>
    </row>
  </sheetData>
  <dataValidations count="2">
    <dataValidation sqref="A2:A201" showDropDown="0" showInputMessage="0" showErrorMessage="0" allowBlank="1" type="list">
      <formula1>"COMMON,AGI"</formula1>
    </dataValidation>
    <dataValidation sqref="E2:E201" showDropDown="0" showInputMessage="0" showErrorMessage="0" allowBlank="1" type="list">
      <formula1>"PENDING,SUBMITTED,APPROVED,REJECTED"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0" customWidth="1" min="7" max="7"/>
    <col width="40" customWidth="1" min="8" max="8"/>
  </cols>
  <sheetData>
    <row r="1" ht="22" customHeight="1">
      <c r="A1" s="4" t="inlineStr">
        <is>
          <t>Activity / Deliverable</t>
        </is>
      </c>
      <c r="B1" s="4" t="inlineStr">
        <is>
          <t>SCT Logistics</t>
        </is>
      </c>
      <c r="C1" s="4" t="inlineStr">
        <is>
          <t>DSV/3PL</t>
        </is>
      </c>
      <c r="D1" s="4" t="inlineStr">
        <is>
          <t>Vessel Master</t>
        </is>
      </c>
      <c r="E1" s="4" t="inlineStr">
        <is>
          <t>Chief Officer/Ballast</t>
        </is>
      </c>
      <c r="F1" s="4" t="inlineStr">
        <is>
          <t>Port Authority</t>
        </is>
      </c>
      <c r="G1" s="4" t="inlineStr">
        <is>
          <t>HSE</t>
        </is>
      </c>
      <c r="H1" s="4" t="inlineStr">
        <is>
          <t>Notes</t>
        </is>
      </c>
    </row>
    <row r="2">
      <c r="A2" s="6" t="inlineStr">
        <is>
          <t>Hydrostatic data pack + sign convention</t>
        </is>
      </c>
      <c r="B2" s="9" t="inlineStr">
        <is>
          <t>A</t>
        </is>
      </c>
      <c r="C2" s="9" t="inlineStr">
        <is>
          <t>C</t>
        </is>
      </c>
      <c r="D2" s="9" t="inlineStr">
        <is>
          <t>R</t>
        </is>
      </c>
      <c r="E2" s="9" t="inlineStr">
        <is>
          <t>R</t>
        </is>
      </c>
      <c r="F2" s="9" t="inlineStr">
        <is>
          <t>I</t>
        </is>
      </c>
      <c r="G2" s="9" t="inlineStr">
        <is>
          <t>I</t>
        </is>
      </c>
      <c r="H2" s="6" t="inlineStr">
        <is>
          <t>Provide Hydro table and calculation method</t>
        </is>
      </c>
    </row>
    <row r="3">
      <c r="A3" s="6" t="inlineStr">
        <is>
          <t>Stage-wise plan + timeline</t>
        </is>
      </c>
      <c r="B3" s="9" t="inlineStr">
        <is>
          <t>A</t>
        </is>
      </c>
      <c r="C3" s="9" t="inlineStr">
        <is>
          <t>C</t>
        </is>
      </c>
      <c r="D3" s="9" t="inlineStr">
        <is>
          <t>C</t>
        </is>
      </c>
      <c r="E3" s="9" t="inlineStr">
        <is>
          <t>R</t>
        </is>
      </c>
      <c r="F3" s="9" t="inlineStr">
        <is>
          <t>I</t>
        </is>
      </c>
      <c r="G3" s="9" t="inlineStr">
        <is>
          <t>I</t>
        </is>
      </c>
      <c r="H3" s="6" t="inlineStr">
        <is>
          <t>Include load transfer %, ballast sequence</t>
        </is>
      </c>
    </row>
    <row r="4">
      <c r="A4" s="6" t="inlineStr">
        <is>
          <t>Ballast tank list + initial ROB</t>
        </is>
      </c>
      <c r="B4" s="9" t="inlineStr">
        <is>
          <t>C</t>
        </is>
      </c>
      <c r="C4" s="9" t="inlineStr">
        <is>
          <t>I</t>
        </is>
      </c>
      <c r="D4" s="9" t="inlineStr">
        <is>
          <t>I</t>
        </is>
      </c>
      <c r="E4" s="9" t="inlineStr">
        <is>
          <t>R</t>
        </is>
      </c>
      <c r="F4" s="9" t="inlineStr">
        <is>
          <t>I</t>
        </is>
      </c>
      <c r="G4" s="9" t="inlineStr">
        <is>
          <t>I</t>
        </is>
      </c>
      <c r="H4" s="6" t="inlineStr">
        <is>
          <t>Include pump/vent constraints</t>
        </is>
      </c>
    </row>
    <row r="5">
      <c r="A5" s="6" t="inlineStr">
        <is>
          <t>Tide forecast + depth confirmation</t>
        </is>
      </c>
      <c r="B5" s="9" t="inlineStr">
        <is>
          <t>C</t>
        </is>
      </c>
      <c r="C5" s="9" t="inlineStr">
        <is>
          <t>I</t>
        </is>
      </c>
      <c r="D5" s="9" t="inlineStr">
        <is>
          <t>R</t>
        </is>
      </c>
      <c r="E5" s="9" t="inlineStr">
        <is>
          <t>R</t>
        </is>
      </c>
      <c r="F5" s="9" t="inlineStr">
        <is>
          <t>A</t>
        </is>
      </c>
      <c r="G5" s="9" t="inlineStr">
        <is>
          <t>I</t>
        </is>
      </c>
      <c r="H5" s="6" t="inlineStr">
        <is>
          <t>Use official source; align datum</t>
        </is>
      </c>
    </row>
    <row r="6">
      <c r="A6" s="6" t="inlineStr">
        <is>
          <t>HoldPoint measurement &amp; decision</t>
        </is>
      </c>
      <c r="B6" s="9" t="inlineStr">
        <is>
          <t>C</t>
        </is>
      </c>
      <c r="C6" s="9" t="inlineStr">
        <is>
          <t>I</t>
        </is>
      </c>
      <c r="D6" s="9" t="inlineStr">
        <is>
          <t>R</t>
        </is>
      </c>
      <c r="E6" s="9" t="inlineStr">
        <is>
          <t>R</t>
        </is>
      </c>
      <c r="F6" s="9" t="inlineStr">
        <is>
          <t>I</t>
        </is>
      </c>
      <c r="G6" s="9" t="inlineStr">
        <is>
          <t>A</t>
        </is>
      </c>
      <c r="H6" s="6" t="inlineStr">
        <is>
          <t>Record drafts/trim; decide GO/RECALC/STOP</t>
        </is>
      </c>
    </row>
    <row r="7">
      <c r="A7" s="6" t="inlineStr">
        <is>
          <t>ATLP/MTG submissions</t>
        </is>
      </c>
      <c r="B7" s="9" t="inlineStr">
        <is>
          <t>R</t>
        </is>
      </c>
      <c r="C7" s="9" t="inlineStr">
        <is>
          <t>C</t>
        </is>
      </c>
      <c r="D7" s="9" t="inlineStr">
        <is>
          <t>I</t>
        </is>
      </c>
      <c r="E7" s="9" t="inlineStr">
        <is>
          <t>I</t>
        </is>
      </c>
      <c r="F7" s="9" t="inlineStr">
        <is>
          <t>A</t>
        </is>
      </c>
      <c r="G7" s="9" t="inlineStr">
        <is>
          <t>C</t>
        </is>
      </c>
      <c r="H7" s="6" t="inlineStr">
        <is>
          <t>Site-specific lead times</t>
        </is>
      </c>
    </row>
    <row r="8">
      <c r="A8" s="6" t="inlineStr">
        <is>
          <t>Photo/video evidence collection</t>
        </is>
      </c>
      <c r="B8" s="9" t="inlineStr">
        <is>
          <t>A</t>
        </is>
      </c>
      <c r="C8" s="9" t="inlineStr">
        <is>
          <t>C</t>
        </is>
      </c>
      <c r="D8" s="9" t="inlineStr">
        <is>
          <t>I</t>
        </is>
      </c>
      <c r="E8" s="9" t="inlineStr">
        <is>
          <t>I</t>
        </is>
      </c>
      <c r="F8" s="9" t="inlineStr">
        <is>
          <t>I</t>
        </is>
      </c>
      <c r="G8" s="9" t="inlineStr">
        <is>
          <t>R</t>
        </is>
      </c>
      <c r="H8" s="6" t="inlineStr">
        <is>
          <t>Tag by stage/time/GPS</t>
        </is>
      </c>
    </row>
    <row r="9">
      <c r="A9" s="6" t="inlineStr">
        <is>
          <t>Final report &amp; archive</t>
        </is>
      </c>
      <c r="B9" s="9" t="inlineStr">
        <is>
          <t>A</t>
        </is>
      </c>
      <c r="C9" s="9" t="inlineStr">
        <is>
          <t>C</t>
        </is>
      </c>
      <c r="D9" s="9" t="inlineStr">
        <is>
          <t>C</t>
        </is>
      </c>
      <c r="E9" s="9" t="inlineStr">
        <is>
          <t>R</t>
        </is>
      </c>
      <c r="F9" s="9" t="inlineStr">
        <is>
          <t>I</t>
        </is>
      </c>
      <c r="G9" s="9" t="inlineStr">
        <is>
          <t>C</t>
        </is>
      </c>
      <c r="H9" s="6" t="inlineStr">
        <is>
          <t>7-day submission requirement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16" customWidth="1" min="4" max="4"/>
    <col width="10" customWidth="1" min="5" max="5"/>
    <col width="12" customWidth="1" min="6" max="6"/>
    <col width="14" customWidth="1" min="7" max="7"/>
    <col width="16" customWidth="1" min="8" max="8"/>
    <col width="14" customWidth="1" min="9" max="9"/>
    <col width="40" customWidth="1" min="10" max="10"/>
  </cols>
  <sheetData>
    <row r="1" ht="22" customHeight="1">
      <c r="A1" s="4" t="inlineStr">
        <is>
          <t>ID</t>
        </is>
      </c>
      <c r="B1" s="4" t="inlineStr">
        <is>
          <t>Type</t>
        </is>
      </c>
      <c r="C1" s="4" t="inlineStr">
        <is>
          <t>Description</t>
        </is>
      </c>
      <c r="D1" s="4" t="inlineStr">
        <is>
          <t>Value</t>
        </is>
      </c>
      <c r="E1" s="4" t="inlineStr">
        <is>
          <t>Unit</t>
        </is>
      </c>
      <c r="F1" s="4" t="inlineStr">
        <is>
          <t>Impact</t>
        </is>
      </c>
      <c r="G1" s="4" t="inlineStr">
        <is>
          <t>Owner</t>
        </is>
      </c>
      <c r="H1" s="4" t="inlineStr">
        <is>
          <t>Due</t>
        </is>
      </c>
      <c r="I1" s="4" t="inlineStr">
        <is>
          <t>Status</t>
        </is>
      </c>
      <c r="J1" s="4" t="inlineStr">
        <is>
          <t>Evidence/Ref</t>
        </is>
      </c>
    </row>
    <row r="2">
      <c r="A2" s="9" t="n">
        <v>1</v>
      </c>
      <c r="B2" s="9" t="inlineStr">
        <is>
          <t>Assumption</t>
        </is>
      </c>
      <c r="C2" s="6" t="inlineStr">
        <is>
          <t>Hydro points provided are accurate and sorted by displacement</t>
        </is>
      </c>
      <c r="D2" s="10" t="inlineStr"/>
      <c r="E2" s="10" t="inlineStr"/>
      <c r="F2" s="9" t="inlineStr">
        <is>
          <t>High</t>
        </is>
      </c>
      <c r="G2" s="9" t="inlineStr">
        <is>
          <t>Marine</t>
        </is>
      </c>
      <c r="H2" s="10" t="inlineStr"/>
      <c r="I2" s="10" t="inlineStr">
        <is>
          <t>OPEN</t>
        </is>
      </c>
      <c r="J2" s="10" t="inlineStr"/>
    </row>
    <row r="3">
      <c r="A3" s="9" t="n">
        <v>2</v>
      </c>
      <c r="B3" s="9" t="inlineStr">
        <is>
          <t>Assumption</t>
        </is>
      </c>
      <c r="C3" s="6" t="inlineStr">
        <is>
          <t>DepthRef uses same datum as tide (CD)</t>
        </is>
      </c>
      <c r="D3" s="10" t="inlineStr"/>
      <c r="E3" s="10" t="inlineStr"/>
      <c r="F3" s="9" t="inlineStr">
        <is>
          <t>High</t>
        </is>
      </c>
      <c r="G3" s="9" t="inlineStr">
        <is>
          <t>Marine</t>
        </is>
      </c>
      <c r="H3" s="10" t="inlineStr"/>
      <c r="I3" s="10" t="inlineStr">
        <is>
          <t>OPEN</t>
        </is>
      </c>
      <c r="J3" s="10" t="inlineStr"/>
    </row>
    <row r="4">
      <c r="A4" s="9" t="n">
        <v>3</v>
      </c>
      <c r="B4" s="9" t="inlineStr">
        <is>
          <t>Issue</t>
        </is>
      </c>
      <c r="C4" s="6" t="inlineStr">
        <is>
          <t>Lightship displacement/draft not confirmed</t>
        </is>
      </c>
      <c r="D4" s="10" t="inlineStr"/>
      <c r="E4" s="10" t="inlineStr"/>
      <c r="F4" s="9" t="inlineStr">
        <is>
          <t>Med</t>
        </is>
      </c>
      <c r="G4" s="9" t="inlineStr">
        <is>
          <t>Marine</t>
        </is>
      </c>
      <c r="H4" s="10" t="inlineStr"/>
      <c r="I4" s="10" t="inlineStr">
        <is>
          <t>OPEN</t>
        </is>
      </c>
      <c r="J4" s="10" t="inlineStr"/>
    </row>
    <row r="5">
      <c r="A5" s="9" t="n">
        <v>4</v>
      </c>
      <c r="B5" s="9" t="inlineStr">
        <is>
          <t>Gap</t>
        </is>
      </c>
      <c r="C5" s="6" t="inlineStr">
        <is>
          <t>No clear explanation of draft mark positions</t>
        </is>
      </c>
      <c r="D5" s="10" t="inlineStr"/>
      <c r="E5" s="10" t="inlineStr"/>
      <c r="F5" s="9" t="inlineStr">
        <is>
          <t>Med</t>
        </is>
      </c>
      <c r="G5" s="9" t="inlineStr">
        <is>
          <t>Marine</t>
        </is>
      </c>
      <c r="H5" s="10" t="inlineStr"/>
      <c r="I5" s="10" t="inlineStr">
        <is>
          <t>OPEN</t>
        </is>
      </c>
      <c r="J5" s="10" t="inlineStr"/>
    </row>
    <row r="6">
      <c r="A6" s="9" t="n"/>
      <c r="B6" s="9" t="n"/>
      <c r="C6" s="6" t="n"/>
      <c r="D6" s="10" t="n"/>
      <c r="E6" s="10" t="n"/>
      <c r="F6" s="9" t="n"/>
      <c r="G6" s="9" t="n"/>
      <c r="H6" s="10" t="n"/>
      <c r="I6" s="10" t="n"/>
      <c r="J6" s="10" t="n"/>
    </row>
    <row r="7">
      <c r="A7" s="9" t="n"/>
      <c r="B7" s="9" t="n"/>
      <c r="C7" s="6" t="n"/>
      <c r="D7" s="10" t="n"/>
      <c r="E7" s="10" t="n"/>
      <c r="F7" s="9" t="n"/>
      <c r="G7" s="9" t="n"/>
      <c r="H7" s="10" t="n"/>
      <c r="I7" s="10" t="n"/>
      <c r="J7" s="10" t="n"/>
    </row>
    <row r="8">
      <c r="A8" s="9" t="n"/>
      <c r="B8" s="9" t="n"/>
      <c r="C8" s="6" t="n"/>
      <c r="D8" s="10" t="n"/>
      <c r="E8" s="10" t="n"/>
      <c r="F8" s="9" t="n"/>
      <c r="G8" s="9" t="n"/>
      <c r="H8" s="10" t="n"/>
      <c r="I8" s="10" t="n"/>
      <c r="J8" s="10" t="n"/>
    </row>
    <row r="9">
      <c r="A9" s="9" t="n"/>
      <c r="B9" s="9" t="n"/>
      <c r="C9" s="6" t="n"/>
      <c r="D9" s="10" t="n"/>
      <c r="E9" s="10" t="n"/>
      <c r="F9" s="9" t="n"/>
      <c r="G9" s="9" t="n"/>
      <c r="H9" s="10" t="n"/>
      <c r="I9" s="10" t="n"/>
      <c r="J9" s="10" t="n"/>
    </row>
    <row r="10">
      <c r="A10" s="9" t="n"/>
      <c r="B10" s="9" t="n"/>
      <c r="C10" s="6" t="n"/>
      <c r="D10" s="10" t="n"/>
      <c r="E10" s="10" t="n"/>
      <c r="F10" s="9" t="n"/>
      <c r="G10" s="9" t="n"/>
      <c r="H10" s="10" t="n"/>
      <c r="I10" s="10" t="n"/>
      <c r="J10" s="10" t="n"/>
    </row>
    <row r="11">
      <c r="A11" s="9" t="n"/>
      <c r="B11" s="9" t="n"/>
      <c r="C11" s="6" t="n"/>
      <c r="D11" s="10" t="n"/>
      <c r="E11" s="10" t="n"/>
      <c r="F11" s="9" t="n"/>
      <c r="G11" s="9" t="n"/>
      <c r="H11" s="10" t="n"/>
      <c r="I11" s="10" t="n"/>
      <c r="J11" s="10" t="n"/>
    </row>
    <row r="12">
      <c r="A12" s="9" t="n"/>
      <c r="B12" s="9" t="n"/>
      <c r="C12" s="6" t="n"/>
      <c r="D12" s="10" t="n"/>
      <c r="E12" s="10" t="n"/>
      <c r="F12" s="9" t="n"/>
      <c r="G12" s="9" t="n"/>
      <c r="H12" s="10" t="n"/>
      <c r="I12" s="10" t="n"/>
      <c r="J12" s="10" t="n"/>
    </row>
    <row r="13">
      <c r="A13" s="9" t="n"/>
      <c r="B13" s="9" t="n"/>
      <c r="C13" s="6" t="n"/>
      <c r="D13" s="10" t="n"/>
      <c r="E13" s="10" t="n"/>
      <c r="F13" s="9" t="n"/>
      <c r="G13" s="9" t="n"/>
      <c r="H13" s="10" t="n"/>
      <c r="I13" s="10" t="n"/>
      <c r="J13" s="10" t="n"/>
    </row>
    <row r="14">
      <c r="A14" s="9" t="n"/>
      <c r="B14" s="9" t="n"/>
      <c r="C14" s="6" t="n"/>
      <c r="D14" s="10" t="n"/>
      <c r="E14" s="10" t="n"/>
      <c r="F14" s="9" t="n"/>
      <c r="G14" s="9" t="n"/>
      <c r="H14" s="10" t="n"/>
      <c r="I14" s="10" t="n"/>
      <c r="J14" s="10" t="n"/>
    </row>
    <row r="15">
      <c r="A15" s="9" t="n"/>
      <c r="B15" s="9" t="n"/>
      <c r="C15" s="6" t="n"/>
      <c r="D15" s="10" t="n"/>
      <c r="E15" s="10" t="n"/>
      <c r="F15" s="9" t="n"/>
      <c r="G15" s="9" t="n"/>
      <c r="H15" s="10" t="n"/>
      <c r="I15" s="10" t="n"/>
      <c r="J15" s="10" t="n"/>
    </row>
    <row r="16">
      <c r="A16" s="9" t="n"/>
      <c r="B16" s="9" t="n"/>
      <c r="C16" s="6" t="n"/>
      <c r="D16" s="10" t="n"/>
      <c r="E16" s="10" t="n"/>
      <c r="F16" s="9" t="n"/>
      <c r="G16" s="9" t="n"/>
      <c r="H16" s="10" t="n"/>
      <c r="I16" s="10" t="n"/>
      <c r="J16" s="10" t="n"/>
    </row>
    <row r="17">
      <c r="A17" s="9" t="n"/>
      <c r="B17" s="9" t="n"/>
      <c r="C17" s="6" t="n"/>
      <c r="D17" s="10" t="n"/>
      <c r="E17" s="10" t="n"/>
      <c r="F17" s="9" t="n"/>
      <c r="G17" s="9" t="n"/>
      <c r="H17" s="10" t="n"/>
      <c r="I17" s="10" t="n"/>
      <c r="J17" s="10" t="n"/>
    </row>
    <row r="18">
      <c r="A18" s="9" t="n"/>
      <c r="B18" s="9" t="n"/>
      <c r="C18" s="6" t="n"/>
      <c r="D18" s="10" t="n"/>
      <c r="E18" s="10" t="n"/>
      <c r="F18" s="9" t="n"/>
      <c r="G18" s="9" t="n"/>
      <c r="H18" s="10" t="n"/>
      <c r="I18" s="10" t="n"/>
      <c r="J18" s="10" t="n"/>
    </row>
    <row r="19">
      <c r="A19" s="9" t="n"/>
      <c r="B19" s="9" t="n"/>
      <c r="C19" s="6" t="n"/>
      <c r="D19" s="10" t="n"/>
      <c r="E19" s="10" t="n"/>
      <c r="F19" s="9" t="n"/>
      <c r="G19" s="9" t="n"/>
      <c r="H19" s="10" t="n"/>
      <c r="I19" s="10" t="n"/>
      <c r="J19" s="10" t="n"/>
    </row>
    <row r="20">
      <c r="A20" s="9" t="n"/>
      <c r="B20" s="9" t="n"/>
      <c r="C20" s="6" t="n"/>
      <c r="D20" s="10" t="n"/>
      <c r="E20" s="10" t="n"/>
      <c r="F20" s="9" t="n"/>
      <c r="G20" s="9" t="n"/>
      <c r="H20" s="10" t="n"/>
      <c r="I20" s="10" t="n"/>
      <c r="J20" s="10" t="n"/>
    </row>
    <row r="21">
      <c r="A21" s="9" t="n"/>
      <c r="B21" s="9" t="n"/>
      <c r="C21" s="6" t="n"/>
      <c r="D21" s="10" t="n"/>
      <c r="E21" s="10" t="n"/>
      <c r="F21" s="9" t="n"/>
      <c r="G21" s="9" t="n"/>
      <c r="H21" s="10" t="n"/>
      <c r="I21" s="10" t="n"/>
      <c r="J21" s="10" t="n"/>
    </row>
    <row r="22">
      <c r="A22" s="9" t="n"/>
      <c r="B22" s="9" t="n"/>
      <c r="C22" s="6" t="n"/>
      <c r="D22" s="10" t="n"/>
      <c r="E22" s="10" t="n"/>
      <c r="F22" s="9" t="n"/>
      <c r="G22" s="9" t="n"/>
      <c r="H22" s="10" t="n"/>
      <c r="I22" s="10" t="n"/>
      <c r="J22" s="10" t="n"/>
    </row>
    <row r="23">
      <c r="A23" s="9" t="n"/>
      <c r="B23" s="9" t="n"/>
      <c r="C23" s="6" t="n"/>
      <c r="D23" s="10" t="n"/>
      <c r="E23" s="10" t="n"/>
      <c r="F23" s="9" t="n"/>
      <c r="G23" s="9" t="n"/>
      <c r="H23" s="10" t="n"/>
      <c r="I23" s="10" t="n"/>
      <c r="J23" s="10" t="n"/>
    </row>
    <row r="24">
      <c r="A24" s="9" t="n"/>
      <c r="B24" s="9" t="n"/>
      <c r="C24" s="6" t="n"/>
      <c r="D24" s="10" t="n"/>
      <c r="E24" s="10" t="n"/>
      <c r="F24" s="9" t="n"/>
      <c r="G24" s="9" t="n"/>
      <c r="H24" s="10" t="n"/>
      <c r="I24" s="10" t="n"/>
      <c r="J24" s="10" t="n"/>
    </row>
    <row r="25">
      <c r="A25" s="9" t="n"/>
      <c r="B25" s="9" t="n"/>
      <c r="C25" s="6" t="n"/>
      <c r="D25" s="10" t="n"/>
      <c r="E25" s="10" t="n"/>
      <c r="F25" s="9" t="n"/>
      <c r="G25" s="9" t="n"/>
      <c r="H25" s="10" t="n"/>
      <c r="I25" s="10" t="n"/>
      <c r="J25" s="10" t="n"/>
    </row>
    <row r="26">
      <c r="A26" s="9" t="n"/>
      <c r="B26" s="9" t="n"/>
      <c r="C26" s="6" t="n"/>
      <c r="D26" s="10" t="n"/>
      <c r="E26" s="10" t="n"/>
      <c r="F26" s="9" t="n"/>
      <c r="G26" s="9" t="n"/>
      <c r="H26" s="10" t="n"/>
      <c r="I26" s="10" t="n"/>
      <c r="J26" s="10" t="n"/>
    </row>
    <row r="27">
      <c r="A27" s="9" t="n"/>
      <c r="B27" s="9" t="n"/>
      <c r="C27" s="6" t="n"/>
      <c r="D27" s="10" t="n"/>
      <c r="E27" s="10" t="n"/>
      <c r="F27" s="9" t="n"/>
      <c r="G27" s="9" t="n"/>
      <c r="H27" s="10" t="n"/>
      <c r="I27" s="10" t="n"/>
      <c r="J27" s="10" t="n"/>
    </row>
    <row r="28">
      <c r="A28" s="9" t="n"/>
      <c r="B28" s="9" t="n"/>
      <c r="C28" s="6" t="n"/>
      <c r="D28" s="10" t="n"/>
      <c r="E28" s="10" t="n"/>
      <c r="F28" s="9" t="n"/>
      <c r="G28" s="9" t="n"/>
      <c r="H28" s="10" t="n"/>
      <c r="I28" s="10" t="n"/>
      <c r="J28" s="10" t="n"/>
    </row>
    <row r="29">
      <c r="A29" s="9" t="n"/>
      <c r="B29" s="9" t="n"/>
      <c r="C29" s="6" t="n"/>
      <c r="D29" s="10" t="n"/>
      <c r="E29" s="10" t="n"/>
      <c r="F29" s="9" t="n"/>
      <c r="G29" s="9" t="n"/>
      <c r="H29" s="10" t="n"/>
      <c r="I29" s="10" t="n"/>
      <c r="J29" s="10" t="n"/>
    </row>
    <row r="30">
      <c r="A30" s="9" t="n"/>
      <c r="B30" s="9" t="n"/>
      <c r="C30" s="6" t="n"/>
      <c r="D30" s="10" t="n"/>
      <c r="E30" s="10" t="n"/>
      <c r="F30" s="9" t="n"/>
      <c r="G30" s="9" t="n"/>
      <c r="H30" s="10" t="n"/>
      <c r="I30" s="10" t="n"/>
      <c r="J30" s="10" t="n"/>
    </row>
    <row r="31">
      <c r="A31" s="9" t="n"/>
      <c r="B31" s="9" t="n"/>
      <c r="C31" s="6" t="n"/>
      <c r="D31" s="10" t="n"/>
      <c r="E31" s="10" t="n"/>
      <c r="F31" s="9" t="n"/>
      <c r="G31" s="9" t="n"/>
      <c r="H31" s="10" t="n"/>
      <c r="I31" s="10" t="n"/>
      <c r="J31" s="10" t="n"/>
    </row>
    <row r="32">
      <c r="A32" s="9" t="n"/>
      <c r="B32" s="9" t="n"/>
      <c r="C32" s="6" t="n"/>
      <c r="D32" s="10" t="n"/>
      <c r="E32" s="10" t="n"/>
      <c r="F32" s="9" t="n"/>
      <c r="G32" s="9" t="n"/>
      <c r="H32" s="10" t="n"/>
      <c r="I32" s="10" t="n"/>
      <c r="J32" s="10" t="n"/>
    </row>
    <row r="33">
      <c r="A33" s="9" t="n"/>
      <c r="B33" s="9" t="n"/>
      <c r="C33" s="6" t="n"/>
      <c r="D33" s="10" t="n"/>
      <c r="E33" s="10" t="n"/>
      <c r="F33" s="9" t="n"/>
      <c r="G33" s="9" t="n"/>
      <c r="H33" s="10" t="n"/>
      <c r="I33" s="10" t="n"/>
      <c r="J33" s="10" t="n"/>
    </row>
    <row r="34">
      <c r="A34" s="9" t="n"/>
      <c r="B34" s="9" t="n"/>
      <c r="C34" s="6" t="n"/>
      <c r="D34" s="10" t="n"/>
      <c r="E34" s="10" t="n"/>
      <c r="F34" s="9" t="n"/>
      <c r="G34" s="9" t="n"/>
      <c r="H34" s="10" t="n"/>
      <c r="I34" s="10" t="n"/>
      <c r="J34" s="10" t="n"/>
    </row>
    <row r="35">
      <c r="A35" s="9" t="n"/>
      <c r="B35" s="9" t="n"/>
      <c r="C35" s="6" t="n"/>
      <c r="D35" s="10" t="n"/>
      <c r="E35" s="10" t="n"/>
      <c r="F35" s="9" t="n"/>
      <c r="G35" s="9" t="n"/>
      <c r="H35" s="10" t="n"/>
      <c r="I35" s="10" t="n"/>
      <c r="J35" s="10" t="n"/>
    </row>
    <row r="36">
      <c r="A36" s="9" t="n"/>
      <c r="B36" s="9" t="n"/>
      <c r="C36" s="6" t="n"/>
      <c r="D36" s="10" t="n"/>
      <c r="E36" s="10" t="n"/>
      <c r="F36" s="9" t="n"/>
      <c r="G36" s="9" t="n"/>
      <c r="H36" s="10" t="n"/>
      <c r="I36" s="10" t="n"/>
      <c r="J36" s="10" t="n"/>
    </row>
    <row r="37">
      <c r="A37" s="9" t="n"/>
      <c r="B37" s="9" t="n"/>
      <c r="C37" s="6" t="n"/>
      <c r="D37" s="10" t="n"/>
      <c r="E37" s="10" t="n"/>
      <c r="F37" s="9" t="n"/>
      <c r="G37" s="9" t="n"/>
      <c r="H37" s="10" t="n"/>
      <c r="I37" s="10" t="n"/>
      <c r="J37" s="10" t="n"/>
    </row>
    <row r="38">
      <c r="A38" s="9" t="n"/>
      <c r="B38" s="9" t="n"/>
      <c r="C38" s="6" t="n"/>
      <c r="D38" s="10" t="n"/>
      <c r="E38" s="10" t="n"/>
      <c r="F38" s="9" t="n"/>
      <c r="G38" s="9" t="n"/>
      <c r="H38" s="10" t="n"/>
      <c r="I38" s="10" t="n"/>
      <c r="J38" s="10" t="n"/>
    </row>
    <row r="39">
      <c r="A39" s="9" t="n"/>
      <c r="B39" s="9" t="n"/>
      <c r="C39" s="6" t="n"/>
      <c r="D39" s="10" t="n"/>
      <c r="E39" s="10" t="n"/>
      <c r="F39" s="9" t="n"/>
      <c r="G39" s="9" t="n"/>
      <c r="H39" s="10" t="n"/>
      <c r="I39" s="10" t="n"/>
      <c r="J39" s="10" t="n"/>
    </row>
    <row r="40">
      <c r="A40" s="9" t="n"/>
      <c r="B40" s="9" t="n"/>
      <c r="C40" s="6" t="n"/>
      <c r="D40" s="10" t="n"/>
      <c r="E40" s="10" t="n"/>
      <c r="F40" s="9" t="n"/>
      <c r="G40" s="9" t="n"/>
      <c r="H40" s="10" t="n"/>
      <c r="I40" s="10" t="n"/>
      <c r="J40" s="10" t="n"/>
    </row>
    <row r="41">
      <c r="A41" s="9" t="n"/>
      <c r="B41" s="9" t="n"/>
      <c r="C41" s="6" t="n"/>
      <c r="D41" s="10" t="n"/>
      <c r="E41" s="10" t="n"/>
      <c r="F41" s="9" t="n"/>
      <c r="G41" s="9" t="n"/>
      <c r="H41" s="10" t="n"/>
      <c r="I41" s="10" t="n"/>
      <c r="J41" s="10" t="n"/>
    </row>
    <row r="42">
      <c r="A42" s="9" t="n"/>
      <c r="B42" s="9" t="n"/>
      <c r="C42" s="6" t="n"/>
      <c r="D42" s="10" t="n"/>
      <c r="E42" s="10" t="n"/>
      <c r="F42" s="9" t="n"/>
      <c r="G42" s="9" t="n"/>
      <c r="H42" s="10" t="n"/>
      <c r="I42" s="10" t="n"/>
      <c r="J42" s="10" t="n"/>
    </row>
    <row r="43">
      <c r="A43" s="9" t="n"/>
      <c r="B43" s="9" t="n"/>
      <c r="C43" s="6" t="n"/>
      <c r="D43" s="10" t="n"/>
      <c r="E43" s="10" t="n"/>
      <c r="F43" s="9" t="n"/>
      <c r="G43" s="9" t="n"/>
      <c r="H43" s="10" t="n"/>
      <c r="I43" s="10" t="n"/>
      <c r="J43" s="10" t="n"/>
    </row>
    <row r="44">
      <c r="A44" s="9" t="n"/>
      <c r="B44" s="9" t="n"/>
      <c r="C44" s="6" t="n"/>
      <c r="D44" s="10" t="n"/>
      <c r="E44" s="10" t="n"/>
      <c r="F44" s="9" t="n"/>
      <c r="G44" s="9" t="n"/>
      <c r="H44" s="10" t="n"/>
      <c r="I44" s="10" t="n"/>
      <c r="J44" s="10" t="n"/>
    </row>
    <row r="45">
      <c r="A45" s="9" t="n"/>
      <c r="B45" s="9" t="n"/>
      <c r="C45" s="6" t="n"/>
      <c r="D45" s="10" t="n"/>
      <c r="E45" s="10" t="n"/>
      <c r="F45" s="9" t="n"/>
      <c r="G45" s="9" t="n"/>
      <c r="H45" s="10" t="n"/>
      <c r="I45" s="10" t="n"/>
      <c r="J45" s="10" t="n"/>
    </row>
    <row r="46">
      <c r="A46" s="9" t="n"/>
      <c r="B46" s="9" t="n"/>
      <c r="C46" s="6" t="n"/>
      <c r="D46" s="10" t="n"/>
      <c r="E46" s="10" t="n"/>
      <c r="F46" s="9" t="n"/>
      <c r="G46" s="9" t="n"/>
      <c r="H46" s="10" t="n"/>
      <c r="I46" s="10" t="n"/>
      <c r="J46" s="10" t="n"/>
    </row>
    <row r="47">
      <c r="A47" s="9" t="n"/>
      <c r="B47" s="9" t="n"/>
      <c r="C47" s="6" t="n"/>
      <c r="D47" s="10" t="n"/>
      <c r="E47" s="10" t="n"/>
      <c r="F47" s="9" t="n"/>
      <c r="G47" s="9" t="n"/>
      <c r="H47" s="10" t="n"/>
      <c r="I47" s="10" t="n"/>
      <c r="J47" s="10" t="n"/>
    </row>
    <row r="48">
      <c r="A48" s="9" t="n"/>
      <c r="B48" s="9" t="n"/>
      <c r="C48" s="6" t="n"/>
      <c r="D48" s="10" t="n"/>
      <c r="E48" s="10" t="n"/>
      <c r="F48" s="9" t="n"/>
      <c r="G48" s="9" t="n"/>
      <c r="H48" s="10" t="n"/>
      <c r="I48" s="10" t="n"/>
      <c r="J48" s="10" t="n"/>
    </row>
    <row r="49">
      <c r="A49" s="9" t="n"/>
      <c r="B49" s="9" t="n"/>
      <c r="C49" s="6" t="n"/>
      <c r="D49" s="10" t="n"/>
      <c r="E49" s="10" t="n"/>
      <c r="F49" s="9" t="n"/>
      <c r="G49" s="9" t="n"/>
      <c r="H49" s="10" t="n"/>
      <c r="I49" s="10" t="n"/>
      <c r="J49" s="10" t="n"/>
    </row>
    <row r="50">
      <c r="A50" s="9" t="n"/>
      <c r="B50" s="9" t="n"/>
      <c r="C50" s="6" t="n"/>
      <c r="D50" s="10" t="n"/>
      <c r="E50" s="10" t="n"/>
      <c r="F50" s="9" t="n"/>
      <c r="G50" s="9" t="n"/>
      <c r="H50" s="10" t="n"/>
      <c r="I50" s="10" t="n"/>
      <c r="J50" s="10" t="n"/>
    </row>
    <row r="51">
      <c r="A51" s="9" t="n"/>
      <c r="B51" s="9" t="n"/>
      <c r="C51" s="6" t="n"/>
      <c r="D51" s="10" t="n"/>
      <c r="E51" s="10" t="n"/>
      <c r="F51" s="9" t="n"/>
      <c r="G51" s="9" t="n"/>
      <c r="H51" s="10" t="n"/>
      <c r="I51" s="10" t="n"/>
      <c r="J51" s="10" t="n"/>
    </row>
    <row r="52">
      <c r="A52" s="9" t="n"/>
      <c r="B52" s="9" t="n"/>
      <c r="C52" s="6" t="n"/>
      <c r="D52" s="10" t="n"/>
      <c r="E52" s="10" t="n"/>
      <c r="F52" s="9" t="n"/>
      <c r="G52" s="9" t="n"/>
      <c r="H52" s="10" t="n"/>
      <c r="I52" s="10" t="n"/>
      <c r="J52" s="10" t="n"/>
    </row>
    <row r="53">
      <c r="A53" s="9" t="n"/>
      <c r="B53" s="9" t="n"/>
      <c r="C53" s="6" t="n"/>
      <c r="D53" s="10" t="n"/>
      <c r="E53" s="10" t="n"/>
      <c r="F53" s="9" t="n"/>
      <c r="G53" s="9" t="n"/>
      <c r="H53" s="10" t="n"/>
      <c r="I53" s="10" t="n"/>
      <c r="J53" s="10" t="n"/>
    </row>
    <row r="54">
      <c r="A54" s="9" t="n"/>
      <c r="B54" s="9" t="n"/>
      <c r="C54" s="6" t="n"/>
      <c r="D54" s="10" t="n"/>
      <c r="E54" s="10" t="n"/>
      <c r="F54" s="9" t="n"/>
      <c r="G54" s="9" t="n"/>
      <c r="H54" s="10" t="n"/>
      <c r="I54" s="10" t="n"/>
      <c r="J54" s="10" t="n"/>
    </row>
    <row r="55">
      <c r="A55" s="9" t="n"/>
      <c r="B55" s="9" t="n"/>
      <c r="C55" s="6" t="n"/>
      <c r="D55" s="10" t="n"/>
      <c r="E55" s="10" t="n"/>
      <c r="F55" s="9" t="n"/>
      <c r="G55" s="9" t="n"/>
      <c r="H55" s="10" t="n"/>
      <c r="I55" s="10" t="n"/>
      <c r="J55" s="10" t="n"/>
    </row>
    <row r="56">
      <c r="A56" s="9" t="n"/>
      <c r="B56" s="9" t="n"/>
      <c r="C56" s="6" t="n"/>
      <c r="D56" s="10" t="n"/>
      <c r="E56" s="10" t="n"/>
      <c r="F56" s="9" t="n"/>
      <c r="G56" s="9" t="n"/>
      <c r="H56" s="10" t="n"/>
      <c r="I56" s="10" t="n"/>
      <c r="J56" s="10" t="n"/>
    </row>
    <row r="57">
      <c r="A57" s="9" t="n"/>
      <c r="B57" s="9" t="n"/>
      <c r="C57" s="6" t="n"/>
      <c r="D57" s="10" t="n"/>
      <c r="E57" s="10" t="n"/>
      <c r="F57" s="9" t="n"/>
      <c r="G57" s="9" t="n"/>
      <c r="H57" s="10" t="n"/>
      <c r="I57" s="10" t="n"/>
      <c r="J57" s="10" t="n"/>
    </row>
    <row r="58">
      <c r="A58" s="9" t="n"/>
      <c r="B58" s="9" t="n"/>
      <c r="C58" s="6" t="n"/>
      <c r="D58" s="10" t="n"/>
      <c r="E58" s="10" t="n"/>
      <c r="F58" s="9" t="n"/>
      <c r="G58" s="9" t="n"/>
      <c r="H58" s="10" t="n"/>
      <c r="I58" s="10" t="n"/>
      <c r="J58" s="10" t="n"/>
    </row>
    <row r="59">
      <c r="A59" s="9" t="n"/>
      <c r="B59" s="9" t="n"/>
      <c r="C59" s="6" t="n"/>
      <c r="D59" s="10" t="n"/>
      <c r="E59" s="10" t="n"/>
      <c r="F59" s="9" t="n"/>
      <c r="G59" s="9" t="n"/>
      <c r="H59" s="10" t="n"/>
      <c r="I59" s="10" t="n"/>
      <c r="J59" s="10" t="n"/>
    </row>
    <row r="60">
      <c r="A60" s="9" t="n"/>
      <c r="B60" s="9" t="n"/>
      <c r="C60" s="6" t="n"/>
      <c r="D60" s="10" t="n"/>
      <c r="E60" s="10" t="n"/>
      <c r="F60" s="9" t="n"/>
      <c r="G60" s="9" t="n"/>
      <c r="H60" s="10" t="n"/>
      <c r="I60" s="10" t="n"/>
      <c r="J60" s="10" t="n"/>
    </row>
    <row r="61">
      <c r="A61" s="9" t="n"/>
      <c r="B61" s="9" t="n"/>
      <c r="C61" s="6" t="n"/>
      <c r="D61" s="10" t="n"/>
      <c r="E61" s="10" t="n"/>
      <c r="F61" s="9" t="n"/>
      <c r="G61" s="9" t="n"/>
      <c r="H61" s="10" t="n"/>
      <c r="I61" s="10" t="n"/>
      <c r="J61" s="10" t="n"/>
    </row>
    <row r="62">
      <c r="A62" s="9" t="n"/>
      <c r="B62" s="9" t="n"/>
      <c r="C62" s="6" t="n"/>
      <c r="D62" s="10" t="n"/>
      <c r="E62" s="10" t="n"/>
      <c r="F62" s="9" t="n"/>
      <c r="G62" s="9" t="n"/>
      <c r="H62" s="10" t="n"/>
      <c r="I62" s="10" t="n"/>
      <c r="J62" s="10" t="n"/>
    </row>
    <row r="63">
      <c r="A63" s="9" t="n"/>
      <c r="B63" s="9" t="n"/>
      <c r="C63" s="6" t="n"/>
      <c r="D63" s="10" t="n"/>
      <c r="E63" s="10" t="n"/>
      <c r="F63" s="9" t="n"/>
      <c r="G63" s="9" t="n"/>
      <c r="H63" s="10" t="n"/>
      <c r="I63" s="10" t="n"/>
      <c r="J63" s="10" t="n"/>
    </row>
    <row r="64">
      <c r="A64" s="9" t="n"/>
      <c r="B64" s="9" t="n"/>
      <c r="C64" s="6" t="n"/>
      <c r="D64" s="10" t="n"/>
      <c r="E64" s="10" t="n"/>
      <c r="F64" s="9" t="n"/>
      <c r="G64" s="9" t="n"/>
      <c r="H64" s="10" t="n"/>
      <c r="I64" s="10" t="n"/>
      <c r="J64" s="10" t="n"/>
    </row>
    <row r="65">
      <c r="A65" s="9" t="n"/>
      <c r="B65" s="9" t="n"/>
      <c r="C65" s="6" t="n"/>
      <c r="D65" s="10" t="n"/>
      <c r="E65" s="10" t="n"/>
      <c r="F65" s="9" t="n"/>
      <c r="G65" s="9" t="n"/>
      <c r="H65" s="10" t="n"/>
      <c r="I65" s="10" t="n"/>
      <c r="J65" s="10" t="n"/>
    </row>
    <row r="66">
      <c r="A66" s="9" t="n"/>
      <c r="B66" s="9" t="n"/>
      <c r="C66" s="6" t="n"/>
      <c r="D66" s="10" t="n"/>
      <c r="E66" s="10" t="n"/>
      <c r="F66" s="9" t="n"/>
      <c r="G66" s="9" t="n"/>
      <c r="H66" s="10" t="n"/>
      <c r="I66" s="10" t="n"/>
      <c r="J66" s="10" t="n"/>
    </row>
    <row r="67">
      <c r="A67" s="9" t="n"/>
      <c r="B67" s="9" t="n"/>
      <c r="C67" s="6" t="n"/>
      <c r="D67" s="10" t="n"/>
      <c r="E67" s="10" t="n"/>
      <c r="F67" s="9" t="n"/>
      <c r="G67" s="9" t="n"/>
      <c r="H67" s="10" t="n"/>
      <c r="I67" s="10" t="n"/>
      <c r="J67" s="10" t="n"/>
    </row>
    <row r="68">
      <c r="A68" s="9" t="n"/>
      <c r="B68" s="9" t="n"/>
      <c r="C68" s="6" t="n"/>
      <c r="D68" s="10" t="n"/>
      <c r="E68" s="10" t="n"/>
      <c r="F68" s="9" t="n"/>
      <c r="G68" s="9" t="n"/>
      <c r="H68" s="10" t="n"/>
      <c r="I68" s="10" t="n"/>
      <c r="J68" s="10" t="n"/>
    </row>
    <row r="69">
      <c r="A69" s="9" t="n"/>
      <c r="B69" s="9" t="n"/>
      <c r="C69" s="6" t="n"/>
      <c r="D69" s="10" t="n"/>
      <c r="E69" s="10" t="n"/>
      <c r="F69" s="9" t="n"/>
      <c r="G69" s="9" t="n"/>
      <c r="H69" s="10" t="n"/>
      <c r="I69" s="10" t="n"/>
      <c r="J69" s="10" t="n"/>
    </row>
    <row r="70">
      <c r="A70" s="9" t="n"/>
      <c r="B70" s="9" t="n"/>
      <c r="C70" s="6" t="n"/>
      <c r="D70" s="10" t="n"/>
      <c r="E70" s="10" t="n"/>
      <c r="F70" s="9" t="n"/>
      <c r="G70" s="9" t="n"/>
      <c r="H70" s="10" t="n"/>
      <c r="I70" s="10" t="n"/>
      <c r="J70" s="10" t="n"/>
    </row>
    <row r="71">
      <c r="A71" s="9" t="n"/>
      <c r="B71" s="9" t="n"/>
      <c r="C71" s="6" t="n"/>
      <c r="D71" s="10" t="n"/>
      <c r="E71" s="10" t="n"/>
      <c r="F71" s="9" t="n"/>
      <c r="G71" s="9" t="n"/>
      <c r="H71" s="10" t="n"/>
      <c r="I71" s="10" t="n"/>
      <c r="J71" s="10" t="n"/>
    </row>
    <row r="72">
      <c r="A72" s="9" t="n"/>
      <c r="B72" s="9" t="n"/>
      <c r="C72" s="6" t="n"/>
      <c r="D72" s="10" t="n"/>
      <c r="E72" s="10" t="n"/>
      <c r="F72" s="9" t="n"/>
      <c r="G72" s="9" t="n"/>
      <c r="H72" s="10" t="n"/>
      <c r="I72" s="10" t="n"/>
      <c r="J72" s="10" t="n"/>
    </row>
    <row r="73">
      <c r="A73" s="9" t="n"/>
      <c r="B73" s="9" t="n"/>
      <c r="C73" s="6" t="n"/>
      <c r="D73" s="10" t="n"/>
      <c r="E73" s="10" t="n"/>
      <c r="F73" s="9" t="n"/>
      <c r="G73" s="9" t="n"/>
      <c r="H73" s="10" t="n"/>
      <c r="I73" s="10" t="n"/>
      <c r="J73" s="10" t="n"/>
    </row>
    <row r="74">
      <c r="A74" s="9" t="n"/>
      <c r="B74" s="9" t="n"/>
      <c r="C74" s="6" t="n"/>
      <c r="D74" s="10" t="n"/>
      <c r="E74" s="10" t="n"/>
      <c r="F74" s="9" t="n"/>
      <c r="G74" s="9" t="n"/>
      <c r="H74" s="10" t="n"/>
      <c r="I74" s="10" t="n"/>
      <c r="J74" s="10" t="n"/>
    </row>
    <row r="75">
      <c r="A75" s="9" t="n"/>
      <c r="B75" s="9" t="n"/>
      <c r="C75" s="6" t="n"/>
      <c r="D75" s="10" t="n"/>
      <c r="E75" s="10" t="n"/>
      <c r="F75" s="9" t="n"/>
      <c r="G75" s="9" t="n"/>
      <c r="H75" s="10" t="n"/>
      <c r="I75" s="10" t="n"/>
      <c r="J75" s="10" t="n"/>
    </row>
    <row r="76">
      <c r="A76" s="9" t="n"/>
      <c r="B76" s="9" t="n"/>
      <c r="C76" s="6" t="n"/>
      <c r="D76" s="10" t="n"/>
      <c r="E76" s="10" t="n"/>
      <c r="F76" s="9" t="n"/>
      <c r="G76" s="9" t="n"/>
      <c r="H76" s="10" t="n"/>
      <c r="I76" s="10" t="n"/>
      <c r="J76" s="10" t="n"/>
    </row>
    <row r="77">
      <c r="A77" s="9" t="n"/>
      <c r="B77" s="9" t="n"/>
      <c r="C77" s="6" t="n"/>
      <c r="D77" s="10" t="n"/>
      <c r="E77" s="10" t="n"/>
      <c r="F77" s="9" t="n"/>
      <c r="G77" s="9" t="n"/>
      <c r="H77" s="10" t="n"/>
      <c r="I77" s="10" t="n"/>
      <c r="J77" s="10" t="n"/>
    </row>
    <row r="78">
      <c r="A78" s="9" t="n"/>
      <c r="B78" s="9" t="n"/>
      <c r="C78" s="6" t="n"/>
      <c r="D78" s="10" t="n"/>
      <c r="E78" s="10" t="n"/>
      <c r="F78" s="9" t="n"/>
      <c r="G78" s="9" t="n"/>
      <c r="H78" s="10" t="n"/>
      <c r="I78" s="10" t="n"/>
      <c r="J78" s="10" t="n"/>
    </row>
    <row r="79">
      <c r="A79" s="9" t="n"/>
      <c r="B79" s="9" t="n"/>
      <c r="C79" s="6" t="n"/>
      <c r="D79" s="10" t="n"/>
      <c r="E79" s="10" t="n"/>
      <c r="F79" s="9" t="n"/>
      <c r="G79" s="9" t="n"/>
      <c r="H79" s="10" t="n"/>
      <c r="I79" s="10" t="n"/>
      <c r="J79" s="10" t="n"/>
    </row>
    <row r="80">
      <c r="A80" s="9" t="n"/>
      <c r="B80" s="9" t="n"/>
      <c r="C80" s="6" t="n"/>
      <c r="D80" s="10" t="n"/>
      <c r="E80" s="10" t="n"/>
      <c r="F80" s="9" t="n"/>
      <c r="G80" s="9" t="n"/>
      <c r="H80" s="10" t="n"/>
      <c r="I80" s="10" t="n"/>
      <c r="J80" s="10" t="n"/>
    </row>
    <row r="81">
      <c r="A81" s="9" t="n"/>
      <c r="B81" s="9" t="n"/>
      <c r="C81" s="6" t="n"/>
      <c r="D81" s="10" t="n"/>
      <c r="E81" s="10" t="n"/>
      <c r="F81" s="9" t="n"/>
      <c r="G81" s="9" t="n"/>
      <c r="H81" s="10" t="n"/>
      <c r="I81" s="10" t="n"/>
      <c r="J81" s="10" t="n"/>
    </row>
    <row r="82">
      <c r="A82" s="9" t="n"/>
      <c r="B82" s="9" t="n"/>
      <c r="C82" s="6" t="n"/>
      <c r="D82" s="10" t="n"/>
      <c r="E82" s="10" t="n"/>
      <c r="F82" s="9" t="n"/>
      <c r="G82" s="9" t="n"/>
      <c r="H82" s="10" t="n"/>
      <c r="I82" s="10" t="n"/>
      <c r="J82" s="10" t="n"/>
    </row>
    <row r="83">
      <c r="A83" s="9" t="n"/>
      <c r="B83" s="9" t="n"/>
      <c r="C83" s="6" t="n"/>
      <c r="D83" s="10" t="n"/>
      <c r="E83" s="10" t="n"/>
      <c r="F83" s="9" t="n"/>
      <c r="G83" s="9" t="n"/>
      <c r="H83" s="10" t="n"/>
      <c r="I83" s="10" t="n"/>
      <c r="J83" s="10" t="n"/>
    </row>
    <row r="84">
      <c r="A84" s="9" t="n"/>
      <c r="B84" s="9" t="n"/>
      <c r="C84" s="6" t="n"/>
      <c r="D84" s="10" t="n"/>
      <c r="E84" s="10" t="n"/>
      <c r="F84" s="9" t="n"/>
      <c r="G84" s="9" t="n"/>
      <c r="H84" s="10" t="n"/>
      <c r="I84" s="10" t="n"/>
      <c r="J84" s="10" t="n"/>
    </row>
    <row r="85">
      <c r="A85" s="9" t="n"/>
      <c r="B85" s="9" t="n"/>
      <c r="C85" s="6" t="n"/>
      <c r="D85" s="10" t="n"/>
      <c r="E85" s="10" t="n"/>
      <c r="F85" s="9" t="n"/>
      <c r="G85" s="9" t="n"/>
      <c r="H85" s="10" t="n"/>
      <c r="I85" s="10" t="n"/>
      <c r="J85" s="10" t="n"/>
    </row>
    <row r="86">
      <c r="A86" s="9" t="n"/>
      <c r="B86" s="9" t="n"/>
      <c r="C86" s="6" t="n"/>
      <c r="D86" s="10" t="n"/>
      <c r="E86" s="10" t="n"/>
      <c r="F86" s="9" t="n"/>
      <c r="G86" s="9" t="n"/>
      <c r="H86" s="10" t="n"/>
      <c r="I86" s="10" t="n"/>
      <c r="J86" s="10" t="n"/>
    </row>
    <row r="87">
      <c r="A87" s="9" t="n"/>
      <c r="B87" s="9" t="n"/>
      <c r="C87" s="6" t="n"/>
      <c r="D87" s="10" t="n"/>
      <c r="E87" s="10" t="n"/>
      <c r="F87" s="9" t="n"/>
      <c r="G87" s="9" t="n"/>
      <c r="H87" s="10" t="n"/>
      <c r="I87" s="10" t="n"/>
      <c r="J87" s="10" t="n"/>
    </row>
    <row r="88">
      <c r="A88" s="9" t="n"/>
      <c r="B88" s="9" t="n"/>
      <c r="C88" s="6" t="n"/>
      <c r="D88" s="10" t="n"/>
      <c r="E88" s="10" t="n"/>
      <c r="F88" s="9" t="n"/>
      <c r="G88" s="9" t="n"/>
      <c r="H88" s="10" t="n"/>
      <c r="I88" s="10" t="n"/>
      <c r="J88" s="10" t="n"/>
    </row>
    <row r="89">
      <c r="A89" s="9" t="n"/>
      <c r="B89" s="9" t="n"/>
      <c r="C89" s="6" t="n"/>
      <c r="D89" s="10" t="n"/>
      <c r="E89" s="10" t="n"/>
      <c r="F89" s="9" t="n"/>
      <c r="G89" s="9" t="n"/>
      <c r="H89" s="10" t="n"/>
      <c r="I89" s="10" t="n"/>
      <c r="J89" s="10" t="n"/>
    </row>
    <row r="90">
      <c r="A90" s="9" t="n"/>
      <c r="B90" s="9" t="n"/>
      <c r="C90" s="6" t="n"/>
      <c r="D90" s="10" t="n"/>
      <c r="E90" s="10" t="n"/>
      <c r="F90" s="9" t="n"/>
      <c r="G90" s="9" t="n"/>
      <c r="H90" s="10" t="n"/>
      <c r="I90" s="10" t="n"/>
      <c r="J90" s="10" t="n"/>
    </row>
    <row r="91">
      <c r="A91" s="9" t="n"/>
      <c r="B91" s="9" t="n"/>
      <c r="C91" s="6" t="n"/>
      <c r="D91" s="10" t="n"/>
      <c r="E91" s="10" t="n"/>
      <c r="F91" s="9" t="n"/>
      <c r="G91" s="9" t="n"/>
      <c r="H91" s="10" t="n"/>
      <c r="I91" s="10" t="n"/>
      <c r="J91" s="10" t="n"/>
    </row>
    <row r="92">
      <c r="A92" s="9" t="n"/>
      <c r="B92" s="9" t="n"/>
      <c r="C92" s="6" t="n"/>
      <c r="D92" s="10" t="n"/>
      <c r="E92" s="10" t="n"/>
      <c r="F92" s="9" t="n"/>
      <c r="G92" s="9" t="n"/>
      <c r="H92" s="10" t="n"/>
      <c r="I92" s="10" t="n"/>
      <c r="J92" s="10" t="n"/>
    </row>
    <row r="93">
      <c r="A93" s="9" t="n"/>
      <c r="B93" s="9" t="n"/>
      <c r="C93" s="6" t="n"/>
      <c r="D93" s="10" t="n"/>
      <c r="E93" s="10" t="n"/>
      <c r="F93" s="9" t="n"/>
      <c r="G93" s="9" t="n"/>
      <c r="H93" s="10" t="n"/>
      <c r="I93" s="10" t="n"/>
      <c r="J93" s="10" t="n"/>
    </row>
    <row r="94">
      <c r="A94" s="9" t="n"/>
      <c r="B94" s="9" t="n"/>
      <c r="C94" s="6" t="n"/>
      <c r="D94" s="10" t="n"/>
      <c r="E94" s="10" t="n"/>
      <c r="F94" s="9" t="n"/>
      <c r="G94" s="9" t="n"/>
      <c r="H94" s="10" t="n"/>
      <c r="I94" s="10" t="n"/>
      <c r="J94" s="10" t="n"/>
    </row>
    <row r="95">
      <c r="A95" s="9" t="n"/>
      <c r="B95" s="9" t="n"/>
      <c r="C95" s="6" t="n"/>
      <c r="D95" s="10" t="n"/>
      <c r="E95" s="10" t="n"/>
      <c r="F95" s="9" t="n"/>
      <c r="G95" s="9" t="n"/>
      <c r="H95" s="10" t="n"/>
      <c r="I95" s="10" t="n"/>
      <c r="J95" s="10" t="n"/>
    </row>
    <row r="96">
      <c r="A96" s="9" t="n"/>
      <c r="B96" s="9" t="n"/>
      <c r="C96" s="6" t="n"/>
      <c r="D96" s="10" t="n"/>
      <c r="E96" s="10" t="n"/>
      <c r="F96" s="9" t="n"/>
      <c r="G96" s="9" t="n"/>
      <c r="H96" s="10" t="n"/>
      <c r="I96" s="10" t="n"/>
      <c r="J96" s="10" t="n"/>
    </row>
    <row r="97">
      <c r="A97" s="9" t="n"/>
      <c r="B97" s="9" t="n"/>
      <c r="C97" s="6" t="n"/>
      <c r="D97" s="10" t="n"/>
      <c r="E97" s="10" t="n"/>
      <c r="F97" s="9" t="n"/>
      <c r="G97" s="9" t="n"/>
      <c r="H97" s="10" t="n"/>
      <c r="I97" s="10" t="n"/>
      <c r="J97" s="10" t="n"/>
    </row>
    <row r="98">
      <c r="A98" s="9" t="n"/>
      <c r="B98" s="9" t="n"/>
      <c r="C98" s="6" t="n"/>
      <c r="D98" s="10" t="n"/>
      <c r="E98" s="10" t="n"/>
      <c r="F98" s="9" t="n"/>
      <c r="G98" s="9" t="n"/>
      <c r="H98" s="10" t="n"/>
      <c r="I98" s="10" t="n"/>
      <c r="J98" s="10" t="n"/>
    </row>
    <row r="99">
      <c r="A99" s="9" t="n"/>
      <c r="B99" s="9" t="n"/>
      <c r="C99" s="6" t="n"/>
      <c r="D99" s="10" t="n"/>
      <c r="E99" s="10" t="n"/>
      <c r="F99" s="9" t="n"/>
      <c r="G99" s="9" t="n"/>
      <c r="H99" s="10" t="n"/>
      <c r="I99" s="10" t="n"/>
      <c r="J99" s="10" t="n"/>
    </row>
    <row r="100">
      <c r="A100" s="9" t="n"/>
      <c r="B100" s="9" t="n"/>
      <c r="C100" s="6" t="n"/>
      <c r="D100" s="10" t="n"/>
      <c r="E100" s="10" t="n"/>
      <c r="F100" s="9" t="n"/>
      <c r="G100" s="9" t="n"/>
      <c r="H100" s="10" t="n"/>
      <c r="I100" s="10" t="n"/>
      <c r="J100" s="10" t="n"/>
    </row>
    <row r="101">
      <c r="A101" s="9" t="n"/>
      <c r="B101" s="9" t="n"/>
      <c r="C101" s="6" t="n"/>
      <c r="D101" s="10" t="n"/>
      <c r="E101" s="10" t="n"/>
      <c r="F101" s="9" t="n"/>
      <c r="G101" s="9" t="n"/>
      <c r="H101" s="10" t="n"/>
      <c r="I101" s="10" t="n"/>
      <c r="J101" s="10" t="n"/>
    </row>
    <row r="102">
      <c r="A102" s="9" t="n"/>
      <c r="B102" s="9" t="n"/>
      <c r="C102" s="6" t="n"/>
      <c r="D102" s="10" t="n"/>
      <c r="E102" s="10" t="n"/>
      <c r="F102" s="9" t="n"/>
      <c r="G102" s="9" t="n"/>
      <c r="H102" s="10" t="n"/>
      <c r="I102" s="10" t="n"/>
      <c r="J102" s="10" t="n"/>
    </row>
    <row r="103">
      <c r="A103" s="9" t="n"/>
      <c r="B103" s="9" t="n"/>
      <c r="C103" s="6" t="n"/>
      <c r="D103" s="10" t="n"/>
      <c r="E103" s="10" t="n"/>
      <c r="F103" s="9" t="n"/>
      <c r="G103" s="9" t="n"/>
      <c r="H103" s="10" t="n"/>
      <c r="I103" s="10" t="n"/>
      <c r="J103" s="10" t="n"/>
    </row>
    <row r="104">
      <c r="A104" s="9" t="n"/>
      <c r="B104" s="9" t="n"/>
      <c r="C104" s="6" t="n"/>
      <c r="D104" s="10" t="n"/>
      <c r="E104" s="10" t="n"/>
      <c r="F104" s="9" t="n"/>
      <c r="G104" s="9" t="n"/>
      <c r="H104" s="10" t="n"/>
      <c r="I104" s="10" t="n"/>
      <c r="J104" s="10" t="n"/>
    </row>
    <row r="105">
      <c r="A105" s="9" t="n"/>
      <c r="B105" s="9" t="n"/>
      <c r="C105" s="6" t="n"/>
      <c r="D105" s="10" t="n"/>
      <c r="E105" s="10" t="n"/>
      <c r="F105" s="9" t="n"/>
      <c r="G105" s="9" t="n"/>
      <c r="H105" s="10" t="n"/>
      <c r="I105" s="10" t="n"/>
      <c r="J105" s="10" t="n"/>
    </row>
    <row r="106">
      <c r="A106" s="9" t="n"/>
      <c r="B106" s="9" t="n"/>
      <c r="C106" s="6" t="n"/>
      <c r="D106" s="10" t="n"/>
      <c r="E106" s="10" t="n"/>
      <c r="F106" s="9" t="n"/>
      <c r="G106" s="9" t="n"/>
      <c r="H106" s="10" t="n"/>
      <c r="I106" s="10" t="n"/>
      <c r="J106" s="10" t="n"/>
    </row>
    <row r="107">
      <c r="A107" s="9" t="n"/>
      <c r="B107" s="9" t="n"/>
      <c r="C107" s="6" t="n"/>
      <c r="D107" s="10" t="n"/>
      <c r="E107" s="10" t="n"/>
      <c r="F107" s="9" t="n"/>
      <c r="G107" s="9" t="n"/>
      <c r="H107" s="10" t="n"/>
      <c r="I107" s="10" t="n"/>
      <c r="J107" s="10" t="n"/>
    </row>
    <row r="108">
      <c r="A108" s="9" t="n"/>
      <c r="B108" s="9" t="n"/>
      <c r="C108" s="6" t="n"/>
      <c r="D108" s="10" t="n"/>
      <c r="E108" s="10" t="n"/>
      <c r="F108" s="9" t="n"/>
      <c r="G108" s="9" t="n"/>
      <c r="H108" s="10" t="n"/>
      <c r="I108" s="10" t="n"/>
      <c r="J108" s="10" t="n"/>
    </row>
    <row r="109">
      <c r="A109" s="9" t="n"/>
      <c r="B109" s="9" t="n"/>
      <c r="C109" s="6" t="n"/>
      <c r="D109" s="10" t="n"/>
      <c r="E109" s="10" t="n"/>
      <c r="F109" s="9" t="n"/>
      <c r="G109" s="9" t="n"/>
      <c r="H109" s="10" t="n"/>
      <c r="I109" s="10" t="n"/>
      <c r="J109" s="10" t="n"/>
    </row>
    <row r="110">
      <c r="A110" s="9" t="n"/>
      <c r="B110" s="9" t="n"/>
      <c r="C110" s="6" t="n"/>
      <c r="D110" s="10" t="n"/>
      <c r="E110" s="10" t="n"/>
      <c r="F110" s="9" t="n"/>
      <c r="G110" s="9" t="n"/>
      <c r="H110" s="10" t="n"/>
      <c r="I110" s="10" t="n"/>
      <c r="J110" s="10" t="n"/>
    </row>
    <row r="111">
      <c r="A111" s="9" t="n"/>
      <c r="B111" s="9" t="n"/>
      <c r="C111" s="6" t="n"/>
      <c r="D111" s="10" t="n"/>
      <c r="E111" s="10" t="n"/>
      <c r="F111" s="9" t="n"/>
      <c r="G111" s="9" t="n"/>
      <c r="H111" s="10" t="n"/>
      <c r="I111" s="10" t="n"/>
      <c r="J111" s="10" t="n"/>
    </row>
    <row r="112">
      <c r="A112" s="9" t="n"/>
      <c r="B112" s="9" t="n"/>
      <c r="C112" s="6" t="n"/>
      <c r="D112" s="10" t="n"/>
      <c r="E112" s="10" t="n"/>
      <c r="F112" s="9" t="n"/>
      <c r="G112" s="9" t="n"/>
      <c r="H112" s="10" t="n"/>
      <c r="I112" s="10" t="n"/>
      <c r="J112" s="10" t="n"/>
    </row>
    <row r="113">
      <c r="A113" s="9" t="n"/>
      <c r="B113" s="9" t="n"/>
      <c r="C113" s="6" t="n"/>
      <c r="D113" s="10" t="n"/>
      <c r="E113" s="10" t="n"/>
      <c r="F113" s="9" t="n"/>
      <c r="G113" s="9" t="n"/>
      <c r="H113" s="10" t="n"/>
      <c r="I113" s="10" t="n"/>
      <c r="J113" s="10" t="n"/>
    </row>
    <row r="114">
      <c r="A114" s="9" t="n"/>
      <c r="B114" s="9" t="n"/>
      <c r="C114" s="6" t="n"/>
      <c r="D114" s="10" t="n"/>
      <c r="E114" s="10" t="n"/>
      <c r="F114" s="9" t="n"/>
      <c r="G114" s="9" t="n"/>
      <c r="H114" s="10" t="n"/>
      <c r="I114" s="10" t="n"/>
      <c r="J114" s="10" t="n"/>
    </row>
    <row r="115">
      <c r="A115" s="9" t="n"/>
      <c r="B115" s="9" t="n"/>
      <c r="C115" s="6" t="n"/>
      <c r="D115" s="10" t="n"/>
      <c r="E115" s="10" t="n"/>
      <c r="F115" s="9" t="n"/>
      <c r="G115" s="9" t="n"/>
      <c r="H115" s="10" t="n"/>
      <c r="I115" s="10" t="n"/>
      <c r="J115" s="10" t="n"/>
    </row>
    <row r="116">
      <c r="A116" s="9" t="n"/>
      <c r="B116" s="9" t="n"/>
      <c r="C116" s="6" t="n"/>
      <c r="D116" s="10" t="n"/>
      <c r="E116" s="10" t="n"/>
      <c r="F116" s="9" t="n"/>
      <c r="G116" s="9" t="n"/>
      <c r="H116" s="10" t="n"/>
      <c r="I116" s="10" t="n"/>
      <c r="J116" s="10" t="n"/>
    </row>
    <row r="117">
      <c r="A117" s="9" t="n"/>
      <c r="B117" s="9" t="n"/>
      <c r="C117" s="6" t="n"/>
      <c r="D117" s="10" t="n"/>
      <c r="E117" s="10" t="n"/>
      <c r="F117" s="9" t="n"/>
      <c r="G117" s="9" t="n"/>
      <c r="H117" s="10" t="n"/>
      <c r="I117" s="10" t="n"/>
      <c r="J117" s="10" t="n"/>
    </row>
    <row r="118">
      <c r="A118" s="9" t="n"/>
      <c r="B118" s="9" t="n"/>
      <c r="C118" s="6" t="n"/>
      <c r="D118" s="10" t="n"/>
      <c r="E118" s="10" t="n"/>
      <c r="F118" s="9" t="n"/>
      <c r="G118" s="9" t="n"/>
      <c r="H118" s="10" t="n"/>
      <c r="I118" s="10" t="n"/>
      <c r="J118" s="10" t="n"/>
    </row>
    <row r="119">
      <c r="A119" s="9" t="n"/>
      <c r="B119" s="9" t="n"/>
      <c r="C119" s="6" t="n"/>
      <c r="D119" s="10" t="n"/>
      <c r="E119" s="10" t="n"/>
      <c r="F119" s="9" t="n"/>
      <c r="G119" s="9" t="n"/>
      <c r="H119" s="10" t="n"/>
      <c r="I119" s="10" t="n"/>
      <c r="J119" s="10" t="n"/>
    </row>
    <row r="120">
      <c r="A120" s="9" t="n"/>
      <c r="B120" s="9" t="n"/>
      <c r="C120" s="6" t="n"/>
      <c r="D120" s="10" t="n"/>
      <c r="E120" s="10" t="n"/>
      <c r="F120" s="9" t="n"/>
      <c r="G120" s="9" t="n"/>
      <c r="H120" s="10" t="n"/>
      <c r="I120" s="10" t="n"/>
      <c r="J120" s="10" t="n"/>
    </row>
    <row r="121">
      <c r="A121" s="9" t="n"/>
      <c r="B121" s="9" t="n"/>
      <c r="C121" s="6" t="n"/>
      <c r="D121" s="10" t="n"/>
      <c r="E121" s="10" t="n"/>
      <c r="F121" s="9" t="n"/>
      <c r="G121" s="9" t="n"/>
      <c r="H121" s="10" t="n"/>
      <c r="I121" s="10" t="n"/>
      <c r="J121" s="10" t="n"/>
    </row>
    <row r="122">
      <c r="A122" s="9" t="n"/>
      <c r="B122" s="9" t="n"/>
      <c r="C122" s="6" t="n"/>
      <c r="D122" s="10" t="n"/>
      <c r="E122" s="10" t="n"/>
      <c r="F122" s="9" t="n"/>
      <c r="G122" s="9" t="n"/>
      <c r="H122" s="10" t="n"/>
      <c r="I122" s="10" t="n"/>
      <c r="J122" s="10" t="n"/>
    </row>
    <row r="123">
      <c r="A123" s="9" t="n"/>
      <c r="B123" s="9" t="n"/>
      <c r="C123" s="6" t="n"/>
      <c r="D123" s="10" t="n"/>
      <c r="E123" s="10" t="n"/>
      <c r="F123" s="9" t="n"/>
      <c r="G123" s="9" t="n"/>
      <c r="H123" s="10" t="n"/>
      <c r="I123" s="10" t="n"/>
      <c r="J123" s="10" t="n"/>
    </row>
    <row r="124">
      <c r="A124" s="9" t="n"/>
      <c r="B124" s="9" t="n"/>
      <c r="C124" s="6" t="n"/>
      <c r="D124" s="10" t="n"/>
      <c r="E124" s="10" t="n"/>
      <c r="F124" s="9" t="n"/>
      <c r="G124" s="9" t="n"/>
      <c r="H124" s="10" t="n"/>
      <c r="I124" s="10" t="n"/>
      <c r="J124" s="10" t="n"/>
    </row>
    <row r="125">
      <c r="A125" s="9" t="n"/>
      <c r="B125" s="9" t="n"/>
      <c r="C125" s="6" t="n"/>
      <c r="D125" s="10" t="n"/>
      <c r="E125" s="10" t="n"/>
      <c r="F125" s="9" t="n"/>
      <c r="G125" s="9" t="n"/>
      <c r="H125" s="10" t="n"/>
      <c r="I125" s="10" t="n"/>
      <c r="J125" s="10" t="n"/>
    </row>
    <row r="126">
      <c r="A126" s="9" t="n"/>
      <c r="B126" s="9" t="n"/>
      <c r="C126" s="6" t="n"/>
      <c r="D126" s="10" t="n"/>
      <c r="E126" s="10" t="n"/>
      <c r="F126" s="9" t="n"/>
      <c r="G126" s="9" t="n"/>
      <c r="H126" s="10" t="n"/>
      <c r="I126" s="10" t="n"/>
      <c r="J126" s="10" t="n"/>
    </row>
    <row r="127">
      <c r="A127" s="9" t="n"/>
      <c r="B127" s="9" t="n"/>
      <c r="C127" s="6" t="n"/>
      <c r="D127" s="10" t="n"/>
      <c r="E127" s="10" t="n"/>
      <c r="F127" s="9" t="n"/>
      <c r="G127" s="9" t="n"/>
      <c r="H127" s="10" t="n"/>
      <c r="I127" s="10" t="n"/>
      <c r="J127" s="10" t="n"/>
    </row>
    <row r="128">
      <c r="A128" s="9" t="n"/>
      <c r="B128" s="9" t="n"/>
      <c r="C128" s="6" t="n"/>
      <c r="D128" s="10" t="n"/>
      <c r="E128" s="10" t="n"/>
      <c r="F128" s="9" t="n"/>
      <c r="G128" s="9" t="n"/>
      <c r="H128" s="10" t="n"/>
      <c r="I128" s="10" t="n"/>
      <c r="J128" s="10" t="n"/>
    </row>
    <row r="129">
      <c r="A129" s="9" t="n"/>
      <c r="B129" s="9" t="n"/>
      <c r="C129" s="6" t="n"/>
      <c r="D129" s="10" t="n"/>
      <c r="E129" s="10" t="n"/>
      <c r="F129" s="9" t="n"/>
      <c r="G129" s="9" t="n"/>
      <c r="H129" s="10" t="n"/>
      <c r="I129" s="10" t="n"/>
      <c r="J129" s="10" t="n"/>
    </row>
    <row r="130">
      <c r="A130" s="9" t="n"/>
      <c r="B130" s="9" t="n"/>
      <c r="C130" s="6" t="n"/>
      <c r="D130" s="10" t="n"/>
      <c r="E130" s="10" t="n"/>
      <c r="F130" s="9" t="n"/>
      <c r="G130" s="9" t="n"/>
      <c r="H130" s="10" t="n"/>
      <c r="I130" s="10" t="n"/>
      <c r="J130" s="10" t="n"/>
    </row>
    <row r="131">
      <c r="A131" s="9" t="n"/>
      <c r="B131" s="9" t="n"/>
      <c r="C131" s="6" t="n"/>
      <c r="D131" s="10" t="n"/>
      <c r="E131" s="10" t="n"/>
      <c r="F131" s="9" t="n"/>
      <c r="G131" s="9" t="n"/>
      <c r="H131" s="10" t="n"/>
      <c r="I131" s="10" t="n"/>
      <c r="J131" s="10" t="n"/>
    </row>
    <row r="132">
      <c r="A132" s="9" t="n"/>
      <c r="B132" s="9" t="n"/>
      <c r="C132" s="6" t="n"/>
      <c r="D132" s="10" t="n"/>
      <c r="E132" s="10" t="n"/>
      <c r="F132" s="9" t="n"/>
      <c r="G132" s="9" t="n"/>
      <c r="H132" s="10" t="n"/>
      <c r="I132" s="10" t="n"/>
      <c r="J132" s="10" t="n"/>
    </row>
    <row r="133">
      <c r="A133" s="9" t="n"/>
      <c r="B133" s="9" t="n"/>
      <c r="C133" s="6" t="n"/>
      <c r="D133" s="10" t="n"/>
      <c r="E133" s="10" t="n"/>
      <c r="F133" s="9" t="n"/>
      <c r="G133" s="9" t="n"/>
      <c r="H133" s="10" t="n"/>
      <c r="I133" s="10" t="n"/>
      <c r="J133" s="10" t="n"/>
    </row>
    <row r="134">
      <c r="A134" s="9" t="n"/>
      <c r="B134" s="9" t="n"/>
      <c r="C134" s="6" t="n"/>
      <c r="D134" s="10" t="n"/>
      <c r="E134" s="10" t="n"/>
      <c r="F134" s="9" t="n"/>
      <c r="G134" s="9" t="n"/>
      <c r="H134" s="10" t="n"/>
      <c r="I134" s="10" t="n"/>
      <c r="J134" s="10" t="n"/>
    </row>
    <row r="135">
      <c r="A135" s="9" t="n"/>
      <c r="B135" s="9" t="n"/>
      <c r="C135" s="6" t="n"/>
      <c r="D135" s="10" t="n"/>
      <c r="E135" s="10" t="n"/>
      <c r="F135" s="9" t="n"/>
      <c r="G135" s="9" t="n"/>
      <c r="H135" s="10" t="n"/>
      <c r="I135" s="10" t="n"/>
      <c r="J135" s="10" t="n"/>
    </row>
    <row r="136">
      <c r="A136" s="9" t="n"/>
      <c r="B136" s="9" t="n"/>
      <c r="C136" s="6" t="n"/>
      <c r="D136" s="10" t="n"/>
      <c r="E136" s="10" t="n"/>
      <c r="F136" s="9" t="n"/>
      <c r="G136" s="9" t="n"/>
      <c r="H136" s="10" t="n"/>
      <c r="I136" s="10" t="n"/>
      <c r="J136" s="10" t="n"/>
    </row>
    <row r="137">
      <c r="A137" s="9" t="n"/>
      <c r="B137" s="9" t="n"/>
      <c r="C137" s="6" t="n"/>
      <c r="D137" s="10" t="n"/>
      <c r="E137" s="10" t="n"/>
      <c r="F137" s="9" t="n"/>
      <c r="G137" s="9" t="n"/>
      <c r="H137" s="10" t="n"/>
      <c r="I137" s="10" t="n"/>
      <c r="J137" s="10" t="n"/>
    </row>
    <row r="138">
      <c r="A138" s="9" t="n"/>
      <c r="B138" s="9" t="n"/>
      <c r="C138" s="6" t="n"/>
      <c r="D138" s="10" t="n"/>
      <c r="E138" s="10" t="n"/>
      <c r="F138" s="9" t="n"/>
      <c r="G138" s="9" t="n"/>
      <c r="H138" s="10" t="n"/>
      <c r="I138" s="10" t="n"/>
      <c r="J138" s="10" t="n"/>
    </row>
    <row r="139">
      <c r="A139" s="9" t="n"/>
      <c r="B139" s="9" t="n"/>
      <c r="C139" s="6" t="n"/>
      <c r="D139" s="10" t="n"/>
      <c r="E139" s="10" t="n"/>
      <c r="F139" s="9" t="n"/>
      <c r="G139" s="9" t="n"/>
      <c r="H139" s="10" t="n"/>
      <c r="I139" s="10" t="n"/>
      <c r="J139" s="10" t="n"/>
    </row>
    <row r="140">
      <c r="A140" s="9" t="n"/>
      <c r="B140" s="9" t="n"/>
      <c r="C140" s="6" t="n"/>
      <c r="D140" s="10" t="n"/>
      <c r="E140" s="10" t="n"/>
      <c r="F140" s="9" t="n"/>
      <c r="G140" s="9" t="n"/>
      <c r="H140" s="10" t="n"/>
      <c r="I140" s="10" t="n"/>
      <c r="J140" s="10" t="n"/>
    </row>
    <row r="141">
      <c r="A141" s="9" t="n"/>
      <c r="B141" s="9" t="n"/>
      <c r="C141" s="6" t="n"/>
      <c r="D141" s="10" t="n"/>
      <c r="E141" s="10" t="n"/>
      <c r="F141" s="9" t="n"/>
      <c r="G141" s="9" t="n"/>
      <c r="H141" s="10" t="n"/>
      <c r="I141" s="10" t="n"/>
      <c r="J141" s="10" t="n"/>
    </row>
    <row r="142">
      <c r="A142" s="9" t="n"/>
      <c r="B142" s="9" t="n"/>
      <c r="C142" s="6" t="n"/>
      <c r="D142" s="10" t="n"/>
      <c r="E142" s="10" t="n"/>
      <c r="F142" s="9" t="n"/>
      <c r="G142" s="9" t="n"/>
      <c r="H142" s="10" t="n"/>
      <c r="I142" s="10" t="n"/>
      <c r="J142" s="10" t="n"/>
    </row>
    <row r="143">
      <c r="A143" s="9" t="n"/>
      <c r="B143" s="9" t="n"/>
      <c r="C143" s="6" t="n"/>
      <c r="D143" s="10" t="n"/>
      <c r="E143" s="10" t="n"/>
      <c r="F143" s="9" t="n"/>
      <c r="G143" s="9" t="n"/>
      <c r="H143" s="10" t="n"/>
      <c r="I143" s="10" t="n"/>
      <c r="J143" s="10" t="n"/>
    </row>
    <row r="144">
      <c r="A144" s="9" t="n"/>
      <c r="B144" s="9" t="n"/>
      <c r="C144" s="6" t="n"/>
      <c r="D144" s="10" t="n"/>
      <c r="E144" s="10" t="n"/>
      <c r="F144" s="9" t="n"/>
      <c r="G144" s="9" t="n"/>
      <c r="H144" s="10" t="n"/>
      <c r="I144" s="10" t="n"/>
      <c r="J144" s="10" t="n"/>
    </row>
    <row r="145">
      <c r="A145" s="9" t="n"/>
      <c r="B145" s="9" t="n"/>
      <c r="C145" s="6" t="n"/>
      <c r="D145" s="10" t="n"/>
      <c r="E145" s="10" t="n"/>
      <c r="F145" s="9" t="n"/>
      <c r="G145" s="9" t="n"/>
      <c r="H145" s="10" t="n"/>
      <c r="I145" s="10" t="n"/>
      <c r="J145" s="10" t="n"/>
    </row>
    <row r="146">
      <c r="A146" s="9" t="n"/>
      <c r="B146" s="9" t="n"/>
      <c r="C146" s="6" t="n"/>
      <c r="D146" s="10" t="n"/>
      <c r="E146" s="10" t="n"/>
      <c r="F146" s="9" t="n"/>
      <c r="G146" s="9" t="n"/>
      <c r="H146" s="10" t="n"/>
      <c r="I146" s="10" t="n"/>
      <c r="J146" s="10" t="n"/>
    </row>
    <row r="147">
      <c r="A147" s="9" t="n"/>
      <c r="B147" s="9" t="n"/>
      <c r="C147" s="6" t="n"/>
      <c r="D147" s="10" t="n"/>
      <c r="E147" s="10" t="n"/>
      <c r="F147" s="9" t="n"/>
      <c r="G147" s="9" t="n"/>
      <c r="H147" s="10" t="n"/>
      <c r="I147" s="10" t="n"/>
      <c r="J147" s="10" t="n"/>
    </row>
    <row r="148">
      <c r="A148" s="9" t="n"/>
      <c r="B148" s="9" t="n"/>
      <c r="C148" s="6" t="n"/>
      <c r="D148" s="10" t="n"/>
      <c r="E148" s="10" t="n"/>
      <c r="F148" s="9" t="n"/>
      <c r="G148" s="9" t="n"/>
      <c r="H148" s="10" t="n"/>
      <c r="I148" s="10" t="n"/>
      <c r="J148" s="10" t="n"/>
    </row>
    <row r="149">
      <c r="A149" s="9" t="n"/>
      <c r="B149" s="9" t="n"/>
      <c r="C149" s="6" t="n"/>
      <c r="D149" s="10" t="n"/>
      <c r="E149" s="10" t="n"/>
      <c r="F149" s="9" t="n"/>
      <c r="G149" s="9" t="n"/>
      <c r="H149" s="10" t="n"/>
      <c r="I149" s="10" t="n"/>
      <c r="J149" s="10" t="n"/>
    </row>
    <row r="150">
      <c r="A150" s="9" t="n"/>
      <c r="B150" s="9" t="n"/>
      <c r="C150" s="6" t="n"/>
      <c r="D150" s="10" t="n"/>
      <c r="E150" s="10" t="n"/>
      <c r="F150" s="9" t="n"/>
      <c r="G150" s="9" t="n"/>
      <c r="H150" s="10" t="n"/>
      <c r="I150" s="10" t="n"/>
      <c r="J150" s="10" t="n"/>
    </row>
    <row r="151">
      <c r="A151" s="9" t="n"/>
      <c r="B151" s="9" t="n"/>
      <c r="C151" s="6" t="n"/>
      <c r="D151" s="10" t="n"/>
      <c r="E151" s="10" t="n"/>
      <c r="F151" s="9" t="n"/>
      <c r="G151" s="9" t="n"/>
      <c r="H151" s="10" t="n"/>
      <c r="I151" s="10" t="n"/>
      <c r="J151" s="10" t="n"/>
    </row>
    <row r="152">
      <c r="A152" s="9" t="n"/>
      <c r="B152" s="9" t="n"/>
      <c r="C152" s="6" t="n"/>
      <c r="D152" s="10" t="n"/>
      <c r="E152" s="10" t="n"/>
      <c r="F152" s="9" t="n"/>
      <c r="G152" s="9" t="n"/>
      <c r="H152" s="10" t="n"/>
      <c r="I152" s="10" t="n"/>
      <c r="J152" s="10" t="n"/>
    </row>
    <row r="153">
      <c r="A153" s="9" t="n"/>
      <c r="B153" s="9" t="n"/>
      <c r="C153" s="6" t="n"/>
      <c r="D153" s="10" t="n"/>
      <c r="E153" s="10" t="n"/>
      <c r="F153" s="9" t="n"/>
      <c r="G153" s="9" t="n"/>
      <c r="H153" s="10" t="n"/>
      <c r="I153" s="10" t="n"/>
      <c r="J153" s="10" t="n"/>
    </row>
    <row r="154">
      <c r="A154" s="9" t="n"/>
      <c r="B154" s="9" t="n"/>
      <c r="C154" s="6" t="n"/>
      <c r="D154" s="10" t="n"/>
      <c r="E154" s="10" t="n"/>
      <c r="F154" s="9" t="n"/>
      <c r="G154" s="9" t="n"/>
      <c r="H154" s="10" t="n"/>
      <c r="I154" s="10" t="n"/>
      <c r="J154" s="10" t="n"/>
    </row>
    <row r="155">
      <c r="A155" s="9" t="n"/>
      <c r="B155" s="9" t="n"/>
      <c r="C155" s="6" t="n"/>
      <c r="D155" s="10" t="n"/>
      <c r="E155" s="10" t="n"/>
      <c r="F155" s="9" t="n"/>
      <c r="G155" s="9" t="n"/>
      <c r="H155" s="10" t="n"/>
      <c r="I155" s="10" t="n"/>
      <c r="J155" s="10" t="n"/>
    </row>
    <row r="156">
      <c r="A156" s="9" t="n"/>
      <c r="B156" s="9" t="n"/>
      <c r="C156" s="6" t="n"/>
      <c r="D156" s="10" t="n"/>
      <c r="E156" s="10" t="n"/>
      <c r="F156" s="9" t="n"/>
      <c r="G156" s="9" t="n"/>
      <c r="H156" s="10" t="n"/>
      <c r="I156" s="10" t="n"/>
      <c r="J156" s="10" t="n"/>
    </row>
    <row r="157">
      <c r="A157" s="9" t="n"/>
      <c r="B157" s="9" t="n"/>
      <c r="C157" s="6" t="n"/>
      <c r="D157" s="10" t="n"/>
      <c r="E157" s="10" t="n"/>
      <c r="F157" s="9" t="n"/>
      <c r="G157" s="9" t="n"/>
      <c r="H157" s="10" t="n"/>
      <c r="I157" s="10" t="n"/>
      <c r="J157" s="10" t="n"/>
    </row>
    <row r="158">
      <c r="A158" s="9" t="n"/>
      <c r="B158" s="9" t="n"/>
      <c r="C158" s="6" t="n"/>
      <c r="D158" s="10" t="n"/>
      <c r="E158" s="10" t="n"/>
      <c r="F158" s="9" t="n"/>
      <c r="G158" s="9" t="n"/>
      <c r="H158" s="10" t="n"/>
      <c r="I158" s="10" t="n"/>
      <c r="J158" s="10" t="n"/>
    </row>
    <row r="159">
      <c r="A159" s="9" t="n"/>
      <c r="B159" s="9" t="n"/>
      <c r="C159" s="6" t="n"/>
      <c r="D159" s="10" t="n"/>
      <c r="E159" s="10" t="n"/>
      <c r="F159" s="9" t="n"/>
      <c r="G159" s="9" t="n"/>
      <c r="H159" s="10" t="n"/>
      <c r="I159" s="10" t="n"/>
      <c r="J159" s="10" t="n"/>
    </row>
    <row r="160">
      <c r="A160" s="9" t="n"/>
      <c r="B160" s="9" t="n"/>
      <c r="C160" s="6" t="n"/>
      <c r="D160" s="10" t="n"/>
      <c r="E160" s="10" t="n"/>
      <c r="F160" s="9" t="n"/>
      <c r="G160" s="9" t="n"/>
      <c r="H160" s="10" t="n"/>
      <c r="I160" s="10" t="n"/>
      <c r="J160" s="10" t="n"/>
    </row>
    <row r="161">
      <c r="A161" s="9" t="n"/>
      <c r="B161" s="9" t="n"/>
      <c r="C161" s="6" t="n"/>
      <c r="D161" s="10" t="n"/>
      <c r="E161" s="10" t="n"/>
      <c r="F161" s="9" t="n"/>
      <c r="G161" s="9" t="n"/>
      <c r="H161" s="10" t="n"/>
      <c r="I161" s="10" t="n"/>
      <c r="J161" s="10" t="n"/>
    </row>
    <row r="162">
      <c r="A162" s="9" t="n"/>
      <c r="B162" s="9" t="n"/>
      <c r="C162" s="6" t="n"/>
      <c r="D162" s="10" t="n"/>
      <c r="E162" s="10" t="n"/>
      <c r="F162" s="9" t="n"/>
      <c r="G162" s="9" t="n"/>
      <c r="H162" s="10" t="n"/>
      <c r="I162" s="10" t="n"/>
      <c r="J162" s="10" t="n"/>
    </row>
    <row r="163">
      <c r="A163" s="9" t="n"/>
      <c r="B163" s="9" t="n"/>
      <c r="C163" s="6" t="n"/>
      <c r="D163" s="10" t="n"/>
      <c r="E163" s="10" t="n"/>
      <c r="F163" s="9" t="n"/>
      <c r="G163" s="9" t="n"/>
      <c r="H163" s="10" t="n"/>
      <c r="I163" s="10" t="n"/>
      <c r="J163" s="10" t="n"/>
    </row>
    <row r="164">
      <c r="A164" s="9" t="n"/>
      <c r="B164" s="9" t="n"/>
      <c r="C164" s="6" t="n"/>
      <c r="D164" s="10" t="n"/>
      <c r="E164" s="10" t="n"/>
      <c r="F164" s="9" t="n"/>
      <c r="G164" s="9" t="n"/>
      <c r="H164" s="10" t="n"/>
      <c r="I164" s="10" t="n"/>
      <c r="J164" s="10" t="n"/>
    </row>
    <row r="165">
      <c r="A165" s="9" t="n"/>
      <c r="B165" s="9" t="n"/>
      <c r="C165" s="6" t="n"/>
      <c r="D165" s="10" t="n"/>
      <c r="E165" s="10" t="n"/>
      <c r="F165" s="9" t="n"/>
      <c r="G165" s="9" t="n"/>
      <c r="H165" s="10" t="n"/>
      <c r="I165" s="10" t="n"/>
      <c r="J165" s="10" t="n"/>
    </row>
    <row r="166">
      <c r="A166" s="9" t="n"/>
      <c r="B166" s="9" t="n"/>
      <c r="C166" s="6" t="n"/>
      <c r="D166" s="10" t="n"/>
      <c r="E166" s="10" t="n"/>
      <c r="F166" s="9" t="n"/>
      <c r="G166" s="9" t="n"/>
      <c r="H166" s="10" t="n"/>
      <c r="I166" s="10" t="n"/>
      <c r="J166" s="10" t="n"/>
    </row>
    <row r="167">
      <c r="A167" s="9" t="n"/>
      <c r="B167" s="9" t="n"/>
      <c r="C167" s="6" t="n"/>
      <c r="D167" s="10" t="n"/>
      <c r="E167" s="10" t="n"/>
      <c r="F167" s="9" t="n"/>
      <c r="G167" s="9" t="n"/>
      <c r="H167" s="10" t="n"/>
      <c r="I167" s="10" t="n"/>
      <c r="J167" s="10" t="n"/>
    </row>
    <row r="168">
      <c r="A168" s="9" t="n"/>
      <c r="B168" s="9" t="n"/>
      <c r="C168" s="6" t="n"/>
      <c r="D168" s="10" t="n"/>
      <c r="E168" s="10" t="n"/>
      <c r="F168" s="9" t="n"/>
      <c r="G168" s="9" t="n"/>
      <c r="H168" s="10" t="n"/>
      <c r="I168" s="10" t="n"/>
      <c r="J168" s="10" t="n"/>
    </row>
    <row r="169">
      <c r="A169" s="9" t="n"/>
      <c r="B169" s="9" t="n"/>
      <c r="C169" s="6" t="n"/>
      <c r="D169" s="10" t="n"/>
      <c r="E169" s="10" t="n"/>
      <c r="F169" s="9" t="n"/>
      <c r="G169" s="9" t="n"/>
      <c r="H169" s="10" t="n"/>
      <c r="I169" s="10" t="n"/>
      <c r="J169" s="10" t="n"/>
    </row>
    <row r="170">
      <c r="A170" s="9" t="n"/>
      <c r="B170" s="9" t="n"/>
      <c r="C170" s="6" t="n"/>
      <c r="D170" s="10" t="n"/>
      <c r="E170" s="10" t="n"/>
      <c r="F170" s="9" t="n"/>
      <c r="G170" s="9" t="n"/>
      <c r="H170" s="10" t="n"/>
      <c r="I170" s="10" t="n"/>
      <c r="J170" s="10" t="n"/>
    </row>
    <row r="171">
      <c r="A171" s="9" t="n"/>
      <c r="B171" s="9" t="n"/>
      <c r="C171" s="6" t="n"/>
      <c r="D171" s="10" t="n"/>
      <c r="E171" s="10" t="n"/>
      <c r="F171" s="9" t="n"/>
      <c r="G171" s="9" t="n"/>
      <c r="H171" s="10" t="n"/>
      <c r="I171" s="10" t="n"/>
      <c r="J171" s="10" t="n"/>
    </row>
    <row r="172">
      <c r="A172" s="9" t="n"/>
      <c r="B172" s="9" t="n"/>
      <c r="C172" s="6" t="n"/>
      <c r="D172" s="10" t="n"/>
      <c r="E172" s="10" t="n"/>
      <c r="F172" s="9" t="n"/>
      <c r="G172" s="9" t="n"/>
      <c r="H172" s="10" t="n"/>
      <c r="I172" s="10" t="n"/>
      <c r="J172" s="10" t="n"/>
    </row>
    <row r="173">
      <c r="A173" s="9" t="n"/>
      <c r="B173" s="9" t="n"/>
      <c r="C173" s="6" t="n"/>
      <c r="D173" s="10" t="n"/>
      <c r="E173" s="10" t="n"/>
      <c r="F173" s="9" t="n"/>
      <c r="G173" s="9" t="n"/>
      <c r="H173" s="10" t="n"/>
      <c r="I173" s="10" t="n"/>
      <c r="J173" s="10" t="n"/>
    </row>
    <row r="174">
      <c r="A174" s="9" t="n"/>
      <c r="B174" s="9" t="n"/>
      <c r="C174" s="6" t="n"/>
      <c r="D174" s="10" t="n"/>
      <c r="E174" s="10" t="n"/>
      <c r="F174" s="9" t="n"/>
      <c r="G174" s="9" t="n"/>
      <c r="H174" s="10" t="n"/>
      <c r="I174" s="10" t="n"/>
      <c r="J174" s="10" t="n"/>
    </row>
    <row r="175">
      <c r="A175" s="9" t="n"/>
      <c r="B175" s="9" t="n"/>
      <c r="C175" s="6" t="n"/>
      <c r="D175" s="10" t="n"/>
      <c r="E175" s="10" t="n"/>
      <c r="F175" s="9" t="n"/>
      <c r="G175" s="9" t="n"/>
      <c r="H175" s="10" t="n"/>
      <c r="I175" s="10" t="n"/>
      <c r="J175" s="10" t="n"/>
    </row>
    <row r="176">
      <c r="A176" s="9" t="n"/>
      <c r="B176" s="9" t="n"/>
      <c r="C176" s="6" t="n"/>
      <c r="D176" s="10" t="n"/>
      <c r="E176" s="10" t="n"/>
      <c r="F176" s="9" t="n"/>
      <c r="G176" s="9" t="n"/>
      <c r="H176" s="10" t="n"/>
      <c r="I176" s="10" t="n"/>
      <c r="J176" s="10" t="n"/>
    </row>
    <row r="177">
      <c r="A177" s="9" t="n"/>
      <c r="B177" s="9" t="n"/>
      <c r="C177" s="6" t="n"/>
      <c r="D177" s="10" t="n"/>
      <c r="E177" s="10" t="n"/>
      <c r="F177" s="9" t="n"/>
      <c r="G177" s="9" t="n"/>
      <c r="H177" s="10" t="n"/>
      <c r="I177" s="10" t="n"/>
      <c r="J177" s="10" t="n"/>
    </row>
    <row r="178">
      <c r="A178" s="9" t="n"/>
      <c r="B178" s="9" t="n"/>
      <c r="C178" s="6" t="n"/>
      <c r="D178" s="10" t="n"/>
      <c r="E178" s="10" t="n"/>
      <c r="F178" s="9" t="n"/>
      <c r="G178" s="9" t="n"/>
      <c r="H178" s="10" t="n"/>
      <c r="I178" s="10" t="n"/>
      <c r="J178" s="10" t="n"/>
    </row>
    <row r="179">
      <c r="A179" s="9" t="n"/>
      <c r="B179" s="9" t="n"/>
      <c r="C179" s="6" t="n"/>
      <c r="D179" s="10" t="n"/>
      <c r="E179" s="10" t="n"/>
      <c r="F179" s="9" t="n"/>
      <c r="G179" s="9" t="n"/>
      <c r="H179" s="10" t="n"/>
      <c r="I179" s="10" t="n"/>
      <c r="J179" s="10" t="n"/>
    </row>
    <row r="180">
      <c r="A180" s="9" t="n"/>
      <c r="B180" s="9" t="n"/>
      <c r="C180" s="6" t="n"/>
      <c r="D180" s="10" t="n"/>
      <c r="E180" s="10" t="n"/>
      <c r="F180" s="9" t="n"/>
      <c r="G180" s="9" t="n"/>
      <c r="H180" s="10" t="n"/>
      <c r="I180" s="10" t="n"/>
      <c r="J180" s="10" t="n"/>
    </row>
    <row r="181">
      <c r="A181" s="9" t="n"/>
      <c r="B181" s="9" t="n"/>
      <c r="C181" s="6" t="n"/>
      <c r="D181" s="10" t="n"/>
      <c r="E181" s="10" t="n"/>
      <c r="F181" s="9" t="n"/>
      <c r="G181" s="9" t="n"/>
      <c r="H181" s="10" t="n"/>
      <c r="I181" s="10" t="n"/>
      <c r="J181" s="10" t="n"/>
    </row>
    <row r="182">
      <c r="A182" s="9" t="n"/>
      <c r="B182" s="9" t="n"/>
      <c r="C182" s="6" t="n"/>
      <c r="D182" s="10" t="n"/>
      <c r="E182" s="10" t="n"/>
      <c r="F182" s="9" t="n"/>
      <c r="G182" s="9" t="n"/>
      <c r="H182" s="10" t="n"/>
      <c r="I182" s="10" t="n"/>
      <c r="J182" s="10" t="n"/>
    </row>
    <row r="183">
      <c r="A183" s="9" t="n"/>
      <c r="B183" s="9" t="n"/>
      <c r="C183" s="6" t="n"/>
      <c r="D183" s="10" t="n"/>
      <c r="E183" s="10" t="n"/>
      <c r="F183" s="9" t="n"/>
      <c r="G183" s="9" t="n"/>
      <c r="H183" s="10" t="n"/>
      <c r="I183" s="10" t="n"/>
      <c r="J183" s="10" t="n"/>
    </row>
    <row r="184">
      <c r="A184" s="9" t="n"/>
      <c r="B184" s="9" t="n"/>
      <c r="C184" s="6" t="n"/>
      <c r="D184" s="10" t="n"/>
      <c r="E184" s="10" t="n"/>
      <c r="F184" s="9" t="n"/>
      <c r="G184" s="9" t="n"/>
      <c r="H184" s="10" t="n"/>
      <c r="I184" s="10" t="n"/>
      <c r="J184" s="10" t="n"/>
    </row>
    <row r="185">
      <c r="A185" s="9" t="n"/>
      <c r="B185" s="9" t="n"/>
      <c r="C185" s="6" t="n"/>
      <c r="D185" s="10" t="n"/>
      <c r="E185" s="10" t="n"/>
      <c r="F185" s="9" t="n"/>
      <c r="G185" s="9" t="n"/>
      <c r="H185" s="10" t="n"/>
      <c r="I185" s="10" t="n"/>
      <c r="J185" s="10" t="n"/>
    </row>
    <row r="186">
      <c r="A186" s="9" t="n"/>
      <c r="B186" s="9" t="n"/>
      <c r="C186" s="6" t="n"/>
      <c r="D186" s="10" t="n"/>
      <c r="E186" s="10" t="n"/>
      <c r="F186" s="9" t="n"/>
      <c r="G186" s="9" t="n"/>
      <c r="H186" s="10" t="n"/>
      <c r="I186" s="10" t="n"/>
      <c r="J186" s="10" t="n"/>
    </row>
    <row r="187">
      <c r="A187" s="9" t="n"/>
      <c r="B187" s="9" t="n"/>
      <c r="C187" s="6" t="n"/>
      <c r="D187" s="10" t="n"/>
      <c r="E187" s="10" t="n"/>
      <c r="F187" s="9" t="n"/>
      <c r="G187" s="9" t="n"/>
      <c r="H187" s="10" t="n"/>
      <c r="I187" s="10" t="n"/>
      <c r="J187" s="10" t="n"/>
    </row>
    <row r="188">
      <c r="A188" s="9" t="n"/>
      <c r="B188" s="9" t="n"/>
      <c r="C188" s="6" t="n"/>
      <c r="D188" s="10" t="n"/>
      <c r="E188" s="10" t="n"/>
      <c r="F188" s="9" t="n"/>
      <c r="G188" s="9" t="n"/>
      <c r="H188" s="10" t="n"/>
      <c r="I188" s="10" t="n"/>
      <c r="J188" s="10" t="n"/>
    </row>
    <row r="189">
      <c r="A189" s="9" t="n"/>
      <c r="B189" s="9" t="n"/>
      <c r="C189" s="6" t="n"/>
      <c r="D189" s="10" t="n"/>
      <c r="E189" s="10" t="n"/>
      <c r="F189" s="9" t="n"/>
      <c r="G189" s="9" t="n"/>
      <c r="H189" s="10" t="n"/>
      <c r="I189" s="10" t="n"/>
      <c r="J189" s="10" t="n"/>
    </row>
    <row r="190">
      <c r="A190" s="9" t="n"/>
      <c r="B190" s="9" t="n"/>
      <c r="C190" s="6" t="n"/>
      <c r="D190" s="10" t="n"/>
      <c r="E190" s="10" t="n"/>
      <c r="F190" s="9" t="n"/>
      <c r="G190" s="9" t="n"/>
      <c r="H190" s="10" t="n"/>
      <c r="I190" s="10" t="n"/>
      <c r="J190" s="10" t="n"/>
    </row>
    <row r="191">
      <c r="A191" s="9" t="n"/>
      <c r="B191" s="9" t="n"/>
      <c r="C191" s="6" t="n"/>
      <c r="D191" s="10" t="n"/>
      <c r="E191" s="10" t="n"/>
      <c r="F191" s="9" t="n"/>
      <c r="G191" s="9" t="n"/>
      <c r="H191" s="10" t="n"/>
      <c r="I191" s="10" t="n"/>
      <c r="J191" s="10" t="n"/>
    </row>
    <row r="192">
      <c r="A192" s="9" t="n"/>
      <c r="B192" s="9" t="n"/>
      <c r="C192" s="6" t="n"/>
      <c r="D192" s="10" t="n"/>
      <c r="E192" s="10" t="n"/>
      <c r="F192" s="9" t="n"/>
      <c r="G192" s="9" t="n"/>
      <c r="H192" s="10" t="n"/>
      <c r="I192" s="10" t="n"/>
      <c r="J192" s="10" t="n"/>
    </row>
    <row r="193">
      <c r="A193" s="9" t="n"/>
      <c r="B193" s="9" t="n"/>
      <c r="C193" s="6" t="n"/>
      <c r="D193" s="10" t="n"/>
      <c r="E193" s="10" t="n"/>
      <c r="F193" s="9" t="n"/>
      <c r="G193" s="9" t="n"/>
      <c r="H193" s="10" t="n"/>
      <c r="I193" s="10" t="n"/>
      <c r="J193" s="10" t="n"/>
    </row>
    <row r="194">
      <c r="A194" s="9" t="n"/>
      <c r="B194" s="9" t="n"/>
      <c r="C194" s="6" t="n"/>
      <c r="D194" s="10" t="n"/>
      <c r="E194" s="10" t="n"/>
      <c r="F194" s="9" t="n"/>
      <c r="G194" s="9" t="n"/>
      <c r="H194" s="10" t="n"/>
      <c r="I194" s="10" t="n"/>
      <c r="J194" s="10" t="n"/>
    </row>
    <row r="195">
      <c r="A195" s="9" t="n"/>
      <c r="B195" s="9" t="n"/>
      <c r="C195" s="6" t="n"/>
      <c r="D195" s="10" t="n"/>
      <c r="E195" s="10" t="n"/>
      <c r="F195" s="9" t="n"/>
      <c r="G195" s="9" t="n"/>
      <c r="H195" s="10" t="n"/>
      <c r="I195" s="10" t="n"/>
      <c r="J195" s="10" t="n"/>
    </row>
    <row r="196">
      <c r="A196" s="9" t="n"/>
      <c r="B196" s="9" t="n"/>
      <c r="C196" s="6" t="n"/>
      <c r="D196" s="10" t="n"/>
      <c r="E196" s="10" t="n"/>
      <c r="F196" s="9" t="n"/>
      <c r="G196" s="9" t="n"/>
      <c r="H196" s="10" t="n"/>
      <c r="I196" s="10" t="n"/>
      <c r="J196" s="10" t="n"/>
    </row>
    <row r="197">
      <c r="A197" s="9" t="n"/>
      <c r="B197" s="9" t="n"/>
      <c r="C197" s="6" t="n"/>
      <c r="D197" s="10" t="n"/>
      <c r="E197" s="10" t="n"/>
      <c r="F197" s="9" t="n"/>
      <c r="G197" s="9" t="n"/>
      <c r="H197" s="10" t="n"/>
      <c r="I197" s="10" t="n"/>
      <c r="J197" s="10" t="n"/>
    </row>
    <row r="198">
      <c r="A198" s="9" t="n"/>
      <c r="B198" s="9" t="n"/>
      <c r="C198" s="6" t="n"/>
      <c r="D198" s="10" t="n"/>
      <c r="E198" s="10" t="n"/>
      <c r="F198" s="9" t="n"/>
      <c r="G198" s="9" t="n"/>
      <c r="H198" s="10" t="n"/>
      <c r="I198" s="10" t="n"/>
      <c r="J198" s="10" t="n"/>
    </row>
    <row r="199">
      <c r="A199" s="9" t="n"/>
      <c r="B199" s="9" t="n"/>
      <c r="C199" s="6" t="n"/>
      <c r="D199" s="10" t="n"/>
      <c r="E199" s="10" t="n"/>
      <c r="F199" s="9" t="n"/>
      <c r="G199" s="9" t="n"/>
      <c r="H199" s="10" t="n"/>
      <c r="I199" s="10" t="n"/>
      <c r="J199" s="10" t="n"/>
    </row>
    <row r="200">
      <c r="A200" s="9" t="n"/>
      <c r="B200" s="9" t="n"/>
      <c r="C200" s="6" t="n"/>
      <c r="D200" s="10" t="n"/>
      <c r="E200" s="10" t="n"/>
      <c r="F200" s="9" t="n"/>
      <c r="G200" s="9" t="n"/>
      <c r="H200" s="10" t="n"/>
      <c r="I200" s="10" t="n"/>
      <c r="J200" s="10" t="n"/>
    </row>
    <row r="201">
      <c r="A201" s="9" t="n"/>
      <c r="B201" s="9" t="n"/>
      <c r="C201" s="6" t="n"/>
      <c r="D201" s="10" t="n"/>
      <c r="E201" s="10" t="n"/>
      <c r="F201" s="9" t="n"/>
      <c r="G201" s="9" t="n"/>
      <c r="H201" s="10" t="n"/>
      <c r="I201" s="10" t="n"/>
      <c r="J201" s="10" t="n"/>
    </row>
  </sheetData>
  <dataValidations count="3">
    <dataValidation sqref="B2:B201" showDropDown="0" showInputMessage="0" showErrorMessage="0" allowBlank="1" type="list">
      <formula1>"Assumption,Issue,Gap"</formula1>
    </dataValidation>
    <dataValidation sqref="F2:F201" showDropDown="0" showInputMessage="0" showErrorMessage="0" allowBlank="1" type="list">
      <formula1>"Low,Med,High"</formula1>
    </dataValidation>
    <dataValidation sqref="I2:I201" showDropDown="0" showInputMessage="0" showErrorMessage="0" allowBlank="1" type="list">
      <formula1>"OPEN,CLOSED,MITIGATED"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4" customWidth="1" min="4" max="4"/>
    <col width="60" customWidth="1" min="5" max="5"/>
  </cols>
  <sheetData>
    <row r="1" ht="22" customHeight="1">
      <c r="A1" s="4" t="inlineStr">
        <is>
          <t>Sheet</t>
        </is>
      </c>
      <c r="B1" s="4" t="inlineStr">
        <is>
          <t>Field</t>
        </is>
      </c>
      <c r="C1" s="4" t="inlineStr">
        <is>
          <t>Unit</t>
        </is>
      </c>
      <c r="D1" s="4" t="inlineStr">
        <is>
          <t>Type</t>
        </is>
      </c>
      <c r="E1" s="4" t="inlineStr">
        <is>
          <t>Definition / Rule</t>
        </is>
      </c>
    </row>
    <row r="2">
      <c r="A2" s="9" t="inlineStr">
        <is>
          <t>01_SSOT_Master</t>
        </is>
      </c>
      <c r="B2" s="6" t="inlineStr">
        <is>
          <t>GATE_AFT_MIN_M</t>
        </is>
      </c>
      <c r="C2" s="9" t="inlineStr">
        <is>
          <t>m</t>
        </is>
      </c>
      <c r="D2" s="9" t="inlineStr">
        <is>
          <t>Input</t>
        </is>
      </c>
      <c r="E2" s="6" t="inlineStr">
        <is>
          <t>Minimum aft draft allowed (AFT &gt;=).</t>
        </is>
      </c>
    </row>
    <row r="3">
      <c r="A3" s="9" t="inlineStr">
        <is>
          <t>01_SSOT_Master</t>
        </is>
      </c>
      <c r="B3" s="6" t="inlineStr">
        <is>
          <t>GATE_FWD_MAX_M</t>
        </is>
      </c>
      <c r="C3" s="9" t="inlineStr">
        <is>
          <t>m</t>
        </is>
      </c>
      <c r="D3" s="9" t="inlineStr">
        <is>
          <t>Input</t>
        </is>
      </c>
      <c r="E3" s="6" t="inlineStr">
        <is>
          <t>Maximum forward draft allowed (FWD &lt;=).</t>
        </is>
      </c>
    </row>
    <row r="4">
      <c r="A4" s="9" t="inlineStr">
        <is>
          <t>01_SSOT_Master</t>
        </is>
      </c>
      <c r="B4" s="6" t="inlineStr">
        <is>
          <t>TRIM_LIMIT_CM</t>
        </is>
      </c>
      <c r="C4" s="9" t="inlineStr">
        <is>
          <t>cm</t>
        </is>
      </c>
      <c r="D4" s="9" t="inlineStr">
        <is>
          <t>Input</t>
        </is>
      </c>
      <c r="E4" s="6" t="inlineStr">
        <is>
          <t>Absolute trim limit. Trim = (Daft - Dfwd)*100.</t>
        </is>
      </c>
    </row>
    <row r="5">
      <c r="A5" s="9" t="inlineStr">
        <is>
          <t>03_Berth_Tide</t>
        </is>
      </c>
      <c r="B5" s="6" t="inlineStr">
        <is>
          <t>Tide_m</t>
        </is>
      </c>
      <c r="C5" s="9" t="inlineStr">
        <is>
          <t>m</t>
        </is>
      </c>
      <c r="D5" s="9" t="inlineStr">
        <is>
          <t>Input</t>
        </is>
      </c>
      <c r="E5" s="6" t="inlineStr">
        <is>
          <t>Tide height above datum (e.g., CD).</t>
        </is>
      </c>
    </row>
    <row r="6">
      <c r="A6" s="9" t="inlineStr">
        <is>
          <t>04_Cargo_SPMT</t>
        </is>
      </c>
      <c r="B6" s="6" t="inlineStr">
        <is>
          <t>Weight_t</t>
        </is>
      </c>
      <c r="C6" s="9" t="inlineStr">
        <is>
          <t>t</t>
        </is>
      </c>
      <c r="D6" s="9" t="inlineStr">
        <is>
          <t>Input</t>
        </is>
      </c>
      <c r="E6" s="6" t="inlineStr">
        <is>
          <t>Cargo weight including SPMT if not separated.</t>
        </is>
      </c>
    </row>
    <row r="7">
      <c r="A7" s="9" t="inlineStr">
        <is>
          <t>05_Ballast_Tanks</t>
        </is>
      </c>
      <c r="B7" s="6" t="inlineStr">
        <is>
          <t>Delta_t</t>
        </is>
      </c>
      <c r="C7" s="9" t="inlineStr">
        <is>
          <t>t</t>
        </is>
      </c>
      <c r="D7" s="9" t="inlineStr">
        <is>
          <t>Input</t>
        </is>
      </c>
      <c r="E7" s="6" t="inlineStr">
        <is>
          <t>Per stage tank delta: + ballast, - discharge.</t>
        </is>
      </c>
    </row>
    <row r="8">
      <c r="A8" s="9" t="inlineStr">
        <is>
          <t>07_Stage_Calc</t>
        </is>
      </c>
      <c r="B8" s="6" t="inlineStr">
        <is>
          <t>Trim_cm</t>
        </is>
      </c>
      <c r="C8" s="9" t="inlineStr">
        <is>
          <t>cm</t>
        </is>
      </c>
      <c r="D8" s="9" t="inlineStr">
        <is>
          <t>Calc</t>
        </is>
      </c>
      <c r="E8" s="6" t="inlineStr">
        <is>
          <t>Trim = (Daft - Dfwd)*100.</t>
        </is>
      </c>
    </row>
    <row r="9">
      <c r="A9" s="9" t="inlineStr">
        <is>
          <t>07_Stage_Calc</t>
        </is>
      </c>
      <c r="B9" s="6" t="inlineStr">
        <is>
          <t>Tide_required_m</t>
        </is>
      </c>
      <c r="C9" s="9" t="inlineStr">
        <is>
          <t>m</t>
        </is>
      </c>
      <c r="D9" s="9" t="inlineStr">
        <is>
          <t>Calc</t>
        </is>
      </c>
      <c r="E9" s="6" t="inlineStr">
        <is>
          <t>Required tide so UKC &gt;= UKC_MIN.</t>
        </is>
      </c>
    </row>
    <row r="10">
      <c r="A10" s="9" t="inlineStr">
        <is>
          <t>08_HoldPoint_Log</t>
        </is>
      </c>
      <c r="B10" s="6" t="inlineStr">
        <is>
          <t>Action</t>
        </is>
      </c>
      <c r="C10" s="9" t="inlineStr">
        <is>
          <t>-</t>
        </is>
      </c>
      <c r="D10" s="9" t="inlineStr">
        <is>
          <t>Calc</t>
        </is>
      </c>
      <c r="E10" s="6" t="inlineStr">
        <is>
          <t>GO/RECALC/STOP based on thresholds.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25" customWidth="1" min="4" max="4"/>
    <col width="35" customWidth="1" min="5" max="5"/>
  </cols>
  <sheetData>
    <row r="1">
      <c r="A1" s="23" t="inlineStr">
        <is>
          <t>Pack A: Inputs &amp; Assumptions (SSOT)</t>
        </is>
      </c>
    </row>
    <row r="3">
      <c r="A3" s="18" t="inlineStr">
        <is>
          <t>1. Vessel / Show-stopper inputs</t>
        </is>
      </c>
    </row>
    <row r="4">
      <c r="A4" s="4" t="inlineStr">
        <is>
          <t>Parameter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Source/Reference</t>
        </is>
      </c>
      <c r="E4" s="4" t="inlineStr">
        <is>
          <t>Note</t>
        </is>
      </c>
    </row>
    <row r="5">
      <c r="A5" s="1" t="inlineStr">
        <is>
          <t>LBP (Length Between Perpendiculars)</t>
        </is>
      </c>
      <c r="B5" s="10" t="inlineStr"/>
      <c r="C5" s="9" t="inlineStr">
        <is>
          <t>m</t>
        </is>
      </c>
      <c r="D5" s="6" t="inlineStr"/>
      <c r="E5" s="6" t="inlineStr"/>
    </row>
    <row r="6">
      <c r="A6" s="1" t="inlineStr">
        <is>
          <t>Beam</t>
        </is>
      </c>
      <c r="B6" s="10" t="inlineStr"/>
      <c r="C6" s="9" t="inlineStr">
        <is>
          <t>m</t>
        </is>
      </c>
      <c r="D6" s="6" t="inlineStr"/>
      <c r="E6" s="6" t="inlineStr"/>
    </row>
    <row r="7">
      <c r="A7" s="1" t="inlineStr">
        <is>
          <t>Depth (D, molded)</t>
        </is>
      </c>
      <c r="B7" s="10" t="inlineStr">
        <is>
          <t>3.65</t>
        </is>
      </c>
      <c r="C7" s="9" t="inlineStr">
        <is>
          <t>m</t>
        </is>
      </c>
      <c r="D7" s="6" t="inlineStr">
        <is>
          <t>Vessel spec</t>
        </is>
      </c>
      <c r="E7" s="6" t="inlineStr"/>
    </row>
    <row r="8">
      <c r="A8" s="1" t="inlineStr">
        <is>
          <t>Lightship Displacement</t>
        </is>
      </c>
      <c r="B8" s="10" t="inlineStr">
        <is>
          <t>2800</t>
        </is>
      </c>
      <c r="C8" s="9" t="inlineStr">
        <is>
          <t>t</t>
        </is>
      </c>
      <c r="D8" s="6" t="inlineStr">
        <is>
          <t>Vessel spec</t>
        </is>
      </c>
      <c r="E8" s="6" t="inlineStr"/>
    </row>
    <row r="9">
      <c r="A9" s="1" t="inlineStr">
        <is>
          <t>Gate AFT MIN</t>
        </is>
      </c>
      <c r="B9" s="10" t="inlineStr">
        <is>
          <t>2.70</t>
        </is>
      </c>
      <c r="C9" s="9" t="inlineStr">
        <is>
          <t>m</t>
        </is>
      </c>
      <c r="D9" s="6" t="inlineStr">
        <is>
          <t>Ops</t>
        </is>
      </c>
      <c r="E9" s="6" t="inlineStr"/>
    </row>
    <row r="10">
      <c r="A10" s="1" t="inlineStr">
        <is>
          <t>Gate FWD MAX</t>
        </is>
      </c>
      <c r="B10" s="10" t="inlineStr">
        <is>
          <t>2.70</t>
        </is>
      </c>
      <c r="C10" s="9" t="inlineStr">
        <is>
          <t>m</t>
        </is>
      </c>
      <c r="D10" s="6" t="inlineStr">
        <is>
          <t>Ops</t>
        </is>
      </c>
      <c r="E10" s="6" t="inlineStr"/>
    </row>
    <row r="11">
      <c r="A11" s="1" t="inlineStr">
        <is>
          <t>Trim ABS limit</t>
        </is>
      </c>
      <c r="B11" s="10" t="inlineStr">
        <is>
          <t>240</t>
        </is>
      </c>
      <c r="C11" s="9" t="inlineStr">
        <is>
          <t>cm</t>
        </is>
      </c>
      <c r="D11" s="6" t="inlineStr">
        <is>
          <t>Ops</t>
        </is>
      </c>
      <c r="E11" s="6" t="inlineStr"/>
    </row>
    <row r="12">
      <c r="A12" s="1" t="inlineStr">
        <is>
          <t>UKC min</t>
        </is>
      </c>
      <c r="B12" s="10" t="inlineStr">
        <is>
          <t>0.50</t>
        </is>
      </c>
      <c r="C12" s="9" t="inlineStr">
        <is>
          <t>m</t>
        </is>
      </c>
      <c r="D12" s="6" t="inlineStr">
        <is>
          <t>Port</t>
        </is>
      </c>
      <c r="E12" s="6" t="inlineStr"/>
    </row>
    <row r="13">
      <c r="A13" s="1" t="inlineStr">
        <is>
          <t>DepthRef</t>
        </is>
      </c>
      <c r="B13" s="10" t="inlineStr">
        <is>
          <t>5.50</t>
        </is>
      </c>
      <c r="C13" s="9" t="inlineStr">
        <is>
          <t>m</t>
        </is>
      </c>
      <c r="D13" s="6" t="inlineStr">
        <is>
          <t>Port</t>
        </is>
      </c>
      <c r="E13" s="6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22" customWidth="1" min="3" max="3"/>
    <col width="22" customWidth="1" min="4" max="4"/>
  </cols>
  <sheetData>
    <row r="1">
      <c r="A1" s="23" t="inlineStr">
        <is>
          <t>Pack B: Calculation Sheet (Formula + Sign Convention)</t>
        </is>
      </c>
    </row>
    <row r="3">
      <c r="A3" s="18" t="inlineStr">
        <is>
          <t>(1) Draft / Trim (Hydro 기반)</t>
        </is>
      </c>
    </row>
    <row r="4">
      <c r="A4" s="4" t="inlineStr">
        <is>
          <t>Parameter/Formula</t>
        </is>
      </c>
      <c r="B4" s="4" t="inlineStr">
        <is>
          <t>Formula/Definition</t>
        </is>
      </c>
      <c r="C4" s="4" t="inlineStr">
        <is>
          <t>Unit/Note</t>
        </is>
      </c>
      <c r="D4" s="4" t="inlineStr">
        <is>
          <t>Reference</t>
        </is>
      </c>
    </row>
    <row r="5">
      <c r="A5" s="1" t="inlineStr">
        <is>
          <t>Tmean (m)</t>
        </is>
      </c>
      <c r="B5" s="6" t="inlineStr">
        <is>
          <t>T_mean = (D_fwd + D_aft) / 2</t>
        </is>
      </c>
      <c r="C5" s="6" t="inlineStr"/>
      <c r="D5" s="6" t="inlineStr"/>
    </row>
    <row r="6">
      <c r="A6" s="1" t="inlineStr">
        <is>
          <t>Delta Tmean (m)</t>
        </is>
      </c>
      <c r="B6" s="6" t="inlineStr">
        <is>
          <t>Delta T_mean = Sum(Delta W) / (TPC * 100)</t>
        </is>
      </c>
      <c r="C6" s="6" t="inlineStr">
        <is>
          <t>TPC: t/cm</t>
        </is>
      </c>
      <c r="D6" s="6" t="inlineStr"/>
    </row>
    <row r="7">
      <c r="A7" s="1" t="inlineStr">
        <is>
          <t>Delta Trim (m)</t>
        </is>
      </c>
      <c r="B7" s="6" t="inlineStr">
        <is>
          <t>Delta Trim = Sum(Delta W*(x-LCF)) / MTC</t>
        </is>
      </c>
      <c r="C7" s="6" t="inlineStr">
        <is>
          <t>MTC: t·m/cm</t>
        </is>
      </c>
      <c r="D7" s="6" t="inlineStr"/>
    </row>
    <row r="8">
      <c r="A8" s="1" t="inlineStr">
        <is>
          <t>Trim (cm)</t>
        </is>
      </c>
      <c r="B8" s="6" t="inlineStr">
        <is>
          <t>Trim_cm = (D_aft - D_fwd) * 100</t>
        </is>
      </c>
      <c r="C8" s="6" t="inlineStr"/>
      <c r="D8" s="6" t="inlineStr"/>
    </row>
    <row r="9">
      <c r="A9" s="1" t="inlineStr">
        <is>
          <t>Sign: Trim</t>
        </is>
      </c>
      <c r="B9" s="6" t="inlineStr">
        <is>
          <t>+ = Aft deeper / - = Bow down</t>
        </is>
      </c>
      <c r="C9" s="6" t="inlineStr"/>
      <c r="D9" s="6" t="inlineStr"/>
    </row>
    <row r="10">
      <c r="A10" s="1" t="inlineStr">
        <is>
          <t>Sign: x</t>
        </is>
      </c>
      <c r="B10" s="6" t="inlineStr">
        <is>
          <t>+Aft / -Fwd (midship ref)</t>
        </is>
      </c>
      <c r="C10" s="6" t="inlineStr"/>
      <c r="D10" s="6" t="inlineStr"/>
    </row>
    <row r="13">
      <c r="A13" s="18" t="inlineStr">
        <is>
          <t>(2) UKC / Tide Required</t>
        </is>
      </c>
    </row>
    <row r="14">
      <c r="A14" s="4" t="inlineStr">
        <is>
          <t>Item</t>
        </is>
      </c>
      <c r="B14" s="4" t="inlineStr">
        <is>
          <t>Definition</t>
        </is>
      </c>
      <c r="C14" s="4" t="inlineStr">
        <is>
          <t>Unit/Note</t>
        </is>
      </c>
      <c r="D14" s="4" t="inlineStr">
        <is>
          <t>Reference</t>
        </is>
      </c>
    </row>
    <row r="15">
      <c r="A15" s="1" t="inlineStr">
        <is>
          <t>Depth_available</t>
        </is>
      </c>
      <c r="B15" s="6" t="inlineStr">
        <is>
          <t>DepthRef + Forecast_Tide</t>
        </is>
      </c>
      <c r="C15" s="6" t="inlineStr">
        <is>
          <t>m</t>
        </is>
      </c>
      <c r="D15" s="6" t="inlineStr">
        <is>
          <t>03_Berth_Tide</t>
        </is>
      </c>
    </row>
    <row r="16">
      <c r="A16" s="1" t="inlineStr">
        <is>
          <t>UKC</t>
        </is>
      </c>
      <c r="B16" s="6" t="inlineStr">
        <is>
          <t>Depth_available - (Draft + Squat + Safety)</t>
        </is>
      </c>
      <c r="C16" s="6" t="inlineStr">
        <is>
          <t>m</t>
        </is>
      </c>
      <c r="D16" s="6" t="inlineStr"/>
    </row>
    <row r="17">
      <c r="A17" s="1" t="inlineStr">
        <is>
          <t>Tide_required</t>
        </is>
      </c>
      <c r="B17" s="6" t="inlineStr">
        <is>
          <t>max(0, (Draft_max + Squat + Safety + UKC_min) - DepthRef)</t>
        </is>
      </c>
      <c r="C17" s="6" t="inlineStr">
        <is>
          <t>m</t>
        </is>
      </c>
      <c r="D17" s="6" t="inlineStr"/>
    </row>
  </sheetData>
  <mergeCells count="3">
    <mergeCell ref="A1:D1"/>
    <mergeCell ref="A13:D13"/>
    <mergeCell ref="A3:D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8" customWidth="1" min="5" max="5"/>
    <col width="22" customWidth="1" min="6" max="6"/>
  </cols>
  <sheetData>
    <row r="1">
      <c r="A1" s="23" t="inlineStr">
        <is>
          <t>Pack D: Tide Window &amp; RACI</t>
        </is>
      </c>
    </row>
    <row r="3">
      <c r="A3" s="18" t="inlineStr">
        <is>
          <t>Stage-wise Tide Window</t>
        </is>
      </c>
    </row>
    <row r="4">
      <c r="A4" s="4" t="inlineStr">
        <is>
          <t>Stage</t>
        </is>
      </c>
      <c r="B4" s="4" t="inlineStr">
        <is>
          <t>Required WL (m)</t>
        </is>
      </c>
      <c r="C4" s="4" t="inlineStr">
        <is>
          <t>Forecast Tide (m)</t>
        </is>
      </c>
      <c r="D4" s="4" t="inlineStr">
        <is>
          <t>Margin (m)</t>
        </is>
      </c>
      <c r="E4" s="4" t="inlineStr">
        <is>
          <t>Window Time</t>
        </is>
      </c>
      <c r="F4" s="4" t="inlineStr">
        <is>
          <t>Source</t>
        </is>
      </c>
    </row>
    <row r="5">
      <c r="A5" s="6" t="inlineStr">
        <is>
          <t>Stage 1</t>
        </is>
      </c>
      <c r="B5" s="10" t="n"/>
      <c r="C5" s="10" t="n"/>
      <c r="D5" s="9">
        <f>IF(OR(B5="",C5=""),"",C5-B5)</f>
        <v/>
      </c>
      <c r="E5" s="10" t="n"/>
      <c r="F5" s="5" t="n"/>
    </row>
    <row r="6">
      <c r="A6" s="6" t="inlineStr">
        <is>
          <t>Stage 2</t>
        </is>
      </c>
      <c r="B6" s="10" t="n"/>
      <c r="C6" s="10" t="n"/>
      <c r="D6" s="9">
        <f>IF(OR(B6="",C6=""),"",C6-B6)</f>
        <v/>
      </c>
      <c r="E6" s="10" t="n"/>
      <c r="F6" s="5" t="n"/>
    </row>
    <row r="7">
      <c r="A7" s="6" t="inlineStr">
        <is>
          <t>Stage 3</t>
        </is>
      </c>
      <c r="B7" s="10" t="n"/>
      <c r="C7" s="10" t="n"/>
      <c r="D7" s="9">
        <f>IF(OR(B7="",C7=""),"",C7-B7)</f>
        <v/>
      </c>
      <c r="E7" s="10" t="n"/>
      <c r="F7" s="5" t="n"/>
    </row>
    <row r="8">
      <c r="A8" s="6" t="inlineStr">
        <is>
          <t>Stage 4</t>
        </is>
      </c>
      <c r="B8" s="10" t="n"/>
      <c r="C8" s="10" t="n"/>
      <c r="D8" s="9">
        <f>IF(OR(B8="",C8=""),"",C8-B8)</f>
        <v/>
      </c>
      <c r="E8" s="10" t="n"/>
      <c r="F8" s="5" t="n"/>
    </row>
    <row r="9">
      <c r="A9" s="6" t="inlineStr">
        <is>
          <t>Stage 5</t>
        </is>
      </c>
      <c r="B9" s="10" t="n"/>
      <c r="C9" s="10" t="n"/>
      <c r="D9" s="9">
        <f>IF(OR(B9="",C9=""),"",C9-B9)</f>
        <v/>
      </c>
      <c r="E9" s="10" t="n"/>
      <c r="F9" s="5" t="n"/>
    </row>
    <row r="10">
      <c r="A10" s="6" t="inlineStr">
        <is>
          <t>Stage 5_PreBallast</t>
        </is>
      </c>
      <c r="B10" s="10" t="n"/>
      <c r="C10" s="10" t="n"/>
      <c r="D10" s="9">
        <f>IF(OR(B10="",C10=""),"",C10-B10)</f>
        <v/>
      </c>
      <c r="E10" s="10" t="n"/>
      <c r="F10" s="5" t="n"/>
    </row>
    <row r="11">
      <c r="A11" s="6" t="inlineStr">
        <is>
          <t>Stage 6A_Critical (Opt C)</t>
        </is>
      </c>
      <c r="B11" s="10" t="n"/>
      <c r="C11" s="10" t="n"/>
      <c r="D11" s="9">
        <f>IF(OR(B11="",C11=""),"",C11-B11)</f>
        <v/>
      </c>
      <c r="E11" s="10" t="n"/>
      <c r="F11" s="5" t="n"/>
    </row>
    <row r="12">
      <c r="A12" s="6" t="inlineStr">
        <is>
          <t>Stage 6C</t>
        </is>
      </c>
      <c r="B12" s="10" t="n"/>
      <c r="C12" s="10" t="n"/>
      <c r="D12" s="9">
        <f>IF(OR(B12="",C12=""),"",C12-B12)</f>
        <v/>
      </c>
      <c r="E12" s="10" t="n"/>
      <c r="F12" s="5" t="n"/>
    </row>
    <row r="13">
      <c r="A13" s="6" t="inlineStr">
        <is>
          <t>Stage 7</t>
        </is>
      </c>
      <c r="B13" s="10" t="n"/>
      <c r="C13" s="10" t="n"/>
      <c r="D13" s="9">
        <f>IF(OR(B13="",C13=""),"",C13-B13)</f>
        <v/>
      </c>
      <c r="E13" s="10" t="n"/>
      <c r="F13" s="5" t="n"/>
    </row>
    <row r="16">
      <c r="A16" s="18" t="inlineStr">
        <is>
          <t>RACI Matrix (optional)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2025-12-30T13:54:55Z</dcterms:created>
  <dcterms:modified xmlns:dcterms="http://purl.org/dc/terms/" xmlns:xsi="http://www.w3.org/2001/XMLSchema-instance" xsi:type="dcterms:W3CDTF">2025-12-30T13:54:56Z</dcterms:modified>
</cp:coreProperties>
</file>